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duylam1407/Downloads/"/>
    </mc:Choice>
  </mc:AlternateContent>
  <xr:revisionPtr revIDLastSave="0" documentId="13_ncr:1_{6A8FA1E8-2CFF-8942-B7B2-DB710BAADD36}" xr6:coauthVersionLast="47" xr6:coauthVersionMax="47" xr10:uidLastSave="{00000000-0000-0000-0000-000000000000}"/>
  <bookViews>
    <workbookView xWindow="0" yWindow="500" windowWidth="36000" windowHeight="21100" xr2:uid="{00000000-000D-0000-FFFF-FFFF00000000}"/>
  </bookViews>
  <sheets>
    <sheet name="Cleaning schedule" sheetId="1" r:id="rId1"/>
    <sheet name="Heat pool Pack n’ play" sheetId="2" r:id="rId2"/>
    <sheet name="Day by Day Cleaning Priority" sheetId="3" r:id="rId3"/>
    <sheet name="Trash" sheetId="4" r:id="rId4"/>
    <sheet name="Bed List" sheetId="5" r:id="rId5"/>
    <sheet name="Book directly" sheetId="6" r:id="rId6"/>
    <sheet name="Prepare for the house" sheetId="7" r:id="rId7"/>
    <sheet name="Owner staying" sheetId="8" r:id="rId8"/>
  </sheets>
  <definedNames>
    <definedName name="_xlnm._FilterDatabase" localSheetId="4" hidden="1">'Bed List'!$A$1:$Z$50</definedName>
    <definedName name="_xlnm._FilterDatabase" localSheetId="0" hidden="1">'Cleaning schedule'!$B$1:$Y$1000</definedName>
    <definedName name="_xlnm._FilterDatabase" localSheetId="1" hidden="1">'Heat pool Pack n’ play'!$A$1:$Z$8</definedName>
    <definedName name="_xlnm._FilterDatabase" localSheetId="3" hidden="1">Trash!$A$1:$Z$56</definedName>
    <definedName name="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8" l="1"/>
  <c r="D19" i="8"/>
  <c r="D18" i="8"/>
  <c r="D17" i="8"/>
  <c r="D16" i="8"/>
  <c r="D15" i="8"/>
  <c r="D13" i="8"/>
  <c r="D11" i="8"/>
  <c r="D10" i="8"/>
  <c r="D9" i="8"/>
  <c r="D8" i="8"/>
  <c r="D7" i="8"/>
  <c r="D6" i="8"/>
  <c r="D5" i="8"/>
  <c r="D4" i="8"/>
  <c r="D3" i="8"/>
  <c r="D2" i="8"/>
  <c r="B14" i="7"/>
  <c r="B13" i="7"/>
  <c r="B12" i="7"/>
  <c r="B11" i="7"/>
  <c r="B10" i="7"/>
  <c r="B9" i="7"/>
  <c r="B8" i="7"/>
  <c r="B7" i="7"/>
  <c r="B6" i="7"/>
  <c r="B5" i="7"/>
  <c r="D31" i="6"/>
  <c r="E21" i="6"/>
  <c r="J20" i="6"/>
  <c r="E20" i="6"/>
  <c r="E19" i="6"/>
  <c r="D12" i="6"/>
  <c r="D11" i="6"/>
  <c r="D10" i="6"/>
  <c r="D9" i="6"/>
  <c r="E7" i="6"/>
  <c r="D7" i="6"/>
  <c r="D6" i="6"/>
  <c r="D5" i="6"/>
  <c r="D4" i="6"/>
  <c r="Q50" i="5"/>
  <c r="P50" i="5"/>
  <c r="S45" i="5"/>
  <c r="R45" i="5"/>
  <c r="Q45" i="5"/>
  <c r="P45" i="5"/>
  <c r="L45" i="5"/>
  <c r="N45" i="5" s="1"/>
  <c r="S41" i="5"/>
  <c r="R41" i="5"/>
  <c r="Q41" i="5"/>
  <c r="P41" i="5"/>
  <c r="N41" i="5"/>
  <c r="L41" i="5"/>
  <c r="T7" i="2"/>
  <c r="T6" i="2"/>
  <c r="T5" i="2"/>
  <c r="T4" i="2"/>
  <c r="T3" i="2"/>
  <c r="T2" i="2"/>
  <c r="Z166" i="1"/>
  <c r="X166" i="1"/>
  <c r="W166" i="1"/>
  <c r="V166" i="1"/>
  <c r="U166" i="1"/>
  <c r="Z165" i="1"/>
  <c r="X165" i="1"/>
  <c r="W165" i="1"/>
  <c r="V165" i="1"/>
  <c r="U165" i="1"/>
  <c r="Z164" i="1"/>
  <c r="X164" i="1"/>
  <c r="W164" i="1"/>
  <c r="V164" i="1"/>
  <c r="U164" i="1"/>
  <c r="Z163" i="1"/>
  <c r="X163" i="1"/>
  <c r="W163" i="1"/>
  <c r="V163" i="1"/>
  <c r="U163" i="1"/>
  <c r="Z162" i="1"/>
  <c r="X162" i="1"/>
  <c r="W162" i="1"/>
  <c r="V162" i="1"/>
  <c r="U162" i="1"/>
  <c r="Z161" i="1"/>
  <c r="X161" i="1"/>
  <c r="W161" i="1"/>
  <c r="V161" i="1"/>
  <c r="U161" i="1"/>
  <c r="Z160" i="1"/>
  <c r="X160" i="1"/>
  <c r="W160" i="1"/>
  <c r="V160" i="1"/>
  <c r="U160" i="1"/>
  <c r="Z159" i="1"/>
  <c r="X159" i="1"/>
  <c r="W159" i="1"/>
  <c r="V159" i="1"/>
  <c r="U159" i="1"/>
  <c r="Z158" i="1"/>
  <c r="X158" i="1"/>
  <c r="W158" i="1"/>
  <c r="V158" i="1"/>
  <c r="U158" i="1"/>
  <c r="Z157" i="1"/>
  <c r="X157" i="1"/>
  <c r="W157" i="1"/>
  <c r="V157" i="1"/>
  <c r="U157" i="1"/>
  <c r="Z156" i="1"/>
  <c r="X156" i="1"/>
  <c r="W156" i="1"/>
  <c r="V156" i="1"/>
  <c r="U156" i="1"/>
  <c r="Z155" i="1"/>
  <c r="X155" i="1"/>
  <c r="W155" i="1"/>
  <c r="V155" i="1"/>
  <c r="U155" i="1"/>
  <c r="Z154" i="1"/>
  <c r="X154" i="1"/>
  <c r="W154" i="1"/>
  <c r="V154" i="1"/>
  <c r="U154" i="1"/>
  <c r="Z153" i="1"/>
  <c r="X153" i="1"/>
  <c r="W153" i="1"/>
  <c r="V153" i="1"/>
  <c r="U153" i="1"/>
  <c r="Z152" i="1"/>
  <c r="X152" i="1"/>
  <c r="W152" i="1"/>
  <c r="V152" i="1"/>
  <c r="U152" i="1"/>
  <c r="Z151" i="1"/>
  <c r="X151" i="1"/>
  <c r="W151" i="1"/>
  <c r="V151" i="1"/>
  <c r="U151" i="1"/>
  <c r="Z150" i="1"/>
  <c r="X150" i="1"/>
  <c r="W150" i="1"/>
  <c r="V150" i="1"/>
  <c r="U150" i="1"/>
  <c r="Z149" i="1"/>
  <c r="X149" i="1"/>
  <c r="W149" i="1"/>
  <c r="V149" i="1"/>
  <c r="U149" i="1"/>
  <c r="Z148" i="1"/>
  <c r="X148" i="1"/>
  <c r="W148" i="1"/>
  <c r="V148" i="1"/>
  <c r="U148" i="1"/>
  <c r="Z147" i="1"/>
  <c r="X147" i="1"/>
  <c r="W147" i="1"/>
  <c r="V147" i="1"/>
  <c r="U147" i="1"/>
  <c r="Z146" i="1"/>
  <c r="X146" i="1"/>
  <c r="W146" i="1"/>
  <c r="V146" i="1"/>
  <c r="U146" i="1"/>
  <c r="Z145" i="1"/>
  <c r="X145" i="1"/>
  <c r="W145" i="1"/>
  <c r="V145" i="1"/>
  <c r="U145" i="1"/>
  <c r="Z144" i="1"/>
  <c r="X144" i="1"/>
  <c r="W144" i="1"/>
  <c r="V144" i="1"/>
  <c r="U144" i="1"/>
  <c r="Z143" i="1"/>
  <c r="X143" i="1"/>
  <c r="W143" i="1"/>
  <c r="V143" i="1"/>
  <c r="U143" i="1"/>
  <c r="Z142" i="1"/>
  <c r="X142" i="1"/>
  <c r="W142" i="1"/>
  <c r="V142" i="1"/>
  <c r="U142" i="1"/>
  <c r="Z141" i="1"/>
  <c r="X141" i="1"/>
  <c r="W141" i="1"/>
  <c r="V141" i="1"/>
  <c r="U141" i="1"/>
  <c r="Z140" i="1"/>
  <c r="X140" i="1"/>
  <c r="W140" i="1"/>
  <c r="V140" i="1"/>
  <c r="U140" i="1"/>
  <c r="Z139" i="1"/>
  <c r="X139" i="1"/>
  <c r="W139" i="1"/>
  <c r="V139" i="1"/>
  <c r="U139" i="1"/>
  <c r="Z138" i="1"/>
  <c r="X138" i="1"/>
  <c r="W138" i="1"/>
  <c r="V138" i="1"/>
  <c r="U138" i="1"/>
  <c r="Z137" i="1"/>
  <c r="X137" i="1"/>
  <c r="W137" i="1"/>
  <c r="V137" i="1"/>
  <c r="U137" i="1"/>
  <c r="Z136" i="1"/>
  <c r="X136" i="1"/>
  <c r="W136" i="1"/>
  <c r="V136" i="1"/>
  <c r="U136" i="1"/>
  <c r="Z135" i="1"/>
  <c r="X135" i="1"/>
  <c r="W135" i="1"/>
  <c r="V135" i="1"/>
  <c r="U135" i="1"/>
  <c r="Z134" i="1"/>
  <c r="X134" i="1"/>
  <c r="W134" i="1"/>
  <c r="V134" i="1"/>
  <c r="U134" i="1"/>
  <c r="Z133" i="1"/>
  <c r="X133" i="1"/>
  <c r="W133" i="1"/>
  <c r="V133" i="1"/>
  <c r="U133" i="1"/>
  <c r="Z132" i="1"/>
  <c r="X132" i="1"/>
  <c r="W132" i="1"/>
  <c r="V132" i="1"/>
  <c r="U132" i="1"/>
  <c r="Z131" i="1"/>
  <c r="X131" i="1"/>
  <c r="W131" i="1"/>
  <c r="V131" i="1"/>
  <c r="U131" i="1"/>
  <c r="Z130" i="1"/>
  <c r="X130" i="1"/>
  <c r="W130" i="1"/>
  <c r="V130" i="1"/>
  <c r="U130" i="1"/>
  <c r="Z129" i="1"/>
  <c r="X129" i="1"/>
  <c r="W129" i="1"/>
  <c r="V129" i="1"/>
  <c r="U129" i="1"/>
  <c r="Z128" i="1"/>
  <c r="X128" i="1"/>
  <c r="W128" i="1"/>
  <c r="V128" i="1"/>
  <c r="U128" i="1"/>
  <c r="Z127" i="1"/>
  <c r="X127" i="1"/>
  <c r="W127" i="1"/>
  <c r="V127" i="1"/>
  <c r="U127" i="1"/>
  <c r="Z126" i="1"/>
  <c r="X126" i="1"/>
  <c r="W126" i="1"/>
  <c r="V126" i="1"/>
  <c r="U126" i="1"/>
  <c r="Z125" i="1"/>
  <c r="X125" i="1"/>
  <c r="W125" i="1"/>
  <c r="V125" i="1"/>
  <c r="U125" i="1"/>
  <c r="Z124" i="1"/>
  <c r="X124" i="1"/>
  <c r="W124" i="1"/>
  <c r="V124" i="1"/>
  <c r="U124" i="1"/>
  <c r="Z123" i="1"/>
  <c r="X123" i="1"/>
  <c r="W123" i="1"/>
  <c r="V123" i="1"/>
  <c r="U123" i="1"/>
  <c r="Z122" i="1"/>
  <c r="X122" i="1"/>
  <c r="W122" i="1"/>
  <c r="V122" i="1"/>
  <c r="U122" i="1"/>
  <c r="Z121" i="1"/>
  <c r="X121" i="1"/>
  <c r="W121" i="1"/>
  <c r="V121" i="1"/>
  <c r="U121" i="1"/>
  <c r="Z120" i="1"/>
  <c r="X120" i="1"/>
  <c r="W120" i="1"/>
  <c r="V120" i="1"/>
  <c r="U120" i="1"/>
  <c r="Z119" i="1"/>
  <c r="X119" i="1"/>
  <c r="W119" i="1"/>
  <c r="V119" i="1"/>
  <c r="U119" i="1"/>
  <c r="Z118" i="1"/>
  <c r="X118" i="1"/>
  <c r="W118" i="1"/>
  <c r="V118" i="1"/>
  <c r="U118" i="1"/>
  <c r="Z117" i="1"/>
  <c r="X117" i="1"/>
  <c r="W117" i="1"/>
  <c r="V117" i="1"/>
  <c r="U117" i="1"/>
  <c r="Z116" i="1"/>
  <c r="X116" i="1"/>
  <c r="W116" i="1"/>
  <c r="V116" i="1"/>
  <c r="U116" i="1"/>
  <c r="Z115" i="1"/>
  <c r="X115" i="1"/>
  <c r="W115" i="1"/>
  <c r="V115" i="1"/>
  <c r="U115" i="1"/>
  <c r="Z114" i="1"/>
  <c r="X114" i="1"/>
  <c r="W114" i="1"/>
  <c r="V114" i="1"/>
  <c r="U114" i="1"/>
  <c r="Z113" i="1"/>
  <c r="X113" i="1"/>
  <c r="W113" i="1"/>
  <c r="V113" i="1"/>
  <c r="U113" i="1"/>
  <c r="Z112" i="1"/>
  <c r="X112" i="1"/>
  <c r="W112" i="1"/>
  <c r="V112" i="1"/>
  <c r="U112" i="1"/>
  <c r="Z111" i="1"/>
  <c r="X111" i="1"/>
  <c r="W111" i="1"/>
  <c r="V111" i="1"/>
  <c r="U111" i="1"/>
  <c r="Z110" i="1"/>
  <c r="X110" i="1"/>
  <c r="W110" i="1"/>
  <c r="V110" i="1"/>
  <c r="U110" i="1"/>
  <c r="Z109" i="1"/>
  <c r="X109" i="1"/>
  <c r="W109" i="1"/>
  <c r="V109" i="1"/>
  <c r="U109" i="1"/>
  <c r="Z108" i="1"/>
  <c r="X108" i="1"/>
  <c r="W108" i="1"/>
  <c r="V108" i="1"/>
  <c r="U108" i="1"/>
  <c r="Z107" i="1"/>
  <c r="X107" i="1"/>
  <c r="W107" i="1"/>
  <c r="V107" i="1"/>
  <c r="U107" i="1"/>
  <c r="Z106" i="1"/>
  <c r="X106" i="1"/>
  <c r="W106" i="1"/>
  <c r="V106" i="1"/>
  <c r="U106" i="1"/>
  <c r="Z105" i="1"/>
  <c r="X105" i="1"/>
  <c r="W105" i="1"/>
  <c r="V105" i="1"/>
  <c r="U105" i="1"/>
  <c r="Z104" i="1"/>
  <c r="X104" i="1"/>
  <c r="W104" i="1"/>
  <c r="V104" i="1"/>
  <c r="U104" i="1"/>
  <c r="Z103" i="1"/>
  <c r="X103" i="1"/>
  <c r="W103" i="1"/>
  <c r="V103" i="1"/>
  <c r="U103" i="1"/>
  <c r="Z102" i="1"/>
  <c r="X102" i="1"/>
  <c r="W102" i="1"/>
  <c r="V102" i="1"/>
  <c r="U102" i="1"/>
  <c r="Z101" i="1"/>
  <c r="X101" i="1"/>
  <c r="W101" i="1"/>
  <c r="V101" i="1"/>
  <c r="U101" i="1"/>
  <c r="Z100" i="1"/>
  <c r="X100" i="1"/>
  <c r="W100" i="1"/>
  <c r="V100" i="1"/>
  <c r="U100" i="1"/>
  <c r="Z99" i="1"/>
  <c r="X99" i="1"/>
  <c r="W99" i="1"/>
  <c r="V99" i="1"/>
  <c r="U99" i="1"/>
  <c r="Z98" i="1"/>
  <c r="X98" i="1"/>
  <c r="W98" i="1"/>
  <c r="V98" i="1"/>
  <c r="U98" i="1"/>
  <c r="Z97" i="1"/>
  <c r="X97" i="1"/>
  <c r="W97" i="1"/>
  <c r="V97" i="1"/>
  <c r="U97" i="1"/>
  <c r="Z96" i="1"/>
  <c r="X96" i="1"/>
  <c r="W96" i="1"/>
  <c r="V96" i="1"/>
  <c r="U96" i="1"/>
  <c r="Z95" i="1"/>
  <c r="X95" i="1"/>
  <c r="W95" i="1"/>
  <c r="V95" i="1"/>
  <c r="U95" i="1"/>
  <c r="Z94" i="1"/>
  <c r="X94" i="1"/>
  <c r="W94" i="1"/>
  <c r="V94" i="1"/>
  <c r="U94" i="1"/>
  <c r="Z93" i="1"/>
  <c r="X93" i="1"/>
  <c r="W93" i="1"/>
  <c r="V93" i="1"/>
  <c r="U93" i="1"/>
  <c r="Z92" i="1"/>
  <c r="X92" i="1"/>
  <c r="W92" i="1"/>
  <c r="V92" i="1"/>
  <c r="U92" i="1"/>
  <c r="Z91" i="1"/>
  <c r="X91" i="1"/>
  <c r="W91" i="1"/>
  <c r="V91" i="1"/>
  <c r="U91" i="1"/>
  <c r="Z90" i="1"/>
  <c r="X90" i="1"/>
  <c r="W90" i="1"/>
  <c r="V90" i="1"/>
  <c r="U90" i="1"/>
  <c r="Z89" i="1"/>
  <c r="X89" i="1"/>
  <c r="W89" i="1"/>
  <c r="V89" i="1"/>
  <c r="U89" i="1"/>
  <c r="Z88" i="1"/>
  <c r="X88" i="1"/>
  <c r="W88" i="1"/>
  <c r="V88" i="1"/>
  <c r="U88" i="1"/>
  <c r="Z87" i="1"/>
  <c r="X87" i="1"/>
  <c r="W87" i="1"/>
  <c r="V87" i="1"/>
  <c r="U87" i="1"/>
  <c r="Z86" i="1"/>
  <c r="X86" i="1"/>
  <c r="W86" i="1"/>
  <c r="V86" i="1"/>
  <c r="U86" i="1"/>
  <c r="Z85" i="1"/>
  <c r="X85" i="1"/>
  <c r="W85" i="1"/>
  <c r="V85" i="1"/>
  <c r="U85" i="1"/>
  <c r="Z84" i="1"/>
  <c r="X84" i="1"/>
  <c r="W84" i="1"/>
  <c r="V84" i="1"/>
  <c r="U84" i="1"/>
  <c r="Z83" i="1"/>
  <c r="X83" i="1"/>
  <c r="W83" i="1"/>
  <c r="V83" i="1"/>
  <c r="U83" i="1"/>
  <c r="Z82" i="1"/>
  <c r="X82" i="1"/>
  <c r="W82" i="1"/>
  <c r="V82" i="1"/>
  <c r="U82" i="1"/>
  <c r="Z81" i="1"/>
  <c r="X81" i="1"/>
  <c r="W81" i="1"/>
  <c r="V81" i="1"/>
  <c r="U81" i="1"/>
  <c r="Z80" i="1"/>
  <c r="X80" i="1"/>
  <c r="W80" i="1"/>
  <c r="V80" i="1"/>
  <c r="U80" i="1"/>
  <c r="Z79" i="1"/>
  <c r="X79" i="1"/>
  <c r="W79" i="1"/>
  <c r="V79" i="1"/>
  <c r="U79" i="1"/>
  <c r="Z78" i="1"/>
  <c r="X78" i="1"/>
  <c r="W78" i="1"/>
  <c r="V78" i="1"/>
  <c r="U78" i="1"/>
  <c r="Z77" i="1"/>
  <c r="X77" i="1"/>
  <c r="W77" i="1"/>
  <c r="V77" i="1"/>
  <c r="U77" i="1"/>
  <c r="Z76" i="1"/>
  <c r="X76" i="1"/>
  <c r="W76" i="1"/>
  <c r="V76" i="1"/>
  <c r="U76" i="1"/>
  <c r="Z75" i="1"/>
  <c r="X75" i="1"/>
  <c r="W75" i="1"/>
  <c r="V75" i="1"/>
  <c r="U75" i="1"/>
  <c r="Z74" i="1"/>
  <c r="X74" i="1"/>
  <c r="W74" i="1"/>
  <c r="V74" i="1"/>
  <c r="U74" i="1"/>
  <c r="Z73" i="1"/>
  <c r="X73" i="1"/>
  <c r="W73" i="1"/>
  <c r="V73" i="1"/>
  <c r="U73" i="1"/>
  <c r="Z72" i="1"/>
  <c r="X72" i="1"/>
  <c r="W72" i="1"/>
  <c r="V72" i="1"/>
  <c r="U72" i="1"/>
  <c r="Z71" i="1"/>
  <c r="X71" i="1"/>
  <c r="W71" i="1"/>
  <c r="V71" i="1"/>
  <c r="U71" i="1"/>
  <c r="Z70" i="1"/>
  <c r="X70" i="1"/>
  <c r="W70" i="1"/>
  <c r="V70" i="1"/>
  <c r="U70" i="1"/>
  <c r="Z69" i="1"/>
  <c r="X69" i="1"/>
  <c r="W69" i="1"/>
  <c r="V69" i="1"/>
  <c r="U69" i="1"/>
  <c r="Z68" i="1"/>
  <c r="X68" i="1"/>
  <c r="W68" i="1"/>
  <c r="V68" i="1"/>
  <c r="U68" i="1"/>
  <c r="Z67" i="1"/>
  <c r="X67" i="1"/>
  <c r="W67" i="1"/>
  <c r="V67" i="1"/>
  <c r="U67" i="1"/>
  <c r="Z66" i="1"/>
  <c r="X66" i="1"/>
  <c r="W66" i="1"/>
  <c r="V66" i="1"/>
  <c r="U66" i="1"/>
  <c r="Z65" i="1"/>
  <c r="X65" i="1"/>
  <c r="W65" i="1"/>
  <c r="V65" i="1"/>
  <c r="U65" i="1"/>
  <c r="Z64" i="1"/>
  <c r="X64" i="1"/>
  <c r="W64" i="1"/>
  <c r="V64" i="1"/>
  <c r="U64" i="1"/>
  <c r="Z63" i="1"/>
  <c r="X63" i="1"/>
  <c r="W63" i="1"/>
  <c r="V63" i="1"/>
  <c r="U63" i="1"/>
  <c r="Z62" i="1"/>
  <c r="X62" i="1"/>
  <c r="W62" i="1"/>
  <c r="V62" i="1"/>
  <c r="U62" i="1"/>
  <c r="Z61" i="1"/>
  <c r="X61" i="1"/>
  <c r="W61" i="1"/>
  <c r="V61" i="1"/>
  <c r="U61" i="1"/>
  <c r="Z60" i="1"/>
  <c r="X60" i="1"/>
  <c r="W60" i="1"/>
  <c r="V60" i="1"/>
  <c r="U60" i="1"/>
  <c r="Z59" i="1"/>
  <c r="X59" i="1"/>
  <c r="W59" i="1"/>
  <c r="V59" i="1"/>
  <c r="U59" i="1"/>
  <c r="Z58" i="1"/>
  <c r="X58" i="1"/>
  <c r="W58" i="1"/>
  <c r="V58" i="1"/>
  <c r="U58" i="1"/>
  <c r="Z57" i="1"/>
  <c r="X57" i="1"/>
  <c r="W57" i="1"/>
  <c r="V57" i="1"/>
  <c r="U57" i="1"/>
  <c r="Z56" i="1"/>
  <c r="X56" i="1"/>
  <c r="W56" i="1"/>
  <c r="V56" i="1"/>
  <c r="U56" i="1"/>
  <c r="Z55" i="1"/>
  <c r="X55" i="1"/>
  <c r="W55" i="1"/>
  <c r="V55" i="1"/>
  <c r="U55" i="1"/>
  <c r="Z54" i="1"/>
  <c r="X54" i="1"/>
  <c r="W54" i="1"/>
  <c r="V54" i="1"/>
  <c r="U54" i="1"/>
  <c r="Z53" i="1"/>
  <c r="X53" i="1"/>
  <c r="W53" i="1"/>
  <c r="V53" i="1"/>
  <c r="U53" i="1"/>
  <c r="Z52" i="1"/>
  <c r="X52" i="1"/>
  <c r="W52" i="1"/>
  <c r="V52" i="1"/>
  <c r="U52" i="1"/>
  <c r="Z51" i="1"/>
  <c r="X51" i="1"/>
  <c r="W51" i="1"/>
  <c r="V51" i="1"/>
  <c r="U51" i="1"/>
  <c r="Z50" i="1"/>
  <c r="X50" i="1"/>
  <c r="W50" i="1"/>
  <c r="V50" i="1"/>
  <c r="U50" i="1"/>
  <c r="Z49" i="1"/>
  <c r="X49" i="1"/>
  <c r="W49" i="1"/>
  <c r="V49" i="1"/>
  <c r="U49" i="1"/>
  <c r="Z48" i="1"/>
  <c r="X48" i="1"/>
  <c r="W48" i="1"/>
  <c r="V48" i="1"/>
  <c r="U48" i="1"/>
  <c r="Z47" i="1"/>
  <c r="X47" i="1"/>
  <c r="W47" i="1"/>
  <c r="V47" i="1"/>
  <c r="U47" i="1"/>
  <c r="Z46" i="1"/>
  <c r="X46" i="1"/>
  <c r="W46" i="1"/>
  <c r="V46" i="1"/>
  <c r="U46" i="1"/>
  <c r="Z45" i="1"/>
  <c r="X45" i="1"/>
  <c r="W45" i="1"/>
  <c r="V45" i="1"/>
  <c r="U45" i="1"/>
  <c r="Z44" i="1"/>
  <c r="X44" i="1"/>
  <c r="W44" i="1"/>
  <c r="V44" i="1"/>
  <c r="U44" i="1"/>
  <c r="Z43" i="1"/>
  <c r="X43" i="1"/>
  <c r="W43" i="1"/>
  <c r="V43" i="1"/>
  <c r="U43" i="1"/>
  <c r="Z42" i="1"/>
  <c r="X42" i="1"/>
  <c r="W42" i="1"/>
  <c r="V42" i="1"/>
  <c r="U42" i="1"/>
  <c r="Z41" i="1"/>
  <c r="X41" i="1"/>
  <c r="W41" i="1"/>
  <c r="V41" i="1"/>
  <c r="U41" i="1"/>
  <c r="Z40" i="1"/>
  <c r="X40" i="1"/>
  <c r="W40" i="1"/>
  <c r="V40" i="1"/>
  <c r="U40" i="1"/>
  <c r="Z39" i="1"/>
  <c r="X39" i="1"/>
  <c r="W39" i="1"/>
  <c r="V39" i="1"/>
  <c r="U39" i="1"/>
  <c r="Z38" i="1"/>
  <c r="X38" i="1"/>
  <c r="W38" i="1"/>
  <c r="V38" i="1"/>
  <c r="U38" i="1"/>
  <c r="Z37" i="1"/>
  <c r="X37" i="1"/>
  <c r="W37" i="1"/>
  <c r="V37" i="1"/>
  <c r="U37" i="1"/>
  <c r="Z36" i="1"/>
  <c r="X36" i="1"/>
  <c r="W36" i="1"/>
  <c r="V36" i="1"/>
  <c r="U36" i="1"/>
  <c r="Z35" i="1"/>
  <c r="X35" i="1"/>
  <c r="W35" i="1"/>
  <c r="V35" i="1"/>
  <c r="U35" i="1"/>
  <c r="Z34" i="1"/>
  <c r="X34" i="1"/>
  <c r="W34" i="1"/>
  <c r="V34" i="1"/>
  <c r="U34" i="1"/>
  <c r="Z33" i="1"/>
  <c r="X33" i="1"/>
  <c r="W33" i="1"/>
  <c r="V33" i="1"/>
  <c r="U33" i="1"/>
  <c r="Z32" i="1"/>
  <c r="X32" i="1"/>
  <c r="W32" i="1"/>
  <c r="V32" i="1"/>
  <c r="U32" i="1"/>
  <c r="Z31" i="1"/>
  <c r="X31" i="1"/>
  <c r="W31" i="1"/>
  <c r="V31" i="1"/>
  <c r="U31" i="1"/>
  <c r="Z30" i="1"/>
  <c r="X30" i="1"/>
  <c r="W30" i="1"/>
  <c r="V30" i="1"/>
  <c r="U30" i="1"/>
  <c r="Z29" i="1"/>
  <c r="X29" i="1"/>
  <c r="W29" i="1"/>
  <c r="V29" i="1"/>
  <c r="U29" i="1"/>
  <c r="Z28" i="1"/>
  <c r="X28" i="1"/>
  <c r="W28" i="1"/>
  <c r="V28" i="1"/>
  <c r="U28" i="1"/>
  <c r="Z27" i="1"/>
  <c r="X27" i="1"/>
  <c r="W27" i="1"/>
  <c r="V27" i="1"/>
  <c r="U27" i="1"/>
  <c r="Z26" i="1"/>
  <c r="X26" i="1"/>
  <c r="W26" i="1"/>
  <c r="V26" i="1"/>
  <c r="U26" i="1"/>
  <c r="Z25" i="1"/>
  <c r="X25" i="1"/>
  <c r="W25" i="1"/>
  <c r="V25" i="1"/>
  <c r="U25" i="1"/>
  <c r="Z24" i="1"/>
  <c r="X24" i="1"/>
  <c r="W24" i="1"/>
  <c r="V24" i="1"/>
  <c r="U24" i="1"/>
  <c r="Z23" i="1"/>
  <c r="X23" i="1"/>
  <c r="W23" i="1"/>
  <c r="V23" i="1"/>
  <c r="U23" i="1"/>
  <c r="Z22" i="1"/>
  <c r="X22" i="1"/>
  <c r="W22" i="1"/>
  <c r="V22" i="1"/>
  <c r="U22" i="1"/>
  <c r="Z21" i="1"/>
  <c r="X21" i="1"/>
  <c r="W21" i="1"/>
  <c r="V21" i="1"/>
  <c r="U21" i="1"/>
  <c r="Z20" i="1"/>
  <c r="X20" i="1"/>
  <c r="W20" i="1"/>
  <c r="V20" i="1"/>
  <c r="U20" i="1"/>
  <c r="Z19" i="1"/>
  <c r="X19" i="1"/>
  <c r="W19" i="1"/>
  <c r="V19" i="1"/>
  <c r="U19" i="1"/>
  <c r="Z18" i="1"/>
  <c r="X18" i="1"/>
  <c r="W18" i="1"/>
  <c r="V18" i="1"/>
  <c r="U18" i="1"/>
  <c r="Z17" i="1"/>
  <c r="X17" i="1"/>
  <c r="W17" i="1"/>
  <c r="V17" i="1"/>
  <c r="U17" i="1"/>
  <c r="Z16" i="1"/>
  <c r="X16" i="1"/>
  <c r="W16" i="1"/>
  <c r="V16" i="1"/>
  <c r="U16" i="1"/>
  <c r="Z15" i="1"/>
  <c r="X15" i="1"/>
  <c r="W15" i="1"/>
  <c r="V15" i="1"/>
  <c r="U15" i="1"/>
  <c r="Z14" i="1"/>
  <c r="X14" i="1"/>
  <c r="W14" i="1"/>
  <c r="V14" i="1"/>
  <c r="U14" i="1"/>
  <c r="Z13" i="1"/>
  <c r="X13" i="1"/>
  <c r="W13" i="1"/>
  <c r="V13" i="1"/>
  <c r="U13" i="1"/>
  <c r="Z12" i="1"/>
  <c r="X12" i="1"/>
  <c r="W12" i="1"/>
  <c r="V12" i="1"/>
  <c r="U12" i="1"/>
  <c r="Z11" i="1"/>
  <c r="X11" i="1"/>
  <c r="W11" i="1"/>
  <c r="V11" i="1"/>
  <c r="U11" i="1"/>
  <c r="Z10" i="1"/>
  <c r="X10" i="1"/>
  <c r="W10" i="1"/>
  <c r="V10" i="1"/>
  <c r="U10" i="1"/>
  <c r="Z9" i="1"/>
  <c r="X9" i="1"/>
  <c r="W9" i="1"/>
  <c r="V9" i="1"/>
  <c r="U9" i="1"/>
  <c r="Z8" i="1"/>
  <c r="X8" i="1"/>
  <c r="W8" i="1"/>
  <c r="V8" i="1"/>
  <c r="U8" i="1"/>
  <c r="Z7" i="1"/>
  <c r="X7" i="1"/>
  <c r="W7" i="1"/>
  <c r="V7" i="1"/>
  <c r="U7" i="1"/>
  <c r="Z6" i="1"/>
  <c r="X6" i="1"/>
  <c r="W6" i="1"/>
  <c r="V6" i="1"/>
  <c r="U6" i="1"/>
  <c r="Z5" i="1"/>
  <c r="X5" i="1"/>
  <c r="W5" i="1"/>
  <c r="V5" i="1"/>
  <c r="U5" i="1"/>
  <c r="Z4" i="1"/>
  <c r="X4" i="1"/>
  <c r="W4" i="1"/>
  <c r="V4" i="1"/>
  <c r="U4" i="1"/>
  <c r="Z3" i="1"/>
  <c r="X3" i="1"/>
  <c r="W3" i="1"/>
  <c r="V3" i="1"/>
  <c r="U3" i="1"/>
  <c r="Z2" i="1"/>
  <c r="X2" i="1"/>
  <c r="W2" i="1"/>
  <c r="V2" i="1"/>
  <c r="U2" i="1"/>
  <c r="Y3" i="1" l="1"/>
  <c r="Y31" i="1"/>
  <c r="Y47" i="1"/>
  <c r="Y4" i="1"/>
  <c r="Y12" i="1"/>
  <c r="Y20" i="1"/>
  <c r="Y28" i="1"/>
  <c r="Y36" i="1"/>
  <c r="Y44" i="1"/>
  <c r="Y52" i="1"/>
  <c r="Y60" i="1"/>
  <c r="Y68" i="1"/>
  <c r="Y76" i="1"/>
  <c r="Y84" i="1"/>
  <c r="Y92" i="1"/>
  <c r="Y100" i="1"/>
  <c r="Y108" i="1"/>
  <c r="Y116" i="1"/>
  <c r="Y124" i="1"/>
  <c r="Y132" i="1"/>
  <c r="Y140" i="1"/>
  <c r="Y148" i="1"/>
  <c r="Y156" i="1"/>
  <c r="Y164" i="1"/>
  <c r="Y27" i="1"/>
  <c r="Y9" i="1"/>
  <c r="Y17" i="1"/>
  <c r="Y25" i="1"/>
  <c r="Y33" i="1"/>
  <c r="Y41" i="1"/>
  <c r="Y49" i="1"/>
  <c r="Y57" i="1"/>
  <c r="Y65" i="1"/>
  <c r="Y73" i="1"/>
  <c r="Y81" i="1"/>
  <c r="Y89" i="1"/>
  <c r="Y97" i="1"/>
  <c r="Y105" i="1"/>
  <c r="Y113" i="1"/>
  <c r="Y121" i="1"/>
  <c r="Y129" i="1"/>
  <c r="Y137" i="1"/>
  <c r="Y145" i="1"/>
  <c r="Y153" i="1"/>
  <c r="Y161" i="1"/>
  <c r="Y19" i="1"/>
  <c r="Y15" i="1"/>
  <c r="Y6" i="1"/>
  <c r="Y14" i="1"/>
  <c r="Y22" i="1"/>
  <c r="Y30" i="1"/>
  <c r="Y38" i="1"/>
  <c r="Y46" i="1"/>
  <c r="Y54" i="1"/>
  <c r="Y62" i="1"/>
  <c r="Y70" i="1"/>
  <c r="Y78" i="1"/>
  <c r="Y86" i="1"/>
  <c r="Y94" i="1"/>
  <c r="Y102" i="1"/>
  <c r="Y110" i="1"/>
  <c r="Y118" i="1"/>
  <c r="Y126" i="1"/>
  <c r="Y134" i="1"/>
  <c r="Y142" i="1"/>
  <c r="Y150" i="1"/>
  <c r="Y158" i="1"/>
  <c r="Y166" i="1"/>
  <c r="Y11" i="1"/>
  <c r="Y35" i="1"/>
  <c r="Y43" i="1"/>
  <c r="Y51" i="1"/>
  <c r="Y59" i="1"/>
  <c r="Y67" i="1"/>
  <c r="Y75" i="1"/>
  <c r="Y83" i="1"/>
  <c r="Y91" i="1"/>
  <c r="Y99" i="1"/>
  <c r="Y107" i="1"/>
  <c r="Y115" i="1"/>
  <c r="Y123" i="1"/>
  <c r="Y131" i="1"/>
  <c r="Y139" i="1"/>
  <c r="Y147" i="1"/>
  <c r="Y155" i="1"/>
  <c r="Y163" i="1"/>
  <c r="Y24" i="1"/>
  <c r="Y40" i="1"/>
  <c r="Y48" i="1"/>
  <c r="Y56" i="1"/>
  <c r="Y64" i="1"/>
  <c r="Y72" i="1"/>
  <c r="Y80" i="1"/>
  <c r="Y88" i="1"/>
  <c r="Y96" i="1"/>
  <c r="Y104" i="1"/>
  <c r="Y112" i="1"/>
  <c r="Y120" i="1"/>
  <c r="Y128" i="1"/>
  <c r="Y136" i="1"/>
  <c r="Y144" i="1"/>
  <c r="Y152" i="1"/>
  <c r="Y160" i="1"/>
  <c r="Y8" i="1"/>
  <c r="Y32" i="1"/>
  <c r="Y5" i="1"/>
  <c r="Y13" i="1"/>
  <c r="Y21" i="1"/>
  <c r="Y29" i="1"/>
  <c r="Y37" i="1"/>
  <c r="Y45" i="1"/>
  <c r="Y53" i="1"/>
  <c r="Y61" i="1"/>
  <c r="Y69" i="1"/>
  <c r="Y77" i="1"/>
  <c r="Y85" i="1"/>
  <c r="Y93" i="1"/>
  <c r="Y101" i="1"/>
  <c r="Y109" i="1"/>
  <c r="Y117" i="1"/>
  <c r="Y125" i="1"/>
  <c r="Y133" i="1"/>
  <c r="Y141" i="1"/>
  <c r="Y149" i="1"/>
  <c r="Y157" i="1"/>
  <c r="Y165" i="1"/>
  <c r="Y16" i="1"/>
  <c r="Y2" i="1"/>
  <c r="Y10" i="1"/>
  <c r="Y18" i="1"/>
  <c r="Y26" i="1"/>
  <c r="Y34" i="1"/>
  <c r="Y42" i="1"/>
  <c r="Y50" i="1"/>
  <c r="Y58" i="1"/>
  <c r="Y66" i="1"/>
  <c r="Y74" i="1"/>
  <c r="Y82" i="1"/>
  <c r="Y90" i="1"/>
  <c r="Y98" i="1"/>
  <c r="Y106" i="1"/>
  <c r="Y114" i="1"/>
  <c r="Y122" i="1"/>
  <c r="Y130" i="1"/>
  <c r="Y138" i="1"/>
  <c r="Y146" i="1"/>
  <c r="Y154" i="1"/>
  <c r="Y162" i="1"/>
  <c r="Y7" i="1"/>
  <c r="Y23" i="1"/>
  <c r="Y39" i="1"/>
  <c r="Y55" i="1"/>
  <c r="Y63" i="1"/>
  <c r="Y71" i="1"/>
  <c r="Y79" i="1"/>
  <c r="Y87" i="1"/>
  <c r="Y95" i="1"/>
  <c r="Y103" i="1"/>
  <c r="Y111" i="1"/>
  <c r="Y119" i="1"/>
  <c r="Y127" i="1"/>
  <c r="Y135" i="1"/>
  <c r="Y143" i="1"/>
  <c r="Y151" i="1"/>
  <c r="Y159" i="1"/>
</calcChain>
</file>

<file path=xl/sharedStrings.xml><?xml version="1.0" encoding="utf-8"?>
<sst xmlns="http://schemas.openxmlformats.org/spreadsheetml/2006/main" count="7081" uniqueCount="801">
  <si>
    <t>Confirmation code</t>
  </si>
  <si>
    <t>Status</t>
  </si>
  <si>
    <t>Guest name</t>
  </si>
  <si>
    <t>Contact</t>
  </si>
  <si>
    <t># of adults</t>
  </si>
  <si>
    <t># of children</t>
  </si>
  <si>
    <t># of infants</t>
  </si>
  <si>
    <t>Start date</t>
  </si>
  <si>
    <t>End date</t>
  </si>
  <si>
    <t># of nights</t>
  </si>
  <si>
    <t>Booked</t>
  </si>
  <si>
    <t>Listing</t>
  </si>
  <si>
    <t>Earnings</t>
  </si>
  <si>
    <t>Properties</t>
  </si>
  <si>
    <t>Walk Through before guest check in</t>
  </si>
  <si>
    <t>Clean up after guests check out</t>
  </si>
  <si>
    <t>Airbnb/VRBO</t>
  </si>
  <si>
    <t>Check 1</t>
  </si>
  <si>
    <t xml:space="preserve">Check </t>
  </si>
  <si>
    <t>Check for conflicts</t>
  </si>
  <si>
    <t>Directly</t>
  </si>
  <si>
    <t>Kitti Teso</t>
  </si>
  <si>
    <t>65th Terr</t>
  </si>
  <si>
    <t>HMXN3KWYJM</t>
  </si>
  <si>
    <t>Currently hosting</t>
  </si>
  <si>
    <t>Saul Maldonado</t>
  </si>
  <si>
    <t>+1 904-400-8298</t>
  </si>
  <si>
    <t>119th Terrace Vacation Home in Largo</t>
  </si>
  <si>
    <t>119th</t>
  </si>
  <si>
    <t>HM8WB5JKHZ</t>
  </si>
  <si>
    <t>Alan Salas</t>
  </si>
  <si>
    <t>+1 303-901-9414</t>
  </si>
  <si>
    <t>49th Ave Gem in Lealman area</t>
  </si>
  <si>
    <t>4877 49th Ave N</t>
  </si>
  <si>
    <t>Owner staying</t>
  </si>
  <si>
    <t>Mike Lam</t>
  </si>
  <si>
    <t>Canterbury</t>
  </si>
  <si>
    <t>HMDTQQCJJM</t>
  </si>
  <si>
    <t>Richard Solomon</t>
  </si>
  <si>
    <t>+1 332-323-7280</t>
  </si>
  <si>
    <t>Sheldon Chase - the Cozy Tampa Retreat with POOL</t>
  </si>
  <si>
    <t>Sheldon Chase</t>
  </si>
  <si>
    <t>HM8YAQYQMS</t>
  </si>
  <si>
    <t>Tanisha Louisa</t>
  </si>
  <si>
    <t>+1 502-540-9010</t>
  </si>
  <si>
    <t>Toucan Luxury Oasis - Heated POOL and SPA</t>
  </si>
  <si>
    <t>Toucan</t>
  </si>
  <si>
    <t>Duy Lam</t>
  </si>
  <si>
    <t>54th Ave</t>
  </si>
  <si>
    <t>HMKTWZ9YP3</t>
  </si>
  <si>
    <t>Confirmed</t>
  </si>
  <si>
    <t>Alice Hunt</t>
  </si>
  <si>
    <t>+1 812-989-6895</t>
  </si>
  <si>
    <t>102nd Pinellas Park home w/ screened POOL</t>
  </si>
  <si>
    <t>102nd</t>
  </si>
  <si>
    <t>HMDNHY93WB</t>
  </si>
  <si>
    <t>Tony Martinez</t>
  </si>
  <si>
    <t>+1 239-784-1118</t>
  </si>
  <si>
    <t>Elmhurst Getaway Home w/ screened POOL</t>
  </si>
  <si>
    <t>Elmhurst</t>
  </si>
  <si>
    <t>HMWATRPE8R</t>
  </si>
  <si>
    <t>Daimar Diaz</t>
  </si>
  <si>
    <t>+1 470-938-5194</t>
  </si>
  <si>
    <t>Hidden Gem in Oakhurst Area - 4 mins to the Beach</t>
  </si>
  <si>
    <t>106th Ave</t>
  </si>
  <si>
    <t>HMQ3KMQNX9</t>
  </si>
  <si>
    <t>Sandra Elliott</t>
  </si>
  <si>
    <t>+1 585-506-7169</t>
  </si>
  <si>
    <t>Pinellas Coastal: Pool &amp; Jacuzzi Vacation Home</t>
  </si>
  <si>
    <t>64th Street</t>
  </si>
  <si>
    <t>HMHCA35ERM</t>
  </si>
  <si>
    <t>Alexandria Ezquerra</t>
  </si>
  <si>
    <t>+1 904-814-5441</t>
  </si>
  <si>
    <t>Sunrise Escape waterfront - pool heater avail</t>
  </si>
  <si>
    <t>Sunrise</t>
  </si>
  <si>
    <t>HM3WRJAT4Y</t>
  </si>
  <si>
    <t>Willie Will</t>
  </si>
  <si>
    <t>+1 501-230-3169</t>
  </si>
  <si>
    <t>Oceanfront Getaway, boat dock, pool heating avail</t>
  </si>
  <si>
    <t>11523 48th</t>
  </si>
  <si>
    <t>Chi Lan Anh</t>
  </si>
  <si>
    <t>4801 48th</t>
  </si>
  <si>
    <t>HMREP2ZWED</t>
  </si>
  <si>
    <t>Zoey Manasakis</t>
  </si>
  <si>
    <t>+1 516-286-0702</t>
  </si>
  <si>
    <t>Lake Valencia Cove - Pool Heating Avail</t>
  </si>
  <si>
    <t>Lake Valencia</t>
  </si>
  <si>
    <t>HMS2HSHWEX</t>
  </si>
  <si>
    <t>Ralph Williams</t>
  </si>
  <si>
    <t>+1 352-603-2677</t>
  </si>
  <si>
    <t>HMSDEMQP5T</t>
  </si>
  <si>
    <t>Candice Cain</t>
  </si>
  <si>
    <t>+1 631-813-0815</t>
  </si>
  <si>
    <t>Coastal Breeze on 66th Avenue</t>
  </si>
  <si>
    <t>66th Ave</t>
  </si>
  <si>
    <t>HMKTYFAC3E</t>
  </si>
  <si>
    <t>Jacqueline Cornell</t>
  </si>
  <si>
    <t>+1 601-678-2596</t>
  </si>
  <si>
    <t>HMD2QJS3YA</t>
  </si>
  <si>
    <t>Eric Wildberger</t>
  </si>
  <si>
    <t>+55 71 99300-1662</t>
  </si>
  <si>
    <t>76th Av Pinellas Park Centralized &amp; Spacious House</t>
  </si>
  <si>
    <t>76th Ave</t>
  </si>
  <si>
    <t>HMEDBYH9HM</t>
  </si>
  <si>
    <t>Luis Romero</t>
  </si>
  <si>
    <t>+1 786-797-1915</t>
  </si>
  <si>
    <t>HM4SENNDYM</t>
  </si>
  <si>
    <t>Susan Signer</t>
  </si>
  <si>
    <t>+1 815-990-4519</t>
  </si>
  <si>
    <t>HM2EJS8FSK</t>
  </si>
  <si>
    <t>Amir Raekwon Wells</t>
  </si>
  <si>
    <t>+1 856-676-5205</t>
  </si>
  <si>
    <t>HMXRPAYEE3</t>
  </si>
  <si>
    <t>Karen Anderson</t>
  </si>
  <si>
    <t>+1 912-755-0164</t>
  </si>
  <si>
    <t>HA-DDT8R4</t>
  </si>
  <si>
    <t>Bob Fehr</t>
  </si>
  <si>
    <t>HMMFEQPX34</t>
  </si>
  <si>
    <t>Lisa Vigilante</t>
  </si>
  <si>
    <t>+1 757-759-6739</t>
  </si>
  <si>
    <t>HMSJ2NY8YQ</t>
  </si>
  <si>
    <t>Cheryl Carter</t>
  </si>
  <si>
    <t>+1 479-806-1445</t>
  </si>
  <si>
    <t>Clearwater Poolside Phillies' Haven</t>
  </si>
  <si>
    <t>Oakdale</t>
  </si>
  <si>
    <t>HMZDXCD8FZ</t>
  </si>
  <si>
    <t>Sonny Visco</t>
  </si>
  <si>
    <t>+1 347-742-6992</t>
  </si>
  <si>
    <t>HMB5HWFT4Q</t>
  </si>
  <si>
    <t>Becki Miller</t>
  </si>
  <si>
    <t>+1 404-395-4097</t>
  </si>
  <si>
    <t>HMCTE4D2DY</t>
  </si>
  <si>
    <t>Logan Ahmann</t>
  </si>
  <si>
    <t>+1 563-451-9390</t>
  </si>
  <si>
    <t>HMTT4EZTZ9</t>
  </si>
  <si>
    <t>Sumanth Toom</t>
  </si>
  <si>
    <t>+1 781-996-9996</t>
  </si>
  <si>
    <t>HMC4HCYA4M</t>
  </si>
  <si>
    <t>Michael Andreski</t>
  </si>
  <si>
    <t>+1 336-927-9175</t>
  </si>
  <si>
    <t>5bd/3.5ba BIG House w/ POOL near Pinellas Park</t>
  </si>
  <si>
    <t>HM4NWJSDZJ</t>
  </si>
  <si>
    <t>Mollie Crockett</t>
  </si>
  <si>
    <t>+1 336-409-1052</t>
  </si>
  <si>
    <t>HA-ZMNR9R</t>
  </si>
  <si>
    <t>Evelyn Sechler</t>
  </si>
  <si>
    <t>HA-L333C1</t>
  </si>
  <si>
    <t>Joe Foti</t>
  </si>
  <si>
    <t>HM855CCK39</t>
  </si>
  <si>
    <t>Heather Medeiros</t>
  </si>
  <si>
    <t>+1 401-524-2494</t>
  </si>
  <si>
    <t>HM3P4HYYR9</t>
  </si>
  <si>
    <t>Matthew Stevenson</t>
  </si>
  <si>
    <t>+1 302-528-3431</t>
  </si>
  <si>
    <t>HMP9RZAMF4</t>
  </si>
  <si>
    <t>Jennifer Reuter</t>
  </si>
  <si>
    <t>+1 862-266-7755</t>
  </si>
  <si>
    <t>HM5A8SNYSM</t>
  </si>
  <si>
    <t>Thomas McCauley</t>
  </si>
  <si>
    <t>+1 781-244-8312</t>
  </si>
  <si>
    <t>HMXEQ58D3W</t>
  </si>
  <si>
    <t>Brittany Howard</t>
  </si>
  <si>
    <t>+1 478-278-2440</t>
  </si>
  <si>
    <t>Serene Waterside Escape w Pool &amp; Spacious Backyard</t>
  </si>
  <si>
    <t>73rd Ave</t>
  </si>
  <si>
    <t>HMQWBHWT8B</t>
  </si>
  <si>
    <t>Zach Anderson</t>
  </si>
  <si>
    <t>+1 352-872-2391</t>
  </si>
  <si>
    <t>HMZXAHP9M5</t>
  </si>
  <si>
    <t>Chrystal Mcdowell</t>
  </si>
  <si>
    <t>+1 352-431-4339</t>
  </si>
  <si>
    <t>HA-BKJ704</t>
  </si>
  <si>
    <t>Marcus Watson</t>
  </si>
  <si>
    <t>50th Ave</t>
  </si>
  <si>
    <t>HA-5H8W6L</t>
  </si>
  <si>
    <t>Darrell Goodwin</t>
  </si>
  <si>
    <t>4760 48th Ave</t>
  </si>
  <si>
    <t>HMKEJKJE4Y</t>
  </si>
  <si>
    <t>Kelsey Todd</t>
  </si>
  <si>
    <t>+1 330-692-2854</t>
  </si>
  <si>
    <t>HMBPAMFE8K</t>
  </si>
  <si>
    <t>Tom Tischler</t>
  </si>
  <si>
    <t>+1 907-251-7499</t>
  </si>
  <si>
    <t>HA-YSVWF2</t>
  </si>
  <si>
    <t>Jonathon Andreas</t>
  </si>
  <si>
    <t>Lancaster</t>
  </si>
  <si>
    <t>HM2FBPFEQA</t>
  </si>
  <si>
    <t>Jessica Clarke</t>
  </si>
  <si>
    <t>+1 703-263-5186</t>
  </si>
  <si>
    <t>HMY2F95KEQ</t>
  </si>
  <si>
    <t>Russ Winge</t>
  </si>
  <si>
    <t>+1 478-953-1261</t>
  </si>
  <si>
    <t>HMWS3QPFPA</t>
  </si>
  <si>
    <t>Dominique Finley</t>
  </si>
  <si>
    <t>+1 936-438-0557</t>
  </si>
  <si>
    <t>HM5PPK3PP3</t>
  </si>
  <si>
    <t>Mark Lunsford</t>
  </si>
  <si>
    <t>+1 972-951-7321</t>
  </si>
  <si>
    <t>HM33ECZCW4</t>
  </si>
  <si>
    <t>Mary Halliday</t>
  </si>
  <si>
    <t>+1 727-432-1383</t>
  </si>
  <si>
    <t>HMEW5A9BAB</t>
  </si>
  <si>
    <t>Abhishek Parikh</t>
  </si>
  <si>
    <t>+1 732-766-8709</t>
  </si>
  <si>
    <t>Stunning house in Pinellas Park - Pool Heat Avail</t>
  </si>
  <si>
    <t>60th St</t>
  </si>
  <si>
    <t>HMH3FP42RN</t>
  </si>
  <si>
    <t>Hans Launius</t>
  </si>
  <si>
    <t>+1 573-620-0935</t>
  </si>
  <si>
    <t>HMZETRTFD5</t>
  </si>
  <si>
    <t>Eric Hummel</t>
  </si>
  <si>
    <t>+1 908-581-5345</t>
  </si>
  <si>
    <t>HM3MEYH2HF</t>
  </si>
  <si>
    <t>Forrest Hartwig</t>
  </si>
  <si>
    <t>+1 262-470-4866</t>
  </si>
  <si>
    <t>HA-CXPW6K</t>
  </si>
  <si>
    <t>Amy Rice</t>
  </si>
  <si>
    <t>HMDYA34WPY</t>
  </si>
  <si>
    <t>Richard Royer</t>
  </si>
  <si>
    <t>+1 902-818-0983</t>
  </si>
  <si>
    <t>HM8QYSRZJZ</t>
  </si>
  <si>
    <t>Dmytro Kotlyar</t>
  </si>
  <si>
    <t>+380 50 310 6866</t>
  </si>
  <si>
    <t>HMD42NQ22K</t>
  </si>
  <si>
    <t>Blair Stuart</t>
  </si>
  <si>
    <t>+1 706-851-4423</t>
  </si>
  <si>
    <t>Seaside Serenity Waterfront - Pool Heating Avail</t>
  </si>
  <si>
    <t>2137 Sandpiper</t>
  </si>
  <si>
    <t>HMC3YF5K8A</t>
  </si>
  <si>
    <t>Christine Cowl</t>
  </si>
  <si>
    <t>+1 860-759-3669</t>
  </si>
  <si>
    <t>HMHP2NRDEM</t>
  </si>
  <si>
    <t>Danielle Pancer</t>
  </si>
  <si>
    <t>+1 416-721-6288</t>
  </si>
  <si>
    <t>HMBZB84KCN</t>
  </si>
  <si>
    <t>Alex Schuba</t>
  </si>
  <si>
    <t>+1 541-214-5706</t>
  </si>
  <si>
    <t>Intercoastal Getaway Beachside Living in Bradenton</t>
  </si>
  <si>
    <t>47th Bradenton</t>
  </si>
  <si>
    <t>HMWQC9FTJP</t>
  </si>
  <si>
    <t>William Blair</t>
  </si>
  <si>
    <t>+1 814-574-0633</t>
  </si>
  <si>
    <t>HMDQEHDTJE</t>
  </si>
  <si>
    <t>Michael Auten</t>
  </si>
  <si>
    <t>+1 703-431-2544</t>
  </si>
  <si>
    <t>Harbor Hills Escape - Minutes to Indian Rocks Bch</t>
  </si>
  <si>
    <t>Harbor Hills</t>
  </si>
  <si>
    <t>HA-2ZX1N1</t>
  </si>
  <si>
    <t>Rebecca Silva</t>
  </si>
  <si>
    <t>HMPS2NQ8ZK</t>
  </si>
  <si>
    <t>Jonathan Duffy</t>
  </si>
  <si>
    <t>+1 704-293-2925</t>
  </si>
  <si>
    <t>HM42S2PKQB</t>
  </si>
  <si>
    <t>Amie Mayhall</t>
  </si>
  <si>
    <t>+1 217-932-3148</t>
  </si>
  <si>
    <t>HMJXWM8F33</t>
  </si>
  <si>
    <t>Hayley Maspero</t>
  </si>
  <si>
    <t>+44 7900 216760</t>
  </si>
  <si>
    <t>Brookside Getaway - screened pool Clearwater</t>
  </si>
  <si>
    <t>Brookside Dr</t>
  </si>
  <si>
    <t>HMHMECHTWQ</t>
  </si>
  <si>
    <t>George Pollock</t>
  </si>
  <si>
    <t>+1 765-427-6892</t>
  </si>
  <si>
    <t>HMFHWCET8J</t>
  </si>
  <si>
    <t>Lisa Magorien</t>
  </si>
  <si>
    <t>+1 805-341-1874</t>
  </si>
  <si>
    <t>Lancaster Perfect Vacation - Pool Heating Avail</t>
  </si>
  <si>
    <t>HMZE8BT5AC</t>
  </si>
  <si>
    <t>Kathrin MĂ¼ller</t>
  </si>
  <si>
    <t>+49 174 7491586</t>
  </si>
  <si>
    <t>Sunny Retreat w/ screened Pool, near Madeira Beach</t>
  </si>
  <si>
    <t>52nd Ave</t>
  </si>
  <si>
    <t>HM8MMSHNJQ</t>
  </si>
  <si>
    <t>Grant Gatzen</t>
  </si>
  <si>
    <t>+1 860-205-6792</t>
  </si>
  <si>
    <t>HA-Q5Y43S</t>
  </si>
  <si>
    <t>Lina Kieliene</t>
  </si>
  <si>
    <t>1860 Sunrise</t>
  </si>
  <si>
    <t>HMN4YQY8WD</t>
  </si>
  <si>
    <t>Priscilla Ameyaw</t>
  </si>
  <si>
    <t>+1 727-458-5422</t>
  </si>
  <si>
    <t>Splashy Getaway - 15 mins to Clearwater Beach</t>
  </si>
  <si>
    <t>HMWMCWEZ5S</t>
  </si>
  <si>
    <t>Tasha Zerna</t>
  </si>
  <si>
    <t>+1 612-306-9526</t>
  </si>
  <si>
    <t>HM5ACJFT9W</t>
  </si>
  <si>
    <t>Karthik Chidambaram</t>
  </si>
  <si>
    <t>+1 425-442-7088</t>
  </si>
  <si>
    <t>Waterfront w/ POOL, few mins from the BEACH</t>
  </si>
  <si>
    <t>Harborwood Dr</t>
  </si>
  <si>
    <t>HMNATWATFC</t>
  </si>
  <si>
    <t>Elizabeth Castillo</t>
  </si>
  <si>
    <t>+1 862-215-0541</t>
  </si>
  <si>
    <t>HMM9DTWCZD</t>
  </si>
  <si>
    <t>Tara Smith</t>
  </si>
  <si>
    <t>+52 322 150 5774</t>
  </si>
  <si>
    <t>HMFFWSAZ4P</t>
  </si>
  <si>
    <t>Lisa Creeth</t>
  </si>
  <si>
    <t>+1 773-875-1623</t>
  </si>
  <si>
    <t>Huston Lane Vacation Pool House Indian Rocks Beach</t>
  </si>
  <si>
    <t>Huston</t>
  </si>
  <si>
    <t>HMZ4W3TMYF</t>
  </si>
  <si>
    <t>Ashley Wolff</t>
  </si>
  <si>
    <t>+1 952-529-1182</t>
  </si>
  <si>
    <t>HM29PYC994</t>
  </si>
  <si>
    <t>Marwan Ismail</t>
  </si>
  <si>
    <t>+1 734-645-4899</t>
  </si>
  <si>
    <t>HMHTTCA2MB</t>
  </si>
  <si>
    <t>Thomas Rizzo</t>
  </si>
  <si>
    <t>+1 716-440-2474</t>
  </si>
  <si>
    <t>HMBRMCNX82</t>
  </si>
  <si>
    <t>Cherryl Graham</t>
  </si>
  <si>
    <t>+1 610-608-5776</t>
  </si>
  <si>
    <t>Winfield Escape w/ Heated Pool Option â€“ Clearwater</t>
  </si>
  <si>
    <t>Winfield</t>
  </si>
  <si>
    <t>HM4HCYB8KB</t>
  </si>
  <si>
    <t>Janie Lincoln</t>
  </si>
  <si>
    <t>+1 309-292-1318</t>
  </si>
  <si>
    <t>Pinellas' Beaches Hideaway with jacuzzi</t>
  </si>
  <si>
    <t>80th</t>
  </si>
  <si>
    <t>HMC2EWAR2Y</t>
  </si>
  <si>
    <t>Amy Lynn Burger</t>
  </si>
  <si>
    <t>+1 414-336-6118</t>
  </si>
  <si>
    <t>HMEERYW85E</t>
  </si>
  <si>
    <t>Dale Stearman</t>
  </si>
  <si>
    <t>+1 502-931-3350</t>
  </si>
  <si>
    <t>Lealman - Traveler's Corner</t>
  </si>
  <si>
    <t>4801 49th</t>
  </si>
  <si>
    <t>HA-TS2BBS</t>
  </si>
  <si>
    <t>Arin Elser</t>
  </si>
  <si>
    <t>HMSFKMXACN</t>
  </si>
  <si>
    <t>Kenn Ritchey</t>
  </si>
  <si>
    <t>+1 314-651-2458</t>
  </si>
  <si>
    <t>HMBANJ2MQ9</t>
  </si>
  <si>
    <t>Elli Horner</t>
  </si>
  <si>
    <t>+1 514-947-1566</t>
  </si>
  <si>
    <t>HA-2CWMW4</t>
  </si>
  <si>
    <t>Jim Conyers</t>
  </si>
  <si>
    <t>HMBAKBAC2N</t>
  </si>
  <si>
    <t>Courtney Glazer</t>
  </si>
  <si>
    <t>+1 314-536-1345</t>
  </si>
  <si>
    <t>HMBME39FW2</t>
  </si>
  <si>
    <t>Brian McCaskey</t>
  </si>
  <si>
    <t>+1 734-233-5472</t>
  </si>
  <si>
    <t>HMWTNNHCAR</t>
  </si>
  <si>
    <t>Alex Shields</t>
  </si>
  <si>
    <t>+1 585-307-9013</t>
  </si>
  <si>
    <t>HA-1TKY33</t>
  </si>
  <si>
    <t>Vivian Baker</t>
  </si>
  <si>
    <t>HM8BRQHAYK</t>
  </si>
  <si>
    <t>Sarah Vonsoosten</t>
  </si>
  <si>
    <t>+1 231-499-9421</t>
  </si>
  <si>
    <t>Steven Watts</t>
  </si>
  <si>
    <t>HMFSRFK4TW</t>
  </si>
  <si>
    <t>Owen Hughes</t>
  </si>
  <si>
    <t>+1 860-930-2118</t>
  </si>
  <si>
    <t>HMPAF5D5Q9</t>
  </si>
  <si>
    <t>Scinyera Hilliard</t>
  </si>
  <si>
    <t>+1 214-454-9681</t>
  </si>
  <si>
    <t>HMKKJQBSFK</t>
  </si>
  <si>
    <t>Aaron Joseph</t>
  </si>
  <si>
    <t>+1 952-994-2918</t>
  </si>
  <si>
    <t>Gorgeous home 10 mins to Madeira Beach</t>
  </si>
  <si>
    <t>Flamingo</t>
  </si>
  <si>
    <t>HMD9MKZK5J</t>
  </si>
  <si>
    <t>Andy Toburen</t>
  </si>
  <si>
    <t>+1 267-664-1489</t>
  </si>
  <si>
    <t>Serenity by the Bay *Waterfront *POOL *BOAT LIFT</t>
  </si>
  <si>
    <t>78th</t>
  </si>
  <si>
    <t>HMWF23WTB9</t>
  </si>
  <si>
    <t>Cris Powers</t>
  </si>
  <si>
    <t>+1 507-254-9046</t>
  </si>
  <si>
    <t>HA-2J3KKG</t>
  </si>
  <si>
    <t>Eileen MORAN</t>
  </si>
  <si>
    <t>HME3RHEYE2</t>
  </si>
  <si>
    <t>Sarah Smith</t>
  </si>
  <si>
    <t>+1 480-694-5628</t>
  </si>
  <si>
    <t>St. Pete's Joy Lounge &amp; Pickleball Escape</t>
  </si>
  <si>
    <t>HA-D4CP2M</t>
  </si>
  <si>
    <t>Elena Chiappa</t>
  </si>
  <si>
    <t>HMQRQWQ9C9</t>
  </si>
  <si>
    <t>Johnna Morgan</t>
  </si>
  <si>
    <t>+1 432-528-5750</t>
  </si>
  <si>
    <t>HA-8BYNW0</t>
  </si>
  <si>
    <t>Sara Wiley</t>
  </si>
  <si>
    <t>HMDFFDCDFK</t>
  </si>
  <si>
    <t>Maria Maher</t>
  </si>
  <si>
    <t>+1 724-396-0527</t>
  </si>
  <si>
    <t>Sea La Vie Cottage by the Beach - Unit B</t>
  </si>
  <si>
    <t>IRB Back</t>
  </si>
  <si>
    <t>HMQZZJEM9Z</t>
  </si>
  <si>
    <t>Tara Kaufman</t>
  </si>
  <si>
    <t>+1 215-840-2182</t>
  </si>
  <si>
    <t>HMYJE4EBCA</t>
  </si>
  <si>
    <t>Donna Redding</t>
  </si>
  <si>
    <t>+1 508-962-4019</t>
  </si>
  <si>
    <t>HMP9F22QMZ</t>
  </si>
  <si>
    <t>Kylie Cole</t>
  </si>
  <si>
    <t>+1 703-201-1168</t>
  </si>
  <si>
    <t>HMF9594Q3J</t>
  </si>
  <si>
    <t>Alyssa Clarke</t>
  </si>
  <si>
    <t>+1 267-337-2328</t>
  </si>
  <si>
    <t>HMCSEMNH95</t>
  </si>
  <si>
    <t>Blake Honetschlager</t>
  </si>
  <si>
    <t>+1 507-317-0348</t>
  </si>
  <si>
    <t>HMXKNDBPSZ</t>
  </si>
  <si>
    <t>Christine Nusslein</t>
  </si>
  <si>
    <t>+1 609-560-1826</t>
  </si>
  <si>
    <t>HMCXABHR8N</t>
  </si>
  <si>
    <t>Craig Green</t>
  </si>
  <si>
    <t>+1 515-778-2828</t>
  </si>
  <si>
    <t>HM33SEPAME</t>
  </si>
  <si>
    <t>Erik Eitner</t>
  </si>
  <si>
    <t>+1 272-200-8874</t>
  </si>
  <si>
    <t>HMQ4F35P2D</t>
  </si>
  <si>
    <t>Jessie Baren</t>
  </si>
  <si>
    <t>+1 310-963-2277</t>
  </si>
  <si>
    <t>HMA8CWAZDN</t>
  </si>
  <si>
    <t>Lisa Petrangelo</t>
  </si>
  <si>
    <t>+1 612-559-4466</t>
  </si>
  <si>
    <t>HM3HA3QQHP</t>
  </si>
  <si>
    <t>Hannah Westbrock</t>
  </si>
  <si>
    <t>+1 763-439-1939</t>
  </si>
  <si>
    <t>HA-L1XJ8S</t>
  </si>
  <si>
    <t>Robert Copeland</t>
  </si>
  <si>
    <t>HMMPZRQF4M</t>
  </si>
  <si>
    <t>Ashlyn Scott</t>
  </si>
  <si>
    <t>+1 904-207-3166</t>
  </si>
  <si>
    <t>HMZ3SKWNRW</t>
  </si>
  <si>
    <t>Julie Moen</t>
  </si>
  <si>
    <t>+1 810-691-0830</t>
  </si>
  <si>
    <t>HM98CAK932</t>
  </si>
  <si>
    <t>Tony Salamone</t>
  </si>
  <si>
    <t>+1 267-577-2505</t>
  </si>
  <si>
    <t>HMYJRPJ5NE</t>
  </si>
  <si>
    <t>Joshua Weiner</t>
  </si>
  <si>
    <t>+1 413-429-1935</t>
  </si>
  <si>
    <t>HMYJFFW84B</t>
  </si>
  <si>
    <t>Kim O'Grady</t>
  </si>
  <si>
    <t>+1 321-615-6053</t>
  </si>
  <si>
    <t>HMN85EQMKW</t>
  </si>
  <si>
    <t>Steve Edwards</t>
  </si>
  <si>
    <t>+1 215-292-1334</t>
  </si>
  <si>
    <t>HMFPD33KJF</t>
  </si>
  <si>
    <t>Alexandra Mauriello</t>
  </si>
  <si>
    <t>+1 647-453-6137</t>
  </si>
  <si>
    <t>HA-VRQFD4</t>
  </si>
  <si>
    <t>Walter Evans</t>
  </si>
  <si>
    <t>Misty Plateau</t>
  </si>
  <si>
    <t>HA-461YBR</t>
  </si>
  <si>
    <t>Juli Rugh</t>
  </si>
  <si>
    <t>41st Bradenton</t>
  </si>
  <si>
    <t>HM2HBNXTSE</t>
  </si>
  <si>
    <t>Rachael Halprin</t>
  </si>
  <si>
    <t>+1 260-668-9620</t>
  </si>
  <si>
    <t>HM59CPCBH3</t>
  </si>
  <si>
    <t>Rick Schweiger</t>
  </si>
  <si>
    <t>+1 224-217-4696</t>
  </si>
  <si>
    <t>HMFERPTKXT</t>
  </si>
  <si>
    <t>Gianna Capalbo</t>
  </si>
  <si>
    <t>+1 609-502-7129</t>
  </si>
  <si>
    <t>HMFREAP9HF</t>
  </si>
  <si>
    <t>LeiLani Naylor</t>
  </si>
  <si>
    <t>+1 319-504-9319</t>
  </si>
  <si>
    <t>HMQS5XSKSK</t>
  </si>
  <si>
    <t>Taylor Reed</t>
  </si>
  <si>
    <t>+1 313-652-5232</t>
  </si>
  <si>
    <t>HMWHHD4ZZY</t>
  </si>
  <si>
    <t>Ashley Parrish</t>
  </si>
  <si>
    <t>+1 615-689-9657</t>
  </si>
  <si>
    <t>HMT5EBWSJB</t>
  </si>
  <si>
    <t>Sean Stubbendick</t>
  </si>
  <si>
    <t>+1 608-201-2364</t>
  </si>
  <si>
    <t>HMPAB3ZZ52</t>
  </si>
  <si>
    <t>Amanda Lahner</t>
  </si>
  <si>
    <t>+1 715-579-8425</t>
  </si>
  <si>
    <t>HM4RX82HHY</t>
  </si>
  <si>
    <t>Kelsey Johnson</t>
  </si>
  <si>
    <t>+1 248-961-3295</t>
  </si>
  <si>
    <t>HMDBWM9HWJ</t>
  </si>
  <si>
    <t>Stephanie Welbaum</t>
  </si>
  <si>
    <t>+1 248-660-6451</t>
  </si>
  <si>
    <t>HMFCE4PTH2</t>
  </si>
  <si>
    <t>Katie Clifford</t>
  </si>
  <si>
    <t>+353 85 158 5107</t>
  </si>
  <si>
    <t>HMMDYASAMN</t>
  </si>
  <si>
    <t>Rachel Sinicki</t>
  </si>
  <si>
    <t>+1 989-225-1636</t>
  </si>
  <si>
    <t>HMSFM5HBZK</t>
  </si>
  <si>
    <t>Nicola King</t>
  </si>
  <si>
    <t>+44 7979 238738</t>
  </si>
  <si>
    <t>HMN8XTFXCC</t>
  </si>
  <si>
    <t>Joe Vernon</t>
  </si>
  <si>
    <t>+1 989-330-1858</t>
  </si>
  <si>
    <t>HMSYYCHR2B</t>
  </si>
  <si>
    <t>Gemma Morgan</t>
  </si>
  <si>
    <t>+44 7885 587636</t>
  </si>
  <si>
    <t>HMCW5A98YK</t>
  </si>
  <si>
    <t>Taylor Williams</t>
  </si>
  <si>
    <t>+1 570-637-2583</t>
  </si>
  <si>
    <t>HMMP82N9Y3</t>
  </si>
  <si>
    <t>Kristin Schoonveld</t>
  </si>
  <si>
    <t>+1 317-691-6073</t>
  </si>
  <si>
    <t>Michael Cleland</t>
  </si>
  <si>
    <t>HA-2GHPXH</t>
  </si>
  <si>
    <t>Deanna Shank</t>
  </si>
  <si>
    <t>HMTSBT3BSR</t>
  </si>
  <si>
    <t>Jim Clark</t>
  </si>
  <si>
    <t>+1 416-560-0917</t>
  </si>
  <si>
    <t>HMANBAEPF2</t>
  </si>
  <si>
    <t>Ashley Denhof</t>
  </si>
  <si>
    <t>+1 231-215-9219</t>
  </si>
  <si>
    <t>HA-FK4HWK</t>
  </si>
  <si>
    <t>David PePe</t>
  </si>
  <si>
    <t>HMCHB3ZW4F</t>
  </si>
  <si>
    <t>Katherine Von Bargen</t>
  </si>
  <si>
    <t>+1 678-951-2523</t>
  </si>
  <si>
    <t>HMC8XZ8XCZ</t>
  </si>
  <si>
    <t>Rebecca Dilling</t>
  </si>
  <si>
    <t>+1 954-826-0386</t>
  </si>
  <si>
    <t>HM4959ABQC</t>
  </si>
  <si>
    <t>Rebecca Mackie</t>
  </si>
  <si>
    <t>+1 563-542-5171</t>
  </si>
  <si>
    <t>HMBW5NAC49</t>
  </si>
  <si>
    <t>Carrie Ann Piechocki</t>
  </si>
  <si>
    <t>+1 586-292-1694</t>
  </si>
  <si>
    <t>HM8WAR23BY</t>
  </si>
  <si>
    <t>Tim Harris</t>
  </si>
  <si>
    <t>+44 7368 228358</t>
  </si>
  <si>
    <t>HA-7VFHBS</t>
  </si>
  <si>
    <t>Mary Yeager</t>
  </si>
  <si>
    <t>HMZ8CJFB3X</t>
  </si>
  <si>
    <t>Tyler Midwinter</t>
  </si>
  <si>
    <t>+1 410-980-4203</t>
  </si>
  <si>
    <t>HMZDHBR2HW</t>
  </si>
  <si>
    <t>Natalie Greenfield</t>
  </si>
  <si>
    <t>+1 770-633-3978</t>
  </si>
  <si>
    <t>HMFW8MC4XF</t>
  </si>
  <si>
    <t>James Harris</t>
  </si>
  <si>
    <t>+1 309-238-1501</t>
  </si>
  <si>
    <t>HM9JJ5DEWZ</t>
  </si>
  <si>
    <t>Dorothy Landrum</t>
  </si>
  <si>
    <t>+1 201-259-7842</t>
  </si>
  <si>
    <t>HMR8KK3A9H</t>
  </si>
  <si>
    <t>Michelle Stillwell</t>
  </si>
  <si>
    <t>+1 304-479-1740</t>
  </si>
  <si>
    <t>HMFST535BQ</t>
  </si>
  <si>
    <t>Janice Haunss</t>
  </si>
  <si>
    <t>+1 631-312-2709</t>
  </si>
  <si>
    <t>Heat Pool</t>
  </si>
  <si>
    <t>Pack n’ play</t>
  </si>
  <si>
    <t>Early Checkin</t>
  </si>
  <si>
    <t>HMQ9BNFWDK</t>
  </si>
  <si>
    <t>Linda Wendling</t>
  </si>
  <si>
    <t>+1 586-747-4054</t>
  </si>
  <si>
    <t>The heat on 7 days</t>
  </si>
  <si>
    <t>HM555YMH3M</t>
  </si>
  <si>
    <t>Bette Nguyen</t>
  </si>
  <si>
    <t>+1 402-730-4938</t>
  </si>
  <si>
    <t>04/04 to 04/07 (3 nights)</t>
  </si>
  <si>
    <t>HMWQNNBBA2</t>
  </si>
  <si>
    <t>Dianna Seda</t>
  </si>
  <si>
    <t>+1 630-476-1434</t>
  </si>
  <si>
    <t>The heat on April 5, 6, 7</t>
  </si>
  <si>
    <t>HA-F9W9VL</t>
  </si>
  <si>
    <t>Michael Beck</t>
  </si>
  <si>
    <t xml:space="preserve">Requested </t>
  </si>
  <si>
    <t>HMBJ3ZQXCK</t>
  </si>
  <si>
    <t>Claire Haynes</t>
  </si>
  <si>
    <t>+1 262-744-2444</t>
  </si>
  <si>
    <t>04/03 to 04/06 FREE</t>
  </si>
  <si>
    <t>HM4DWT8NB9</t>
  </si>
  <si>
    <t>Sarah Young</t>
  </si>
  <si>
    <t>+1 757-897-9901</t>
  </si>
  <si>
    <t>04/06 to 04/10 4 nights</t>
  </si>
  <si>
    <t>HMYB9X95A3</t>
  </si>
  <si>
    <t>Lyn Jacobs</t>
  </si>
  <si>
    <t>+1 214-450-6667</t>
  </si>
  <si>
    <t>Requested</t>
  </si>
  <si>
    <t>Out</t>
  </si>
  <si>
    <t>In</t>
  </si>
  <si>
    <t>Sandpiper</t>
  </si>
  <si>
    <t>20th IRB</t>
  </si>
  <si>
    <t>Viewtop</t>
  </si>
  <si>
    <t>Long Bow</t>
  </si>
  <si>
    <t>Stolls</t>
  </si>
  <si>
    <t>Saint Thomas</t>
  </si>
  <si>
    <t>62nd Street</t>
  </si>
  <si>
    <t>Diane</t>
  </si>
  <si>
    <t>79th Ave</t>
  </si>
  <si>
    <t>Mel Ray</t>
  </si>
  <si>
    <t>52nd</t>
  </si>
  <si>
    <t>70th</t>
  </si>
  <si>
    <t>Palm Dr.</t>
  </si>
  <si>
    <t>IRB Front</t>
  </si>
  <si>
    <t>72nd Ave</t>
  </si>
  <si>
    <t>82nd Terr</t>
  </si>
  <si>
    <t>310 72nd Ave</t>
  </si>
  <si>
    <t>Kumquat</t>
  </si>
  <si>
    <t>Venetian</t>
  </si>
  <si>
    <t>Lantana</t>
  </si>
  <si>
    <t>51st St</t>
  </si>
  <si>
    <t>Harborwood</t>
  </si>
  <si>
    <t>120th Place</t>
  </si>
  <si>
    <t>65th</t>
  </si>
  <si>
    <t>73rd</t>
  </si>
  <si>
    <t>Malvern Cir</t>
  </si>
  <si>
    <t>Harborview</t>
  </si>
  <si>
    <t>Stoll</t>
  </si>
  <si>
    <t>Palm</t>
  </si>
  <si>
    <t>76th</t>
  </si>
  <si>
    <t>4760 48th</t>
  </si>
  <si>
    <t xml:space="preserve"> </t>
  </si>
  <si>
    <t>106th</t>
  </si>
  <si>
    <t>4801 49th Ave</t>
  </si>
  <si>
    <t>50th</t>
  </si>
  <si>
    <t>82nd</t>
  </si>
  <si>
    <t>72nd</t>
  </si>
  <si>
    <t xml:space="preserve">IRB back </t>
  </si>
  <si>
    <t>DO NOT CLEAN HARBORWOOD</t>
  </si>
  <si>
    <t xml:space="preserve">DO NOT CLEAN 70TH </t>
  </si>
  <si>
    <t>Long Bow: Check in early at 12pm</t>
  </si>
  <si>
    <t>4801 48th: Check in early at 2pm</t>
  </si>
  <si>
    <t>Property</t>
  </si>
  <si>
    <t>Trash</t>
  </si>
  <si>
    <t>Recycle</t>
  </si>
  <si>
    <t>Company</t>
  </si>
  <si>
    <t>Lawn</t>
  </si>
  <si>
    <t>Pool</t>
  </si>
  <si>
    <t>T/F</t>
  </si>
  <si>
    <t>M/Th</t>
  </si>
  <si>
    <t>Monday/Tuesday</t>
  </si>
  <si>
    <t>Tuesday</t>
  </si>
  <si>
    <t>W</t>
  </si>
  <si>
    <t>Waste Management</t>
  </si>
  <si>
    <t>M/T</t>
  </si>
  <si>
    <t>120th</t>
  </si>
  <si>
    <t>Wednesdays</t>
  </si>
  <si>
    <t>Mondays</t>
  </si>
  <si>
    <t>3166 50th Ave</t>
  </si>
  <si>
    <t>No separate Recycle bins</t>
  </si>
  <si>
    <t>Coastal Waste &amp; Recycling</t>
  </si>
  <si>
    <t>Monday</t>
  </si>
  <si>
    <t>n/a</t>
  </si>
  <si>
    <t>M</t>
  </si>
  <si>
    <t>Lawn: TBA</t>
  </si>
  <si>
    <t>Friday</t>
  </si>
  <si>
    <t>Pool service: (941)758- 5400
 Lawn service: (941) 256-4022</t>
  </si>
  <si>
    <t>W/S</t>
  </si>
  <si>
    <t>4877 49th Ave</t>
  </si>
  <si>
    <t>51st</t>
  </si>
  <si>
    <t>Lawm : Tuesday</t>
  </si>
  <si>
    <t>Pool: Thursday</t>
  </si>
  <si>
    <t>62nd</t>
  </si>
  <si>
    <t>City of Pinellas Park</t>
  </si>
  <si>
    <t>64th St</t>
  </si>
  <si>
    <t>65th Terrace</t>
  </si>
  <si>
    <t>66th</t>
  </si>
  <si>
    <t>Jacuzzi: TBA</t>
  </si>
  <si>
    <t>724 Gulf Blvd. Unit A</t>
  </si>
  <si>
    <t>724 Gulf Blvd. Unit B</t>
  </si>
  <si>
    <t>na</t>
  </si>
  <si>
    <t>Lawn: tba</t>
  </si>
  <si>
    <t>SKIP TUESDAY</t>
  </si>
  <si>
    <t>City of St. Petersburg</t>
  </si>
  <si>
    <t>Lawn : Tuesday</t>
  </si>
  <si>
    <t>Pool : Tuesday</t>
  </si>
  <si>
    <t>75th</t>
  </si>
  <si>
    <t>Th</t>
  </si>
  <si>
    <t>SKIP MONDAY</t>
  </si>
  <si>
    <t>79th</t>
  </si>
  <si>
    <t>Bedford</t>
  </si>
  <si>
    <t>Pool: Mondays</t>
  </si>
  <si>
    <t>Brookside</t>
  </si>
  <si>
    <t>Diane Ct</t>
  </si>
  <si>
    <t>Lawn: Monday</t>
  </si>
  <si>
    <t>Pool : Tuesday/ Wednesday</t>
  </si>
  <si>
    <t>F</t>
  </si>
  <si>
    <t>Wednesday</t>
  </si>
  <si>
    <t>TBA</t>
  </si>
  <si>
    <t>Lawn : Monday</t>
  </si>
  <si>
    <t>Pool : Thursday</t>
  </si>
  <si>
    <t>Fridays</t>
  </si>
  <si>
    <t>T</t>
  </si>
  <si>
    <t>City of Largo</t>
  </si>
  <si>
    <t>City of Clearwater</t>
  </si>
  <si>
    <t>Lawn: Tuesday</t>
  </si>
  <si>
    <t>Pool : Wednesday</t>
  </si>
  <si>
    <t>Sundays</t>
  </si>
  <si>
    <t>Thursday</t>
  </si>
  <si>
    <t>Palm Dr</t>
  </si>
  <si>
    <t>Pool: TBA</t>
  </si>
  <si>
    <t>Th/F</t>
  </si>
  <si>
    <t>Hillsborough County Solid Waste</t>
  </si>
  <si>
    <t>Bed 
 1</t>
  </si>
  <si>
    <t>Bed
 2</t>
  </si>
  <si>
    <t>Bed 
 3</t>
  </si>
  <si>
    <t>Bed
 4</t>
  </si>
  <si>
    <t>Bed 
 5</t>
  </si>
  <si>
    <t>Bed
 6</t>
  </si>
  <si>
    <t>K</t>
  </si>
  <si>
    <t>Q</t>
  </si>
  <si>
    <t># of 
Guests</t>
  </si>
  <si>
    <t># of 
Bathroom</t>
  </si>
  <si>
    <t>Pool 
Towel</t>
  </si>
  <si>
    <t>Bath 
Towel</t>
  </si>
  <si>
    <t>Hand 
Towel</t>
  </si>
  <si>
    <t>Wash
 cloth</t>
  </si>
  <si>
    <t>Kitchen 
Towels</t>
  </si>
  <si>
    <t>Bath
 -room 
 Rugs</t>
  </si>
  <si>
    <t>T/T</t>
  </si>
  <si>
    <t>F/F/T/T</t>
  </si>
  <si>
    <t>F/F/T</t>
  </si>
  <si>
    <t>T/T/T/T</t>
  </si>
  <si>
    <t>Q/Q</t>
  </si>
  <si>
    <t>7 - jacuzzi</t>
  </si>
  <si>
    <t>F/T/T</t>
  </si>
  <si>
    <t>8 - jacuzzi</t>
  </si>
  <si>
    <t>Q/T</t>
  </si>
  <si>
    <t>54th</t>
  </si>
  <si>
    <t>F/F</t>
  </si>
  <si>
    <t>60th</t>
  </si>
  <si>
    <t>T/T/T/T/T</t>
  </si>
  <si>
    <t>64th</t>
  </si>
  <si>
    <t>Q Sofa bed</t>
  </si>
  <si>
    <t>11 - jacuzzi</t>
  </si>
  <si>
    <t>9 - jacuzzi</t>
  </si>
  <si>
    <t>7 - Beach</t>
  </si>
  <si>
    <t>Malvern</t>
  </si>
  <si>
    <t>Q/F</t>
  </si>
  <si>
    <t>Sandpiper - 2137</t>
  </si>
  <si>
    <t>Note</t>
  </si>
  <si>
    <t>Post-stay</t>
  </si>
  <si>
    <t>Thanh Ha Tran</t>
  </si>
  <si>
    <t>Need to send a credit card invoice, waive 6.5% fee</t>
  </si>
  <si>
    <t>Done</t>
  </si>
  <si>
    <t>Will Holt</t>
  </si>
  <si>
    <t>Transfer from Saint Thomas to (Res ID: HA-F6Z314)</t>
  </si>
  <si>
    <t>Current stay</t>
  </si>
  <si>
    <t>Marty Weber</t>
  </si>
  <si>
    <t>Edwin T MacMillain</t>
  </si>
  <si>
    <t>Robert Paul Trevisanutto</t>
  </si>
  <si>
    <t>Chi Le</t>
  </si>
  <si>
    <t>Helen Huynh</t>
  </si>
  <si>
    <t>Trish Mach</t>
  </si>
  <si>
    <t>Hai Le</t>
  </si>
  <si>
    <t>Mark</t>
  </si>
  <si>
    <t>Shayne Buckley</t>
  </si>
  <si>
    <t>paid by check</t>
  </si>
  <si>
    <t>Marisela Correa</t>
  </si>
  <si>
    <t>Elizabeth</t>
  </si>
  <si>
    <t>Randall Harris</t>
  </si>
  <si>
    <t xml:space="preserve"> Jaclyn Segraves</t>
  </si>
  <si>
    <t>Marc Lancaric</t>
  </si>
  <si>
    <t>Jared Brown</t>
  </si>
  <si>
    <t>Evelyne Mikhail</t>
  </si>
  <si>
    <t>Lincoln Hancock Restoration</t>
  </si>
  <si>
    <t>Mimi Pham</t>
  </si>
  <si>
    <t>Sean Jehu</t>
  </si>
  <si>
    <t>Date</t>
  </si>
  <si>
    <t>Propety:</t>
  </si>
  <si>
    <t>King Bed</t>
  </si>
  <si>
    <t>Queen Bed</t>
  </si>
  <si>
    <t>Full Bed</t>
  </si>
  <si>
    <t>Twin Bed</t>
  </si>
  <si>
    <t># of PoolTowel</t>
  </si>
  <si>
    <t># of Bath Towel</t>
  </si>
  <si>
    <t># of Hand Towel</t>
  </si>
  <si>
    <t># of Washcloth</t>
  </si>
  <si>
    <t># of Kitchen Towel</t>
  </si>
  <si>
    <t># of Bathroom Rug</t>
  </si>
  <si>
    <t>Phuong Lam</t>
  </si>
  <si>
    <t>11253 48th</t>
  </si>
  <si>
    <t>Huy Dzu</t>
  </si>
  <si>
    <t>Liz Dao</t>
  </si>
  <si>
    <t>Ngoc Anh</t>
  </si>
  <si>
    <t>Anh Liem</t>
  </si>
  <si>
    <t>No cleaning</t>
  </si>
  <si>
    <t>Lan Anh</t>
  </si>
  <si>
    <t>310 72nd</t>
  </si>
  <si>
    <t>Huy Nguyen</t>
  </si>
  <si>
    <t>Collect fees directly</t>
  </si>
  <si>
    <t>Minh LE</t>
  </si>
  <si>
    <t>Anh Hieu</t>
  </si>
  <si>
    <t>Home remodel</t>
  </si>
  <si>
    <t>Peter Pham</t>
  </si>
  <si>
    <t>Anh Peter</t>
  </si>
  <si>
    <t>chi Lan Anh</t>
  </si>
  <si>
    <t>chi Vy</t>
  </si>
  <si>
    <t>Cuc Ny</t>
  </si>
  <si>
    <t>anh Chinh</t>
  </si>
  <si>
    <t>Anh Tony</t>
  </si>
  <si>
    <t>anh Minh</t>
  </si>
  <si>
    <t>charge cleaning fee</t>
  </si>
  <si>
    <t>Tatiana</t>
  </si>
  <si>
    <t>Anh Cuong</t>
  </si>
  <si>
    <t>Bill cleaning</t>
  </si>
  <si>
    <t>No charge cleaning fee</t>
  </si>
  <si>
    <t>maintenance</t>
  </si>
  <si>
    <t>Block 1 week to clean up.</t>
  </si>
  <si>
    <t>for remodel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</si>
</sst>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/dd/yyyy"/>
    <numFmt numFmtId="165" formatCode="_-* #,##0.00_-;\-* #,##0.00_-;_-* &quot;-&quot;??_-;_-@"/>
    <numFmt numFmtId="166" formatCode="_-* #,##0_-;\-* #,##0_-;_-* &quot;-&quot;??_-;_-@"/>
    <numFmt numFmtId="167" formatCode="&quot;$&quot;#,##0.00_);[Red]\(&quot;$&quot;#,##0.00\)"/>
    <numFmt numFmtId="168" formatCode="mm/dd/yy"/>
    <numFmt numFmtId="169" formatCode="m/d/yy"/>
    <numFmt numFmtId="170" formatCode="m/d/yyyy"/>
  </numFmts>
  <fonts count="33">
    <font>
      <sz val="11"/>
      <color theme="1"/>
      <name val="Arial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trike/>
      <sz val="10"/>
      <color theme="1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222222"/>
      <name val="Arial"/>
      <family val="2"/>
    </font>
    <font>
      <sz val="11"/>
      <color rgb="FFFF0000"/>
      <name val="Arial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606265"/>
      <name val="-apple-system-body"/>
    </font>
    <font>
      <sz val="11"/>
      <color theme="1"/>
      <name val="Arial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8"/>
      <color rgb="FF205867"/>
      <name val="Calibri"/>
      <family val="2"/>
    </font>
    <font>
      <b/>
      <sz val="16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ACB9CA"/>
        <bgColor rgb="FFACB9CA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9C0006"/>
        <bgColor rgb="FF9C0006"/>
      </patternFill>
    </fill>
    <fill>
      <patternFill patternType="solid">
        <fgColor rgb="FFDAF2D0"/>
        <bgColor rgb="FFDAF2D0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C6E0B4"/>
      </patternFill>
    </fill>
    <fill>
      <patternFill patternType="solid">
        <fgColor rgb="FFF2CEEF"/>
        <bgColor rgb="FFF2CEEF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B6DDE8"/>
        <bgColor rgb="FFB6DDE8"/>
      </patternFill>
    </fill>
  </fills>
  <borders count="18">
    <border>
      <left/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rgb="FF5B9BD5"/>
      </left>
      <right style="dotted">
        <color rgb="FF5B9BD5"/>
      </right>
      <top style="dotted">
        <color rgb="FF5B9BD5"/>
      </top>
      <bottom style="dotted">
        <color rgb="FF5B9BD5"/>
      </bottom>
      <diagonal/>
    </border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  <diagonal/>
    </border>
    <border>
      <left/>
      <right style="thin">
        <color rgb="FF980000"/>
      </right>
      <top style="thin">
        <color rgb="FF980000"/>
      </top>
      <bottom style="thin">
        <color rgb="FF980000"/>
      </bottom>
      <diagonal/>
    </border>
    <border>
      <left style="thin">
        <color rgb="FF980000"/>
      </left>
      <right style="thin">
        <color rgb="FF980000"/>
      </right>
      <top style="thin">
        <color rgb="FF980000"/>
      </top>
      <bottom/>
      <diagonal/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/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/>
      <bottom style="hair">
        <color rgb="FF5B9BD5"/>
      </bottom>
      <diagonal/>
    </border>
    <border>
      <left/>
      <right style="hair">
        <color rgb="FF5B9BD5"/>
      </right>
      <top/>
      <bottom style="hair">
        <color rgb="FF5B9BD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tted">
        <color rgb="FF5B9BD5"/>
      </right>
      <top style="dotted">
        <color rgb="FF5B9BD5"/>
      </top>
      <bottom style="dotted">
        <color rgb="FF5B9BD5"/>
      </bottom>
      <diagonal/>
    </border>
    <border>
      <left/>
      <right/>
      <top style="thin">
        <color rgb="FFBFC0BE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2" xfId="0" applyFont="1" applyBorder="1"/>
    <xf numFmtId="14" fontId="2" fillId="0" borderId="1" xfId="0" applyNumberFormat="1" applyFont="1" applyBorder="1"/>
    <xf numFmtId="1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66" fontId="3" fillId="0" borderId="0" xfId="0" applyNumberFormat="1" applyFont="1" applyAlignment="1">
      <alignment horizontal="left"/>
    </xf>
    <xf numFmtId="165" fontId="3" fillId="0" borderId="1" xfId="0" applyNumberFormat="1" applyFont="1" applyBorder="1" applyAlignment="1">
      <alignment horizontal="center"/>
    </xf>
    <xf numFmtId="0" fontId="4" fillId="0" borderId="0" xfId="0" applyFont="1"/>
    <xf numFmtId="164" fontId="2" fillId="0" borderId="0" xfId="0" applyNumberFormat="1" applyFont="1"/>
    <xf numFmtId="0" fontId="5" fillId="0" borderId="2" xfId="0" applyFont="1" applyBorder="1"/>
    <xf numFmtId="14" fontId="2" fillId="0" borderId="0" xfId="0" applyNumberFormat="1" applyFont="1"/>
    <xf numFmtId="167" fontId="2" fillId="0" borderId="1" xfId="0" applyNumberFormat="1" applyFont="1" applyBorder="1"/>
    <xf numFmtId="164" fontId="2" fillId="0" borderId="1" xfId="0" applyNumberFormat="1" applyFont="1" applyBorder="1"/>
    <xf numFmtId="0" fontId="5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2" borderId="0" xfId="0" applyFont="1" applyFill="1"/>
    <xf numFmtId="0" fontId="4" fillId="3" borderId="0" xfId="0" applyFont="1" applyFill="1"/>
    <xf numFmtId="0" fontId="9" fillId="4" borderId="0" xfId="0" applyFont="1" applyFill="1" applyAlignment="1">
      <alignment horizontal="center"/>
    </xf>
    <xf numFmtId="0" fontId="10" fillId="4" borderId="0" xfId="0" applyFont="1" applyFill="1"/>
    <xf numFmtId="0" fontId="10" fillId="5" borderId="0" xfId="0" applyFont="1" applyFill="1"/>
    <xf numFmtId="0" fontId="10" fillId="6" borderId="0" xfId="0" applyFont="1" applyFill="1"/>
    <xf numFmtId="0" fontId="10" fillId="7" borderId="0" xfId="0" applyFont="1" applyFill="1"/>
    <xf numFmtId="0" fontId="10" fillId="3" borderId="0" xfId="0" applyFont="1" applyFill="1"/>
    <xf numFmtId="0" fontId="10" fillId="8" borderId="0" xfId="0" applyFont="1" applyFill="1"/>
    <xf numFmtId="0" fontId="10" fillId="7" borderId="3" xfId="0" applyFont="1" applyFill="1" applyBorder="1"/>
    <xf numFmtId="0" fontId="10" fillId="9" borderId="0" xfId="0" applyFont="1" applyFill="1"/>
    <xf numFmtId="0" fontId="10" fillId="3" borderId="3" xfId="0" applyFont="1" applyFill="1" applyBorder="1"/>
    <xf numFmtId="0" fontId="10" fillId="6" borderId="3" xfId="0" applyFont="1" applyFill="1" applyBorder="1"/>
    <xf numFmtId="0" fontId="10" fillId="5" borderId="3" xfId="0" applyFont="1" applyFill="1" applyBorder="1"/>
    <xf numFmtId="0" fontId="10" fillId="4" borderId="3" xfId="0" applyFont="1" applyFill="1" applyBorder="1"/>
    <xf numFmtId="0" fontId="10" fillId="10" borderId="0" xfId="0" applyFont="1" applyFill="1"/>
    <xf numFmtId="0" fontId="11" fillId="0" borderId="0" xfId="0" applyFont="1"/>
    <xf numFmtId="0" fontId="10" fillId="11" borderId="0" xfId="0" applyFont="1" applyFill="1"/>
    <xf numFmtId="0" fontId="10" fillId="5" borderId="4" xfId="0" applyFont="1" applyFill="1" applyBorder="1"/>
    <xf numFmtId="0" fontId="11" fillId="4" borderId="0" xfId="0" applyFont="1" applyFill="1"/>
    <xf numFmtId="0" fontId="10" fillId="12" borderId="0" xfId="0" applyFont="1" applyFill="1"/>
    <xf numFmtId="0" fontId="10" fillId="4" borderId="5" xfId="0" applyFont="1" applyFill="1" applyBorder="1"/>
    <xf numFmtId="0" fontId="12" fillId="7" borderId="0" xfId="0" applyFont="1" applyFill="1"/>
    <xf numFmtId="0" fontId="13" fillId="7" borderId="0" xfId="0" applyFont="1" applyFill="1"/>
    <xf numFmtId="0" fontId="12" fillId="5" borderId="0" xfId="0" applyFont="1" applyFill="1"/>
    <xf numFmtId="0" fontId="13" fillId="7" borderId="3" xfId="0" applyFont="1" applyFill="1" applyBorder="1"/>
    <xf numFmtId="0" fontId="14" fillId="6" borderId="0" xfId="0" applyFont="1" applyFill="1"/>
    <xf numFmtId="0" fontId="13" fillId="5" borderId="3" xfId="0" applyFont="1" applyFill="1" applyBorder="1"/>
    <xf numFmtId="0" fontId="11" fillId="13" borderId="0" xfId="0" applyFont="1" applyFill="1"/>
    <xf numFmtId="0" fontId="10" fillId="13" borderId="0" xfId="0" applyFont="1" applyFill="1"/>
    <xf numFmtId="0" fontId="11" fillId="0" borderId="0" xfId="0" applyFont="1" applyAlignment="1">
      <alignment wrapText="1"/>
    </xf>
    <xf numFmtId="0" fontId="11" fillId="5" borderId="0" xfId="0" applyFont="1" applyFill="1"/>
    <xf numFmtId="0" fontId="11" fillId="5" borderId="3" xfId="0" applyFont="1" applyFill="1" applyBorder="1"/>
    <xf numFmtId="0" fontId="1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6" fillId="14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14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2" fillId="12" borderId="11" xfId="0" applyFont="1" applyFill="1" applyBorder="1" applyAlignment="1">
      <alignment horizontal="center"/>
    </xf>
    <xf numFmtId="0" fontId="23" fillId="15" borderId="11" xfId="0" applyFont="1" applyFill="1" applyBorder="1" applyAlignment="1">
      <alignment horizontal="center"/>
    </xf>
    <xf numFmtId="0" fontId="24" fillId="0" borderId="0" xfId="0" applyFont="1" applyAlignment="1">
      <alignment wrapText="1"/>
    </xf>
    <xf numFmtId="0" fontId="25" fillId="0" borderId="12" xfId="0" applyFont="1" applyBorder="1"/>
    <xf numFmtId="0" fontId="25" fillId="0" borderId="13" xfId="0" applyFont="1" applyBorder="1"/>
    <xf numFmtId="0" fontId="17" fillId="0" borderId="13" xfId="0" applyFont="1" applyBorder="1"/>
    <xf numFmtId="0" fontId="25" fillId="0" borderId="13" xfId="0" applyFont="1" applyBorder="1" applyAlignment="1">
      <alignment horizontal="right"/>
    </xf>
    <xf numFmtId="0" fontId="25" fillId="16" borderId="13" xfId="0" applyFont="1" applyFill="1" applyBorder="1" applyAlignment="1">
      <alignment horizontal="right"/>
    </xf>
    <xf numFmtId="0" fontId="26" fillId="0" borderId="0" xfId="0" applyFont="1"/>
    <xf numFmtId="0" fontId="17" fillId="0" borderId="13" xfId="0" applyFont="1" applyBorder="1" applyAlignment="1">
      <alignment horizontal="right"/>
    </xf>
    <xf numFmtId="0" fontId="17" fillId="16" borderId="13" xfId="0" applyFont="1" applyFill="1" applyBorder="1" applyAlignment="1">
      <alignment horizontal="right"/>
    </xf>
    <xf numFmtId="0" fontId="25" fillId="6" borderId="13" xfId="0" applyFont="1" applyFill="1" applyBorder="1"/>
    <xf numFmtId="0" fontId="17" fillId="17" borderId="13" xfId="0" applyFont="1" applyFill="1" applyBorder="1" applyAlignment="1">
      <alignment horizontal="right"/>
    </xf>
    <xf numFmtId="0" fontId="25" fillId="17" borderId="13" xfId="0" applyFont="1" applyFill="1" applyBorder="1" applyAlignment="1">
      <alignment horizontal="right"/>
    </xf>
    <xf numFmtId="0" fontId="25" fillId="15" borderId="13" xfId="0" applyFont="1" applyFill="1" applyBorder="1" applyAlignment="1">
      <alignment horizontal="right"/>
    </xf>
    <xf numFmtId="0" fontId="26" fillId="0" borderId="12" xfId="0" applyFont="1" applyBorder="1"/>
    <xf numFmtId="0" fontId="26" fillId="0" borderId="13" xfId="0" applyFont="1" applyBorder="1"/>
    <xf numFmtId="0" fontId="25" fillId="0" borderId="12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25" fillId="8" borderId="13" xfId="0" applyFont="1" applyFill="1" applyBorder="1" applyAlignment="1">
      <alignment horizontal="right"/>
    </xf>
    <xf numFmtId="0" fontId="25" fillId="0" borderId="11" xfId="0" applyFont="1" applyBorder="1" applyAlignment="1">
      <alignment horizontal="right"/>
    </xf>
    <xf numFmtId="0" fontId="25" fillId="16" borderId="11" xfId="0" applyFont="1" applyFill="1" applyBorder="1" applyAlignment="1">
      <alignment horizontal="right"/>
    </xf>
    <xf numFmtId="0" fontId="25" fillId="0" borderId="10" xfId="0" applyFont="1" applyBorder="1"/>
    <xf numFmtId="0" fontId="17" fillId="0" borderId="10" xfId="0" applyFont="1" applyBorder="1"/>
    <xf numFmtId="0" fontId="25" fillId="0" borderId="10" xfId="0" applyFont="1" applyBorder="1" applyAlignment="1">
      <alignment horizontal="right"/>
    </xf>
    <xf numFmtId="0" fontId="25" fillId="16" borderId="10" xfId="0" applyFont="1" applyFill="1" applyBorder="1" applyAlignment="1">
      <alignment horizontal="right"/>
    </xf>
    <xf numFmtId="0" fontId="25" fillId="0" borderId="11" xfId="0" applyFont="1" applyBorder="1"/>
    <xf numFmtId="0" fontId="17" fillId="0" borderId="11" xfId="0" applyFont="1" applyBorder="1"/>
    <xf numFmtId="169" fontId="4" fillId="0" borderId="0" xfId="0" applyNumberFormat="1" applyFont="1"/>
    <xf numFmtId="168" fontId="4" fillId="0" borderId="0" xfId="0" applyNumberFormat="1" applyFont="1"/>
    <xf numFmtId="0" fontId="4" fillId="13" borderId="0" xfId="0" applyFont="1" applyFill="1"/>
    <xf numFmtId="168" fontId="4" fillId="13" borderId="0" xfId="0" applyNumberFormat="1" applyFont="1" applyFill="1"/>
    <xf numFmtId="0" fontId="4" fillId="13" borderId="10" xfId="0" applyFont="1" applyFill="1" applyBorder="1"/>
    <xf numFmtId="0" fontId="17" fillId="13" borderId="0" xfId="0" applyFont="1" applyFill="1"/>
    <xf numFmtId="0" fontId="5" fillId="0" borderId="14" xfId="0" applyFont="1" applyBorder="1"/>
    <xf numFmtId="164" fontId="4" fillId="13" borderId="0" xfId="0" applyNumberFormat="1" applyFont="1" applyFill="1"/>
    <xf numFmtId="169" fontId="4" fillId="13" borderId="0" xfId="0" applyNumberFormat="1" applyFont="1" applyFill="1"/>
    <xf numFmtId="169" fontId="27" fillId="0" borderId="15" xfId="0" applyNumberFormat="1" applyFont="1" applyBorder="1" applyAlignment="1">
      <alignment horizontal="left"/>
    </xf>
    <xf numFmtId="0" fontId="2" fillId="13" borderId="0" xfId="0" applyFont="1" applyFill="1"/>
    <xf numFmtId="164" fontId="2" fillId="13" borderId="0" xfId="0" applyNumberFormat="1" applyFont="1" applyFill="1"/>
    <xf numFmtId="0" fontId="28" fillId="13" borderId="0" xfId="0" applyFont="1" applyFill="1"/>
    <xf numFmtId="170" fontId="4" fillId="0" borderId="0" xfId="0" applyNumberFormat="1" applyFont="1"/>
    <xf numFmtId="168" fontId="28" fillId="13" borderId="0" xfId="0" applyNumberFormat="1" applyFont="1" applyFill="1"/>
    <xf numFmtId="0" fontId="4" fillId="18" borderId="0" xfId="0" applyFont="1" applyFill="1"/>
    <xf numFmtId="169" fontId="4" fillId="18" borderId="0" xfId="0" applyNumberFormat="1" applyFont="1" applyFill="1"/>
    <xf numFmtId="168" fontId="4" fillId="18" borderId="0" xfId="0" applyNumberFormat="1" applyFont="1" applyFill="1"/>
    <xf numFmtId="0" fontId="28" fillId="0" borderId="0" xfId="0" applyFont="1"/>
    <xf numFmtId="0" fontId="28" fillId="18" borderId="0" xfId="0" applyFont="1" applyFill="1"/>
    <xf numFmtId="168" fontId="28" fillId="18" borderId="0" xfId="0" applyNumberFormat="1" applyFont="1" applyFill="1"/>
    <xf numFmtId="0" fontId="29" fillId="19" borderId="16" xfId="0" applyFont="1" applyFill="1" applyBorder="1"/>
    <xf numFmtId="0" fontId="30" fillId="19" borderId="16" xfId="0" applyFont="1" applyFill="1" applyBorder="1"/>
    <xf numFmtId="0" fontId="31" fillId="19" borderId="16" xfId="0" applyFont="1" applyFill="1" applyBorder="1"/>
    <xf numFmtId="0" fontId="32" fillId="0" borderId="17" xfId="0" applyFont="1" applyBorder="1" applyAlignment="1">
      <alignment horizontal="center"/>
    </xf>
    <xf numFmtId="164" fontId="4" fillId="0" borderId="0" xfId="0" applyNumberFormat="1" applyFont="1"/>
    <xf numFmtId="0" fontId="3" fillId="13" borderId="2" xfId="0" applyFont="1" applyFill="1" applyBorder="1"/>
    <xf numFmtId="169" fontId="28" fillId="13" borderId="0" xfId="0" applyNumberFormat="1" applyFont="1" applyFill="1"/>
    <xf numFmtId="0" fontId="4" fillId="6" borderId="0" xfId="0" applyFont="1" applyFill="1"/>
    <xf numFmtId="169" fontId="4" fillId="6" borderId="0" xfId="0" applyNumberFormat="1" applyFont="1" applyFill="1"/>
    <xf numFmtId="0" fontId="28" fillId="6" borderId="0" xfId="0" applyFont="1" applyFill="1"/>
    <xf numFmtId="168" fontId="4" fillId="6" borderId="0" xfId="0" applyNumberFormat="1" applyFont="1" applyFill="1"/>
    <xf numFmtId="168" fontId="28" fillId="6" borderId="0" xfId="0" applyNumberFormat="1" applyFont="1" applyFill="1"/>
    <xf numFmtId="168" fontId="7" fillId="4" borderId="0" xfId="0" applyNumberFormat="1" applyFont="1" applyFill="1" applyAlignment="1">
      <alignment horizontal="center"/>
    </xf>
    <xf numFmtId="0" fontId="0" fillId="0" borderId="0" xfId="0"/>
    <xf numFmtId="168" fontId="8" fillId="4" borderId="0" xfId="0" applyNumberFormat="1" applyFont="1" applyFill="1" applyAlignment="1">
      <alignment horizontal="center"/>
    </xf>
  </cellXfs>
  <cellStyles count="1">
    <cellStyle name="Normal" xfId="0" builtinId="0"/>
  </cellStyles>
  <dxfs count="2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B1" workbookViewId="0">
      <selection activeCell="O29" sqref="O29"/>
    </sheetView>
  </sheetViews>
  <sheetFormatPr baseColWidth="10" defaultColWidth="12.6640625" defaultRowHeight="15" customHeight="1"/>
  <cols>
    <col min="1" max="1" width="4.33203125" hidden="1" customWidth="1"/>
    <col min="2" max="2" width="13.6640625" customWidth="1"/>
    <col min="3" max="3" width="16" customWidth="1"/>
    <col min="4" max="4" width="25.83203125" customWidth="1"/>
    <col min="5" max="7" width="9.6640625" hidden="1" customWidth="1"/>
    <col min="8" max="8" width="8.83203125" hidden="1" customWidth="1"/>
    <col min="9" max="9" width="12.1640625" bestFit="1" customWidth="1"/>
    <col min="10" max="10" width="11.1640625" customWidth="1"/>
    <col min="11" max="11" width="9.6640625" hidden="1" customWidth="1"/>
    <col min="12" max="12" width="11.1640625" customWidth="1"/>
    <col min="13" max="13" width="40.83203125" hidden="1" customWidth="1"/>
    <col min="14" max="14" width="7.1640625" hidden="1" customWidth="1"/>
    <col min="15" max="15" width="28.6640625" customWidth="1"/>
    <col min="16" max="16" width="6.83203125" hidden="1" customWidth="1"/>
    <col min="17" max="17" width="3.33203125" hidden="1" customWidth="1"/>
    <col min="18" max="18" width="45.33203125" hidden="1" customWidth="1"/>
    <col min="19" max="19" width="3.6640625" hidden="1" customWidth="1"/>
    <col min="20" max="20" width="37.1640625" hidden="1" customWidth="1"/>
    <col min="21" max="21" width="19.6640625" customWidth="1"/>
    <col min="22" max="24" width="23.6640625" hidden="1" customWidth="1"/>
    <col min="25" max="25" width="55.6640625" customWidth="1"/>
    <col min="26" max="26" width="30.6640625" customWidth="1"/>
    <col min="27" max="27" width="7.6640625" customWidth="1"/>
    <col min="28" max="29" width="11.1640625" customWidth="1"/>
  </cols>
  <sheetData>
    <row r="1" spans="2:29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 t="s">
        <v>14</v>
      </c>
      <c r="S1" s="1"/>
      <c r="T1" s="1" t="s">
        <v>15</v>
      </c>
      <c r="U1" s="3" t="s">
        <v>16</v>
      </c>
      <c r="V1" s="3" t="s">
        <v>17</v>
      </c>
      <c r="W1" s="3"/>
      <c r="X1" s="3"/>
      <c r="Y1" s="4" t="s">
        <v>18</v>
      </c>
      <c r="Z1" s="3" t="s">
        <v>19</v>
      </c>
      <c r="AB1" s="2"/>
      <c r="AC1" s="2"/>
    </row>
    <row r="2" spans="2:29" ht="14.25" customHeight="1">
      <c r="B2" s="5" t="s">
        <v>20</v>
      </c>
      <c r="C2" s="5" t="s">
        <v>10</v>
      </c>
      <c r="D2" s="5" t="s">
        <v>21</v>
      </c>
      <c r="E2" s="5"/>
      <c r="F2" s="5"/>
      <c r="G2" s="5"/>
      <c r="H2" s="5"/>
      <c r="I2" s="6">
        <v>45611</v>
      </c>
      <c r="J2" s="6">
        <v>45991</v>
      </c>
      <c r="K2" s="5"/>
      <c r="L2" s="6"/>
      <c r="M2" s="5"/>
      <c r="N2" s="5">
        <v>8750</v>
      </c>
      <c r="O2" s="7" t="s">
        <v>22</v>
      </c>
      <c r="P2" s="8"/>
      <c r="Q2" s="9"/>
      <c r="R2" s="10"/>
      <c r="S2" s="10"/>
      <c r="T2" s="10"/>
      <c r="U2" s="11" t="str">
        <f t="shared" ref="U2:U166" si="0">IF(LEFT(B2,2)="HM","AIRBNB",IF(LEFT(B2,2)="HA","VRBO",IF(LEFT(B2,2)="Di","Directly","Owner staying")))</f>
        <v>Directly</v>
      </c>
      <c r="V2" s="12">
        <f t="shared" ref="V2:V166" si="1">IF(COUNTIF($I:$I,$J2)&gt;0,"Same day check in "&amp;COUNTIF($I:$I,$J2)&amp;" houses",0)</f>
        <v>0</v>
      </c>
      <c r="W2" s="12" t="str">
        <f t="shared" ref="W2:W166" si="2">I2&amp;O2</f>
        <v>4561165th Terr</v>
      </c>
      <c r="X2" s="12" t="str">
        <f t="shared" ref="X2:X166" si="3">J2&amp;O2</f>
        <v>4599165th Terr</v>
      </c>
      <c r="Y2" s="13">
        <f t="shared" ref="Y2:Y166" si="4">IF(COUNTIF($W:$W,$X2)&gt;0,"Check in, check out on the same day of stay "&amp;O2,0)</f>
        <v>0</v>
      </c>
      <c r="Z2" s="14" t="str">
        <f t="shared" ref="Z2:Z166" si="5">IF(SUMPRODUCT(($O$2:$O$10000=$O2)*($I$2:$I$10000&lt;J2)*($J$2:$J$10000&gt;I2))&gt;1,"Conflict","")</f>
        <v/>
      </c>
      <c r="AB2" s="15"/>
      <c r="AC2" s="15"/>
    </row>
    <row r="3" spans="2:29" ht="14.25" customHeight="1">
      <c r="B3" s="14" t="s">
        <v>23</v>
      </c>
      <c r="C3" s="14" t="s">
        <v>24</v>
      </c>
      <c r="D3" s="14" t="s">
        <v>25</v>
      </c>
      <c r="E3" s="5" t="s">
        <v>26</v>
      </c>
      <c r="F3" s="5">
        <v>5</v>
      </c>
      <c r="G3" s="5">
        <v>0</v>
      </c>
      <c r="H3" s="5">
        <v>0</v>
      </c>
      <c r="I3" s="15">
        <v>45807</v>
      </c>
      <c r="J3" s="15">
        <v>45900</v>
      </c>
      <c r="K3" s="5">
        <v>93</v>
      </c>
      <c r="L3" s="15">
        <v>45799</v>
      </c>
      <c r="M3" s="5" t="s">
        <v>27</v>
      </c>
      <c r="N3" s="5">
        <v>12879.66</v>
      </c>
      <c r="O3" s="16" t="s">
        <v>28</v>
      </c>
      <c r="P3" s="8"/>
      <c r="Q3" s="9"/>
      <c r="R3" s="10"/>
      <c r="S3" s="10"/>
      <c r="T3" s="10"/>
      <c r="U3" s="11" t="str">
        <f t="shared" si="0"/>
        <v>AIRBNB</v>
      </c>
      <c r="V3" s="12">
        <f t="shared" si="1"/>
        <v>0</v>
      </c>
      <c r="W3" s="12" t="str">
        <f t="shared" si="2"/>
        <v>45807119th</v>
      </c>
      <c r="X3" s="12" t="str">
        <f t="shared" si="3"/>
        <v>45900119th</v>
      </c>
      <c r="Y3" s="13">
        <f t="shared" si="4"/>
        <v>0</v>
      </c>
      <c r="Z3" s="14" t="str">
        <f t="shared" si="5"/>
        <v/>
      </c>
      <c r="AB3" s="15"/>
      <c r="AC3" s="15"/>
    </row>
    <row r="4" spans="2:29" ht="14.25" customHeight="1">
      <c r="B4" s="14" t="s">
        <v>29</v>
      </c>
      <c r="C4" s="14" t="s">
        <v>24</v>
      </c>
      <c r="D4" s="14" t="s">
        <v>30</v>
      </c>
      <c r="E4" s="5" t="s">
        <v>31</v>
      </c>
      <c r="F4" s="5">
        <v>6</v>
      </c>
      <c r="G4" s="5">
        <v>0</v>
      </c>
      <c r="H4" s="5">
        <v>0</v>
      </c>
      <c r="I4" s="15">
        <v>45823</v>
      </c>
      <c r="J4" s="15">
        <v>45929</v>
      </c>
      <c r="K4" s="5">
        <v>106</v>
      </c>
      <c r="L4" s="15">
        <v>45820</v>
      </c>
      <c r="M4" s="5" t="s">
        <v>32</v>
      </c>
      <c r="N4" s="5">
        <v>9574.77</v>
      </c>
      <c r="O4" s="16" t="s">
        <v>33</v>
      </c>
      <c r="P4" s="8"/>
      <c r="Q4" s="9"/>
      <c r="R4" s="10"/>
      <c r="S4" s="10"/>
      <c r="T4" s="10"/>
      <c r="U4" s="11" t="str">
        <f t="shared" si="0"/>
        <v>AIRBNB</v>
      </c>
      <c r="V4" s="12">
        <f t="shared" si="1"/>
        <v>0</v>
      </c>
      <c r="W4" s="12" t="str">
        <f t="shared" si="2"/>
        <v>458234877 49th Ave N</v>
      </c>
      <c r="X4" s="12" t="str">
        <f t="shared" si="3"/>
        <v>459294877 49th Ave N</v>
      </c>
      <c r="Y4" s="13">
        <f t="shared" si="4"/>
        <v>0</v>
      </c>
      <c r="Z4" s="14" t="str">
        <f t="shared" si="5"/>
        <v/>
      </c>
      <c r="AB4" s="15"/>
      <c r="AC4" s="15"/>
    </row>
    <row r="5" spans="2:29" ht="14.25" customHeight="1">
      <c r="B5" s="5" t="s">
        <v>34</v>
      </c>
      <c r="C5" s="5" t="s">
        <v>34</v>
      </c>
      <c r="D5" s="5" t="s">
        <v>35</v>
      </c>
      <c r="E5" s="5"/>
      <c r="F5" s="5"/>
      <c r="G5" s="5"/>
      <c r="H5" s="5"/>
      <c r="I5" s="6">
        <v>45880</v>
      </c>
      <c r="J5" s="6">
        <v>45941</v>
      </c>
      <c r="K5" s="5"/>
      <c r="L5" s="6"/>
      <c r="M5" s="5"/>
      <c r="N5" s="5"/>
      <c r="O5" s="7" t="s">
        <v>36</v>
      </c>
      <c r="P5" s="8"/>
      <c r="Q5" s="9"/>
      <c r="R5" s="10"/>
      <c r="S5" s="10"/>
      <c r="T5" s="10"/>
      <c r="U5" s="11" t="str">
        <f t="shared" si="0"/>
        <v>Owner staying</v>
      </c>
      <c r="V5" s="12" t="str">
        <f t="shared" si="1"/>
        <v>Same day check in 1 houses</v>
      </c>
      <c r="W5" s="12" t="str">
        <f t="shared" si="2"/>
        <v>45880Canterbury</v>
      </c>
      <c r="X5" s="12" t="str">
        <f t="shared" si="3"/>
        <v>45941Canterbury</v>
      </c>
      <c r="Y5" s="13">
        <f t="shared" si="4"/>
        <v>0</v>
      </c>
      <c r="Z5" s="14" t="str">
        <f t="shared" si="5"/>
        <v/>
      </c>
      <c r="AB5" s="15"/>
      <c r="AC5" s="15"/>
    </row>
    <row r="6" spans="2:29" ht="14.25" customHeight="1">
      <c r="B6" s="14" t="s">
        <v>37</v>
      </c>
      <c r="C6" s="14" t="s">
        <v>24</v>
      </c>
      <c r="D6" s="14" t="s">
        <v>38</v>
      </c>
      <c r="E6" s="5" t="s">
        <v>39</v>
      </c>
      <c r="F6" s="5">
        <v>1</v>
      </c>
      <c r="G6" s="5">
        <v>2</v>
      </c>
      <c r="H6" s="5">
        <v>0</v>
      </c>
      <c r="I6" s="15">
        <v>45886</v>
      </c>
      <c r="J6" s="15">
        <v>45900</v>
      </c>
      <c r="K6" s="5">
        <v>14</v>
      </c>
      <c r="L6" s="15">
        <v>45877</v>
      </c>
      <c r="M6" s="5" t="s">
        <v>40</v>
      </c>
      <c r="N6" s="5">
        <v>2435.09</v>
      </c>
      <c r="O6" s="16" t="s">
        <v>41</v>
      </c>
      <c r="P6" s="8"/>
      <c r="Q6" s="9"/>
      <c r="R6" s="10"/>
      <c r="S6" s="10"/>
      <c r="T6" s="10"/>
      <c r="U6" s="11" t="str">
        <f t="shared" si="0"/>
        <v>AIRBNB</v>
      </c>
      <c r="V6" s="12">
        <f t="shared" si="1"/>
        <v>0</v>
      </c>
      <c r="W6" s="12" t="str">
        <f t="shared" si="2"/>
        <v>45886Sheldon Chase</v>
      </c>
      <c r="X6" s="12" t="str">
        <f t="shared" si="3"/>
        <v>45900Sheldon Chase</v>
      </c>
      <c r="Y6" s="13">
        <f t="shared" si="4"/>
        <v>0</v>
      </c>
      <c r="Z6" s="14" t="str">
        <f t="shared" si="5"/>
        <v/>
      </c>
      <c r="AB6" s="15"/>
      <c r="AC6" s="15"/>
    </row>
    <row r="7" spans="2:29" ht="14.25" customHeight="1">
      <c r="B7" s="14" t="s">
        <v>42</v>
      </c>
      <c r="C7" s="14" t="s">
        <v>24</v>
      </c>
      <c r="D7" s="14" t="s">
        <v>43</v>
      </c>
      <c r="E7" s="5" t="s">
        <v>44</v>
      </c>
      <c r="F7" s="5">
        <v>3</v>
      </c>
      <c r="G7" s="5">
        <v>0</v>
      </c>
      <c r="H7" s="5">
        <v>0</v>
      </c>
      <c r="I7" s="15">
        <v>45894</v>
      </c>
      <c r="J7" s="15">
        <v>45897</v>
      </c>
      <c r="K7" s="5">
        <v>3</v>
      </c>
      <c r="L7" s="15">
        <v>45834</v>
      </c>
      <c r="M7" s="5" t="s">
        <v>45</v>
      </c>
      <c r="N7" s="5">
        <v>1057.3</v>
      </c>
      <c r="O7" s="16" t="s">
        <v>46</v>
      </c>
      <c r="P7" s="8"/>
      <c r="Q7" s="9"/>
      <c r="R7" s="10"/>
      <c r="S7" s="10"/>
      <c r="T7" s="10"/>
      <c r="U7" s="11" t="str">
        <f t="shared" si="0"/>
        <v>AIRBNB</v>
      </c>
      <c r="V7" s="12" t="str">
        <f t="shared" si="1"/>
        <v>Same day check in 2 houses</v>
      </c>
      <c r="W7" s="12" t="str">
        <f t="shared" si="2"/>
        <v>45894Toucan</v>
      </c>
      <c r="X7" s="12" t="str">
        <f t="shared" si="3"/>
        <v>45897Toucan</v>
      </c>
      <c r="Y7" s="13">
        <f t="shared" si="4"/>
        <v>0</v>
      </c>
      <c r="Z7" s="14" t="str">
        <f t="shared" si="5"/>
        <v/>
      </c>
      <c r="AB7" s="15"/>
      <c r="AC7" s="15"/>
    </row>
    <row r="8" spans="2:29" ht="14.25" customHeight="1">
      <c r="B8" s="5" t="s">
        <v>34</v>
      </c>
      <c r="C8" s="5" t="s">
        <v>34</v>
      </c>
      <c r="D8" s="5" t="s">
        <v>47</v>
      </c>
      <c r="E8" s="5"/>
      <c r="F8" s="5"/>
      <c r="G8" s="5"/>
      <c r="H8" s="5"/>
      <c r="I8" s="6">
        <v>45896</v>
      </c>
      <c r="J8" s="6">
        <v>45903</v>
      </c>
      <c r="K8" s="5"/>
      <c r="L8" s="6"/>
      <c r="M8" s="5"/>
      <c r="N8" s="5"/>
      <c r="O8" s="7" t="s">
        <v>48</v>
      </c>
      <c r="P8" s="8"/>
      <c r="Q8" s="9"/>
      <c r="R8" s="10"/>
      <c r="S8" s="10"/>
      <c r="T8" s="10"/>
      <c r="U8" s="11" t="str">
        <f t="shared" si="0"/>
        <v>Owner staying</v>
      </c>
      <c r="V8" s="12">
        <f t="shared" si="1"/>
        <v>0</v>
      </c>
      <c r="W8" s="12" t="str">
        <f t="shared" si="2"/>
        <v>4589654th Ave</v>
      </c>
      <c r="X8" s="12" t="str">
        <f t="shared" si="3"/>
        <v>4590354th Ave</v>
      </c>
      <c r="Y8" s="13">
        <f t="shared" si="4"/>
        <v>0</v>
      </c>
      <c r="Z8" s="14" t="str">
        <f t="shared" si="5"/>
        <v/>
      </c>
      <c r="AB8" s="15"/>
      <c r="AC8" s="15"/>
    </row>
    <row r="9" spans="2:29" ht="14.25" customHeight="1">
      <c r="B9" s="14" t="s">
        <v>49</v>
      </c>
      <c r="C9" s="14" t="s">
        <v>50</v>
      </c>
      <c r="D9" s="14" t="s">
        <v>51</v>
      </c>
      <c r="E9" s="5" t="s">
        <v>52</v>
      </c>
      <c r="F9" s="5">
        <v>3</v>
      </c>
      <c r="G9" s="5">
        <v>0</v>
      </c>
      <c r="H9" s="5">
        <v>0</v>
      </c>
      <c r="I9" s="15">
        <v>45897</v>
      </c>
      <c r="J9" s="15">
        <v>45901</v>
      </c>
      <c r="K9" s="5">
        <v>4</v>
      </c>
      <c r="L9" s="15">
        <v>45893</v>
      </c>
      <c r="M9" s="5" t="s">
        <v>53</v>
      </c>
      <c r="N9" s="5">
        <v>986.49</v>
      </c>
      <c r="O9" s="16" t="s">
        <v>54</v>
      </c>
      <c r="P9" s="8"/>
      <c r="Q9" s="9"/>
      <c r="R9" s="10"/>
      <c r="S9" s="10"/>
      <c r="T9" s="10"/>
      <c r="U9" s="11" t="str">
        <f t="shared" si="0"/>
        <v>AIRBNB</v>
      </c>
      <c r="V9" s="12">
        <f t="shared" si="1"/>
        <v>0</v>
      </c>
      <c r="W9" s="12" t="str">
        <f t="shared" si="2"/>
        <v>45897102nd</v>
      </c>
      <c r="X9" s="12" t="str">
        <f t="shared" si="3"/>
        <v>45901102nd</v>
      </c>
      <c r="Y9" s="13">
        <f t="shared" si="4"/>
        <v>0</v>
      </c>
      <c r="Z9" s="14" t="str">
        <f t="shared" si="5"/>
        <v/>
      </c>
      <c r="AB9" s="15"/>
      <c r="AC9" s="15"/>
    </row>
    <row r="10" spans="2:29" ht="14.25" customHeight="1">
      <c r="B10" s="14" t="s">
        <v>55</v>
      </c>
      <c r="C10" s="14" t="s">
        <v>50</v>
      </c>
      <c r="D10" s="14" t="s">
        <v>56</v>
      </c>
      <c r="E10" s="5" t="s">
        <v>57</v>
      </c>
      <c r="F10" s="5">
        <v>4</v>
      </c>
      <c r="G10" s="5">
        <v>0</v>
      </c>
      <c r="H10" s="5">
        <v>0</v>
      </c>
      <c r="I10" s="15">
        <v>45897</v>
      </c>
      <c r="J10" s="15">
        <v>45901</v>
      </c>
      <c r="K10" s="5">
        <v>4</v>
      </c>
      <c r="L10" s="15">
        <v>45875</v>
      </c>
      <c r="M10" s="5" t="s">
        <v>58</v>
      </c>
      <c r="N10" s="5">
        <v>1028.2</v>
      </c>
      <c r="O10" s="16" t="s">
        <v>59</v>
      </c>
      <c r="P10" s="8"/>
      <c r="Q10" s="9"/>
      <c r="R10" s="10"/>
      <c r="S10" s="10"/>
      <c r="T10" s="10"/>
      <c r="U10" s="11" t="str">
        <f t="shared" si="0"/>
        <v>AIRBNB</v>
      </c>
      <c r="V10" s="12">
        <f t="shared" si="1"/>
        <v>0</v>
      </c>
      <c r="W10" s="12" t="str">
        <f t="shared" si="2"/>
        <v>45897Elmhurst</v>
      </c>
      <c r="X10" s="12" t="str">
        <f t="shared" si="3"/>
        <v>45901Elmhurst</v>
      </c>
      <c r="Y10" s="13">
        <f t="shared" si="4"/>
        <v>0</v>
      </c>
      <c r="Z10" s="14" t="str">
        <f t="shared" si="5"/>
        <v/>
      </c>
      <c r="AB10" s="15"/>
      <c r="AC10" s="15"/>
    </row>
    <row r="11" spans="2:29" ht="14.25" customHeight="1">
      <c r="B11" s="14" t="s">
        <v>60</v>
      </c>
      <c r="C11" s="14" t="s">
        <v>50</v>
      </c>
      <c r="D11" s="14" t="s">
        <v>61</v>
      </c>
      <c r="E11" s="5" t="s">
        <v>62</v>
      </c>
      <c r="F11" s="5">
        <v>1</v>
      </c>
      <c r="G11" s="5">
        <v>0</v>
      </c>
      <c r="H11" s="5">
        <v>0</v>
      </c>
      <c r="I11" s="15">
        <v>45898</v>
      </c>
      <c r="J11" s="15">
        <v>45901</v>
      </c>
      <c r="K11" s="5">
        <v>3</v>
      </c>
      <c r="L11" s="15">
        <v>45895</v>
      </c>
      <c r="M11" s="5" t="s">
        <v>63</v>
      </c>
      <c r="N11" s="5">
        <v>910.83</v>
      </c>
      <c r="O11" s="16" t="s">
        <v>64</v>
      </c>
      <c r="P11" s="8"/>
      <c r="Q11" s="9"/>
      <c r="R11" s="10"/>
      <c r="S11" s="10"/>
      <c r="T11" s="10"/>
      <c r="U11" s="11" t="str">
        <f t="shared" si="0"/>
        <v>AIRBNB</v>
      </c>
      <c r="V11" s="12">
        <f t="shared" si="1"/>
        <v>0</v>
      </c>
      <c r="W11" s="12" t="str">
        <f t="shared" si="2"/>
        <v>45898106th Ave</v>
      </c>
      <c r="X11" s="12" t="str">
        <f t="shared" si="3"/>
        <v>45901106th Ave</v>
      </c>
      <c r="Y11" s="13">
        <f t="shared" si="4"/>
        <v>0</v>
      </c>
      <c r="Z11" s="14" t="str">
        <f t="shared" si="5"/>
        <v/>
      </c>
      <c r="AB11" s="15"/>
      <c r="AC11" s="15"/>
    </row>
    <row r="12" spans="2:29" ht="14.25" customHeight="1">
      <c r="B12" s="14" t="s">
        <v>65</v>
      </c>
      <c r="C12" s="14" t="s">
        <v>50</v>
      </c>
      <c r="D12" s="14" t="s">
        <v>66</v>
      </c>
      <c r="E12" s="5" t="s">
        <v>67</v>
      </c>
      <c r="F12" s="5">
        <v>6</v>
      </c>
      <c r="G12" s="5">
        <v>0</v>
      </c>
      <c r="H12" s="5">
        <v>1</v>
      </c>
      <c r="I12" s="15">
        <v>45898</v>
      </c>
      <c r="J12" s="15">
        <v>45901</v>
      </c>
      <c r="K12" s="5">
        <v>3</v>
      </c>
      <c r="L12" s="15">
        <v>45835</v>
      </c>
      <c r="M12" s="5" t="s">
        <v>68</v>
      </c>
      <c r="N12" s="5">
        <v>848.75</v>
      </c>
      <c r="O12" s="16" t="s">
        <v>69</v>
      </c>
      <c r="P12" s="8"/>
      <c r="Q12" s="9"/>
      <c r="R12" s="10"/>
      <c r="S12" s="10"/>
      <c r="T12" s="10"/>
      <c r="U12" s="11" t="str">
        <f t="shared" si="0"/>
        <v>AIRBNB</v>
      </c>
      <c r="V12" s="12">
        <f t="shared" si="1"/>
        <v>0</v>
      </c>
      <c r="W12" s="12" t="str">
        <f t="shared" si="2"/>
        <v>4589864th Street</v>
      </c>
      <c r="X12" s="12" t="str">
        <f t="shared" si="3"/>
        <v>4590164th Street</v>
      </c>
      <c r="Y12" s="13">
        <f t="shared" si="4"/>
        <v>0</v>
      </c>
      <c r="Z12" s="14" t="str">
        <f t="shared" si="5"/>
        <v/>
      </c>
      <c r="AB12" s="15"/>
      <c r="AC12" s="15"/>
    </row>
    <row r="13" spans="2:29" ht="14.25" customHeight="1">
      <c r="B13" s="14" t="s">
        <v>70</v>
      </c>
      <c r="C13" s="14" t="s">
        <v>50</v>
      </c>
      <c r="D13" s="14" t="s">
        <v>71</v>
      </c>
      <c r="E13" s="5" t="s">
        <v>72</v>
      </c>
      <c r="F13" s="5">
        <v>8</v>
      </c>
      <c r="G13" s="5">
        <v>0</v>
      </c>
      <c r="H13" s="5">
        <v>0</v>
      </c>
      <c r="I13" s="15">
        <v>45898</v>
      </c>
      <c r="J13" s="15">
        <v>45901</v>
      </c>
      <c r="K13" s="5">
        <v>3</v>
      </c>
      <c r="L13" s="15">
        <v>45769</v>
      </c>
      <c r="M13" s="5" t="s">
        <v>73</v>
      </c>
      <c r="N13" s="5">
        <v>1843.97</v>
      </c>
      <c r="O13" s="16" t="s">
        <v>74</v>
      </c>
      <c r="P13" s="8"/>
      <c r="Q13" s="9"/>
      <c r="R13" s="10"/>
      <c r="S13" s="10"/>
      <c r="T13" s="10"/>
      <c r="U13" s="11" t="str">
        <f t="shared" si="0"/>
        <v>AIRBNB</v>
      </c>
      <c r="V13" s="12">
        <f t="shared" si="1"/>
        <v>0</v>
      </c>
      <c r="W13" s="12" t="str">
        <f t="shared" si="2"/>
        <v>45898Sunrise</v>
      </c>
      <c r="X13" s="12" t="str">
        <f t="shared" si="3"/>
        <v>45901Sunrise</v>
      </c>
      <c r="Y13" s="13">
        <f t="shared" si="4"/>
        <v>0</v>
      </c>
      <c r="Z13" s="14" t="str">
        <f t="shared" si="5"/>
        <v/>
      </c>
      <c r="AB13" s="15"/>
      <c r="AC13" s="15"/>
    </row>
    <row r="14" spans="2:29" ht="14.25" customHeight="1">
      <c r="B14" s="14" t="s">
        <v>75</v>
      </c>
      <c r="C14" s="14" t="s">
        <v>50</v>
      </c>
      <c r="D14" s="14" t="s">
        <v>76</v>
      </c>
      <c r="E14" s="5" t="s">
        <v>77</v>
      </c>
      <c r="F14" s="5">
        <v>5</v>
      </c>
      <c r="G14" s="5">
        <v>0</v>
      </c>
      <c r="H14" s="5">
        <v>0</v>
      </c>
      <c r="I14" s="15">
        <v>45898</v>
      </c>
      <c r="J14" s="15">
        <v>45902</v>
      </c>
      <c r="K14" s="5">
        <v>4</v>
      </c>
      <c r="L14" s="15">
        <v>45851</v>
      </c>
      <c r="M14" s="5" t="s">
        <v>78</v>
      </c>
      <c r="N14" s="5">
        <v>1735.33</v>
      </c>
      <c r="O14" s="16" t="s">
        <v>79</v>
      </c>
      <c r="P14" s="8"/>
      <c r="Q14" s="9"/>
      <c r="R14" s="10"/>
      <c r="S14" s="10"/>
      <c r="T14" s="10"/>
      <c r="U14" s="11" t="str">
        <f t="shared" si="0"/>
        <v>AIRBNB</v>
      </c>
      <c r="V14" s="12">
        <f t="shared" si="1"/>
        <v>0</v>
      </c>
      <c r="W14" s="12" t="str">
        <f t="shared" si="2"/>
        <v>4589811523 48th</v>
      </c>
      <c r="X14" s="12" t="str">
        <f t="shared" si="3"/>
        <v>4590211523 48th</v>
      </c>
      <c r="Y14" s="13">
        <f t="shared" si="4"/>
        <v>0</v>
      </c>
      <c r="Z14" s="14" t="str">
        <f t="shared" si="5"/>
        <v/>
      </c>
      <c r="AB14" s="15"/>
      <c r="AC14" s="15"/>
    </row>
    <row r="15" spans="2:29" ht="14.25" customHeight="1">
      <c r="B15" s="5" t="s">
        <v>34</v>
      </c>
      <c r="C15" s="5" t="s">
        <v>34</v>
      </c>
      <c r="D15" s="5" t="s">
        <v>80</v>
      </c>
      <c r="E15" s="5"/>
      <c r="F15" s="5"/>
      <c r="G15" s="5"/>
      <c r="H15" s="5"/>
      <c r="I15" s="6">
        <v>45898</v>
      </c>
      <c r="J15" s="6">
        <v>45902</v>
      </c>
      <c r="K15" s="5"/>
      <c r="L15" s="6"/>
      <c r="M15" s="5"/>
      <c r="N15" s="5"/>
      <c r="O15" s="7" t="s">
        <v>81</v>
      </c>
      <c r="P15" s="8"/>
      <c r="Q15" s="9"/>
      <c r="R15" s="10"/>
      <c r="S15" s="10"/>
      <c r="T15" s="10"/>
      <c r="U15" s="11" t="str">
        <f t="shared" si="0"/>
        <v>Owner staying</v>
      </c>
      <c r="V15" s="12">
        <f t="shared" si="1"/>
        <v>0</v>
      </c>
      <c r="W15" s="12" t="str">
        <f t="shared" si="2"/>
        <v>458984801 48th</v>
      </c>
      <c r="X15" s="12" t="str">
        <f t="shared" si="3"/>
        <v>459024801 48th</v>
      </c>
      <c r="Y15" s="13">
        <f t="shared" si="4"/>
        <v>0</v>
      </c>
      <c r="Z15" s="14" t="str">
        <f t="shared" si="5"/>
        <v/>
      </c>
      <c r="AB15" s="15"/>
      <c r="AC15" s="15"/>
    </row>
    <row r="16" spans="2:29" ht="14.25" customHeight="1">
      <c r="B16" s="14" t="s">
        <v>82</v>
      </c>
      <c r="C16" s="14" t="s">
        <v>50</v>
      </c>
      <c r="D16" s="14" t="s">
        <v>83</v>
      </c>
      <c r="E16" s="5" t="s">
        <v>84</v>
      </c>
      <c r="F16" s="5">
        <v>2</v>
      </c>
      <c r="G16" s="5">
        <v>0</v>
      </c>
      <c r="H16" s="5">
        <v>0</v>
      </c>
      <c r="I16" s="15">
        <v>45898</v>
      </c>
      <c r="J16" s="15">
        <v>45903</v>
      </c>
      <c r="K16" s="5">
        <v>5</v>
      </c>
      <c r="L16" s="15">
        <v>45877</v>
      </c>
      <c r="M16" s="5" t="s">
        <v>85</v>
      </c>
      <c r="N16" s="5">
        <v>1691.68</v>
      </c>
      <c r="O16" s="16" t="s">
        <v>86</v>
      </c>
      <c r="P16" s="8"/>
      <c r="Q16" s="9"/>
      <c r="R16" s="10"/>
      <c r="S16" s="10"/>
      <c r="T16" s="10"/>
      <c r="U16" s="11" t="str">
        <f t="shared" si="0"/>
        <v>AIRBNB</v>
      </c>
      <c r="V16" s="12">
        <f t="shared" si="1"/>
        <v>0</v>
      </c>
      <c r="W16" s="12" t="str">
        <f t="shared" si="2"/>
        <v>45898Lake Valencia</v>
      </c>
      <c r="X16" s="12" t="str">
        <f t="shared" si="3"/>
        <v>45903Lake Valencia</v>
      </c>
      <c r="Y16" s="13">
        <f t="shared" si="4"/>
        <v>0</v>
      </c>
      <c r="Z16" s="14" t="str">
        <f t="shared" si="5"/>
        <v/>
      </c>
      <c r="AB16" s="15"/>
      <c r="AC16" s="15"/>
    </row>
    <row r="17" spans="2:29" ht="14.25" customHeight="1">
      <c r="B17" s="5" t="s">
        <v>34</v>
      </c>
      <c r="C17" s="5" t="s">
        <v>34</v>
      </c>
      <c r="D17" s="5" t="s">
        <v>80</v>
      </c>
      <c r="E17" s="5"/>
      <c r="F17" s="5"/>
      <c r="G17" s="5"/>
      <c r="H17" s="5"/>
      <c r="I17" s="6">
        <v>45905</v>
      </c>
      <c r="J17" s="6">
        <v>45907</v>
      </c>
      <c r="K17" s="5"/>
      <c r="L17" s="6"/>
      <c r="M17" s="5"/>
      <c r="N17" s="5"/>
      <c r="O17" s="7" t="s">
        <v>81</v>
      </c>
      <c r="P17" s="8"/>
      <c r="Q17" s="9"/>
      <c r="R17" s="10"/>
      <c r="S17" s="10"/>
      <c r="T17" s="10"/>
      <c r="U17" s="11" t="str">
        <f t="shared" si="0"/>
        <v>Owner staying</v>
      </c>
      <c r="V17" s="12" t="str">
        <f t="shared" si="1"/>
        <v>Same day check in 1 houses</v>
      </c>
      <c r="W17" s="12" t="str">
        <f t="shared" si="2"/>
        <v>459054801 48th</v>
      </c>
      <c r="X17" s="12" t="str">
        <f t="shared" si="3"/>
        <v>459074801 48th</v>
      </c>
      <c r="Y17" s="13">
        <f t="shared" si="4"/>
        <v>0</v>
      </c>
      <c r="Z17" s="14" t="str">
        <f t="shared" si="5"/>
        <v/>
      </c>
      <c r="AB17" s="15"/>
      <c r="AC17" s="15"/>
    </row>
    <row r="18" spans="2:29" ht="14.25" customHeight="1">
      <c r="B18" s="14" t="s">
        <v>87</v>
      </c>
      <c r="C18" s="14" t="s">
        <v>50</v>
      </c>
      <c r="D18" s="14" t="s">
        <v>88</v>
      </c>
      <c r="E18" s="5" t="s">
        <v>89</v>
      </c>
      <c r="F18" s="5">
        <v>3</v>
      </c>
      <c r="G18" s="5">
        <v>0</v>
      </c>
      <c r="H18" s="5">
        <v>0</v>
      </c>
      <c r="I18" s="15">
        <v>45905</v>
      </c>
      <c r="J18" s="15">
        <v>45908</v>
      </c>
      <c r="K18" s="5">
        <v>3</v>
      </c>
      <c r="L18" s="15">
        <v>45894</v>
      </c>
      <c r="M18" s="5" t="s">
        <v>78</v>
      </c>
      <c r="N18" s="5">
        <v>1338.6</v>
      </c>
      <c r="O18" s="16" t="s">
        <v>79</v>
      </c>
      <c r="P18" s="8"/>
      <c r="Q18" s="9"/>
      <c r="R18" s="10"/>
      <c r="S18" s="10"/>
      <c r="T18" s="10"/>
      <c r="U18" s="11" t="str">
        <f t="shared" si="0"/>
        <v>AIRBNB</v>
      </c>
      <c r="V18" s="12">
        <f t="shared" si="1"/>
        <v>0</v>
      </c>
      <c r="W18" s="12" t="str">
        <f t="shared" si="2"/>
        <v>4590511523 48th</v>
      </c>
      <c r="X18" s="12" t="str">
        <f t="shared" si="3"/>
        <v>4590811523 48th</v>
      </c>
      <c r="Y18" s="13">
        <f t="shared" si="4"/>
        <v>0</v>
      </c>
      <c r="Z18" s="14" t="str">
        <f t="shared" si="5"/>
        <v/>
      </c>
      <c r="AB18" s="15"/>
      <c r="AC18" s="15"/>
    </row>
    <row r="19" spans="2:29" ht="14.25" customHeight="1">
      <c r="B19" s="14" t="s">
        <v>90</v>
      </c>
      <c r="C19" s="14" t="s">
        <v>50</v>
      </c>
      <c r="D19" s="14" t="s">
        <v>91</v>
      </c>
      <c r="E19" s="5" t="s">
        <v>92</v>
      </c>
      <c r="F19" s="5">
        <v>6</v>
      </c>
      <c r="G19" s="5">
        <v>0</v>
      </c>
      <c r="H19" s="5">
        <v>0</v>
      </c>
      <c r="I19" s="15">
        <v>45907</v>
      </c>
      <c r="J19" s="15">
        <v>45934</v>
      </c>
      <c r="K19" s="5">
        <v>27</v>
      </c>
      <c r="L19" s="15">
        <v>45888</v>
      </c>
      <c r="M19" s="5" t="s">
        <v>93</v>
      </c>
      <c r="N19" s="5">
        <v>4976.78</v>
      </c>
      <c r="O19" s="16" t="s">
        <v>94</v>
      </c>
      <c r="P19" s="8"/>
      <c r="Q19" s="9"/>
      <c r="R19" s="10"/>
      <c r="S19" s="10"/>
      <c r="T19" s="10"/>
      <c r="U19" s="11" t="str">
        <f t="shared" si="0"/>
        <v>AIRBNB</v>
      </c>
      <c r="V19" s="12">
        <f t="shared" si="1"/>
        <v>0</v>
      </c>
      <c r="W19" s="12" t="str">
        <f t="shared" si="2"/>
        <v>4590766th Ave</v>
      </c>
      <c r="X19" s="12" t="str">
        <f t="shared" si="3"/>
        <v>4593466th Ave</v>
      </c>
      <c r="Y19" s="13">
        <f t="shared" si="4"/>
        <v>0</v>
      </c>
      <c r="Z19" s="14" t="str">
        <f t="shared" si="5"/>
        <v/>
      </c>
      <c r="AB19" s="15"/>
      <c r="AC19" s="15"/>
    </row>
    <row r="20" spans="2:29" ht="14.25" customHeight="1">
      <c r="B20" s="14" t="s">
        <v>95</v>
      </c>
      <c r="C20" s="14" t="s">
        <v>50</v>
      </c>
      <c r="D20" s="14" t="s">
        <v>96</v>
      </c>
      <c r="E20" s="5" t="s">
        <v>97</v>
      </c>
      <c r="F20" s="5">
        <v>6</v>
      </c>
      <c r="G20" s="5">
        <v>0</v>
      </c>
      <c r="H20" s="5">
        <v>0</v>
      </c>
      <c r="I20" s="15">
        <v>45911</v>
      </c>
      <c r="J20" s="15">
        <v>45914</v>
      </c>
      <c r="K20" s="5">
        <v>3</v>
      </c>
      <c r="L20" s="15">
        <v>45890</v>
      </c>
      <c r="M20" s="5" t="s">
        <v>73</v>
      </c>
      <c r="N20" s="5">
        <v>1387.1</v>
      </c>
      <c r="O20" s="16" t="s">
        <v>74</v>
      </c>
      <c r="P20" s="8"/>
      <c r="Q20" s="9"/>
      <c r="R20" s="10"/>
      <c r="S20" s="10"/>
      <c r="T20" s="10"/>
      <c r="U20" s="11" t="str">
        <f t="shared" si="0"/>
        <v>AIRBNB</v>
      </c>
      <c r="V20" s="12" t="str">
        <f t="shared" si="1"/>
        <v>Same day check in 1 houses</v>
      </c>
      <c r="W20" s="12" t="str">
        <f t="shared" si="2"/>
        <v>45911Sunrise</v>
      </c>
      <c r="X20" s="12" t="str">
        <f t="shared" si="3"/>
        <v>45914Sunrise</v>
      </c>
      <c r="Y20" s="13">
        <f t="shared" si="4"/>
        <v>0</v>
      </c>
      <c r="Z20" s="14" t="str">
        <f t="shared" si="5"/>
        <v/>
      </c>
      <c r="AB20" s="15"/>
      <c r="AC20" s="15"/>
    </row>
    <row r="21" spans="2:29" ht="14.25" customHeight="1">
      <c r="B21" s="5" t="s">
        <v>34</v>
      </c>
      <c r="C21" s="5" t="s">
        <v>34</v>
      </c>
      <c r="D21" s="5" t="s">
        <v>80</v>
      </c>
      <c r="E21" s="5"/>
      <c r="F21" s="5"/>
      <c r="G21" s="5"/>
      <c r="H21" s="5"/>
      <c r="I21" s="6">
        <v>45912</v>
      </c>
      <c r="J21" s="6">
        <v>45915</v>
      </c>
      <c r="K21" s="5"/>
      <c r="L21" s="6"/>
      <c r="M21" s="5"/>
      <c r="N21" s="5"/>
      <c r="O21" s="7" t="s">
        <v>81</v>
      </c>
      <c r="P21" s="8"/>
      <c r="Q21" s="9"/>
      <c r="R21" s="10"/>
      <c r="S21" s="10"/>
      <c r="T21" s="10"/>
      <c r="U21" s="11" t="str">
        <f t="shared" si="0"/>
        <v>Owner staying</v>
      </c>
      <c r="V21" s="12">
        <f t="shared" si="1"/>
        <v>0</v>
      </c>
      <c r="W21" s="12" t="str">
        <f t="shared" si="2"/>
        <v>459124801 48th</v>
      </c>
      <c r="X21" s="12" t="str">
        <f t="shared" si="3"/>
        <v>459154801 48th</v>
      </c>
      <c r="Y21" s="13">
        <f t="shared" si="4"/>
        <v>0</v>
      </c>
      <c r="Z21" s="14" t="str">
        <f t="shared" si="5"/>
        <v/>
      </c>
      <c r="AB21" s="15"/>
      <c r="AC21" s="15"/>
    </row>
    <row r="22" spans="2:29" ht="14.25" customHeight="1">
      <c r="B22" s="14" t="s">
        <v>98</v>
      </c>
      <c r="C22" s="14" t="s">
        <v>50</v>
      </c>
      <c r="D22" s="14" t="s">
        <v>99</v>
      </c>
      <c r="E22" s="5" t="s">
        <v>100</v>
      </c>
      <c r="F22" s="5">
        <v>1</v>
      </c>
      <c r="G22" s="5">
        <v>0</v>
      </c>
      <c r="H22" s="5">
        <v>0</v>
      </c>
      <c r="I22" s="15">
        <v>45914</v>
      </c>
      <c r="J22" s="15">
        <v>45933</v>
      </c>
      <c r="K22" s="17">
        <v>19</v>
      </c>
      <c r="L22" s="15">
        <v>45891</v>
      </c>
      <c r="M22" s="5" t="s">
        <v>101</v>
      </c>
      <c r="N22" s="5">
        <v>2699.12</v>
      </c>
      <c r="O22" s="16" t="s">
        <v>102</v>
      </c>
      <c r="P22" s="8"/>
      <c r="Q22" s="9"/>
      <c r="R22" s="10"/>
      <c r="S22" s="10"/>
      <c r="T22" s="10"/>
      <c r="U22" s="11" t="str">
        <f t="shared" si="0"/>
        <v>AIRBNB</v>
      </c>
      <c r="V22" s="12">
        <f t="shared" si="1"/>
        <v>0</v>
      </c>
      <c r="W22" s="12" t="str">
        <f t="shared" si="2"/>
        <v>4591476th Ave</v>
      </c>
      <c r="X22" s="12" t="str">
        <f t="shared" si="3"/>
        <v>4593376th Ave</v>
      </c>
      <c r="Y22" s="13">
        <f t="shared" si="4"/>
        <v>0</v>
      </c>
      <c r="Z22" s="14" t="str">
        <f t="shared" si="5"/>
        <v/>
      </c>
      <c r="AB22" s="15"/>
      <c r="AC22" s="15"/>
    </row>
    <row r="23" spans="2:29" ht="14.25" customHeight="1">
      <c r="B23" s="14" t="s">
        <v>103</v>
      </c>
      <c r="C23" s="14" t="s">
        <v>50</v>
      </c>
      <c r="D23" s="14" t="s">
        <v>104</v>
      </c>
      <c r="E23" s="5" t="s">
        <v>105</v>
      </c>
      <c r="F23" s="5">
        <v>6</v>
      </c>
      <c r="G23" s="5">
        <v>2</v>
      </c>
      <c r="H23" s="5">
        <v>0</v>
      </c>
      <c r="I23" s="15">
        <v>45919</v>
      </c>
      <c r="J23" s="15">
        <v>45925</v>
      </c>
      <c r="K23" s="5">
        <v>6</v>
      </c>
      <c r="L23" s="15">
        <v>45888</v>
      </c>
      <c r="M23" s="5" t="s">
        <v>73</v>
      </c>
      <c r="N23" s="5">
        <v>2725.7</v>
      </c>
      <c r="O23" s="16" t="s">
        <v>74</v>
      </c>
      <c r="P23" s="8"/>
      <c r="Q23" s="9"/>
      <c r="R23" s="10"/>
      <c r="S23" s="10"/>
      <c r="T23" s="10"/>
      <c r="U23" s="11" t="str">
        <f t="shared" si="0"/>
        <v>AIRBNB</v>
      </c>
      <c r="V23" s="12" t="str">
        <f t="shared" si="1"/>
        <v>Same day check in 1 houses</v>
      </c>
      <c r="W23" s="12" t="str">
        <f t="shared" si="2"/>
        <v>45919Sunrise</v>
      </c>
      <c r="X23" s="12" t="str">
        <f t="shared" si="3"/>
        <v>45925Sunrise</v>
      </c>
      <c r="Y23" s="13" t="str">
        <f t="shared" si="4"/>
        <v>Check in, check out on the same day of stay Sunrise</v>
      </c>
      <c r="Z23" s="14" t="str">
        <f t="shared" si="5"/>
        <v/>
      </c>
      <c r="AB23" s="15"/>
      <c r="AC23" s="15"/>
    </row>
    <row r="24" spans="2:29" ht="14.25" customHeight="1">
      <c r="B24" s="14" t="s">
        <v>106</v>
      </c>
      <c r="C24" s="14" t="s">
        <v>50</v>
      </c>
      <c r="D24" s="14" t="s">
        <v>107</v>
      </c>
      <c r="E24" s="5" t="s">
        <v>108</v>
      </c>
      <c r="F24" s="5">
        <v>7</v>
      </c>
      <c r="G24" s="5">
        <v>0</v>
      </c>
      <c r="H24" s="5">
        <v>0</v>
      </c>
      <c r="I24" s="15">
        <v>45925</v>
      </c>
      <c r="J24" s="15">
        <v>45928</v>
      </c>
      <c r="K24" s="5">
        <v>3</v>
      </c>
      <c r="L24" s="15">
        <v>45880</v>
      </c>
      <c r="M24" s="5" t="s">
        <v>73</v>
      </c>
      <c r="N24" s="5">
        <v>1459.85</v>
      </c>
      <c r="O24" s="16" t="s">
        <v>74</v>
      </c>
      <c r="P24" s="8"/>
      <c r="Q24" s="9"/>
      <c r="R24" s="10"/>
      <c r="S24" s="10"/>
      <c r="T24" s="10"/>
      <c r="U24" s="11" t="str">
        <f t="shared" si="0"/>
        <v>AIRBNB</v>
      </c>
      <c r="V24" s="12">
        <f t="shared" si="1"/>
        <v>0</v>
      </c>
      <c r="W24" s="12" t="str">
        <f t="shared" si="2"/>
        <v>45925Sunrise</v>
      </c>
      <c r="X24" s="12" t="str">
        <f t="shared" si="3"/>
        <v>45928Sunrise</v>
      </c>
      <c r="Y24" s="13">
        <f t="shared" si="4"/>
        <v>0</v>
      </c>
      <c r="Z24" s="14" t="str">
        <f t="shared" si="5"/>
        <v/>
      </c>
      <c r="AB24" s="15"/>
      <c r="AC24" s="15"/>
    </row>
    <row r="25" spans="2:29" ht="14.25" customHeight="1">
      <c r="B25" s="14" t="s">
        <v>109</v>
      </c>
      <c r="C25" s="14" t="s">
        <v>50</v>
      </c>
      <c r="D25" s="14" t="s">
        <v>110</v>
      </c>
      <c r="E25" s="5" t="s">
        <v>111</v>
      </c>
      <c r="F25" s="5">
        <v>6</v>
      </c>
      <c r="G25" s="5">
        <v>0</v>
      </c>
      <c r="H25" s="5">
        <v>0</v>
      </c>
      <c r="I25" s="15">
        <v>45926</v>
      </c>
      <c r="J25" s="15">
        <v>45929</v>
      </c>
      <c r="K25" s="17">
        <v>3</v>
      </c>
      <c r="L25" s="15">
        <v>45833</v>
      </c>
      <c r="M25" s="5" t="s">
        <v>85</v>
      </c>
      <c r="N25" s="5">
        <v>1091.25</v>
      </c>
      <c r="O25" s="16" t="s">
        <v>86</v>
      </c>
      <c r="P25" s="8"/>
      <c r="Q25" s="9"/>
      <c r="R25" s="10"/>
      <c r="S25" s="10"/>
      <c r="T25" s="10"/>
      <c r="U25" s="11" t="str">
        <f t="shared" si="0"/>
        <v>AIRBNB</v>
      </c>
      <c r="V25" s="12">
        <f t="shared" si="1"/>
        <v>0</v>
      </c>
      <c r="W25" s="12" t="str">
        <f t="shared" si="2"/>
        <v>45926Lake Valencia</v>
      </c>
      <c r="X25" s="12" t="str">
        <f t="shared" si="3"/>
        <v>45929Lake Valencia</v>
      </c>
      <c r="Y25" s="13">
        <f t="shared" si="4"/>
        <v>0</v>
      </c>
      <c r="Z25" s="14" t="str">
        <f t="shared" si="5"/>
        <v/>
      </c>
      <c r="AB25" s="15"/>
      <c r="AC25" s="15"/>
    </row>
    <row r="26" spans="2:29" ht="14.25" customHeight="1">
      <c r="B26" s="14" t="s">
        <v>112</v>
      </c>
      <c r="C26" s="14" t="s">
        <v>50</v>
      </c>
      <c r="D26" s="14" t="s">
        <v>113</v>
      </c>
      <c r="E26" s="5" t="s">
        <v>114</v>
      </c>
      <c r="F26" s="5">
        <v>4</v>
      </c>
      <c r="G26" s="5">
        <v>0</v>
      </c>
      <c r="H26" s="5">
        <v>0</v>
      </c>
      <c r="I26" s="15">
        <v>45932</v>
      </c>
      <c r="J26" s="15">
        <v>45935</v>
      </c>
      <c r="K26" s="5">
        <v>3</v>
      </c>
      <c r="L26" s="15">
        <v>45882</v>
      </c>
      <c r="M26" s="5" t="s">
        <v>78</v>
      </c>
      <c r="N26" s="5">
        <v>1352.57</v>
      </c>
      <c r="O26" s="16" t="s">
        <v>79</v>
      </c>
      <c r="P26" s="8"/>
      <c r="Q26" s="9"/>
      <c r="R26" s="10"/>
      <c r="S26" s="10"/>
      <c r="T26" s="10"/>
      <c r="U26" s="11" t="str">
        <f t="shared" si="0"/>
        <v>AIRBNB</v>
      </c>
      <c r="V26" s="12" t="str">
        <f t="shared" si="1"/>
        <v>Same day check in 1 houses</v>
      </c>
      <c r="W26" s="12" t="str">
        <f t="shared" si="2"/>
        <v>4593211523 48th</v>
      </c>
      <c r="X26" s="12" t="str">
        <f t="shared" si="3"/>
        <v>4593511523 48th</v>
      </c>
      <c r="Y26" s="13" t="str">
        <f t="shared" si="4"/>
        <v>Check in, check out on the same day of stay 11523 48th</v>
      </c>
      <c r="Z26" s="14" t="str">
        <f t="shared" si="5"/>
        <v/>
      </c>
      <c r="AB26" s="15"/>
      <c r="AC26" s="15"/>
    </row>
    <row r="27" spans="2:29" ht="14.25" customHeight="1">
      <c r="B27" s="14" t="s">
        <v>115</v>
      </c>
      <c r="C27" s="14" t="s">
        <v>10</v>
      </c>
      <c r="D27" s="14" t="s">
        <v>116</v>
      </c>
      <c r="E27" s="5"/>
      <c r="F27" s="5"/>
      <c r="G27" s="5"/>
      <c r="H27" s="5"/>
      <c r="I27" s="15">
        <v>45935</v>
      </c>
      <c r="J27" s="15">
        <v>45940</v>
      </c>
      <c r="K27" s="5"/>
      <c r="L27" s="15">
        <v>45797</v>
      </c>
      <c r="M27" s="5"/>
      <c r="N27" s="5"/>
      <c r="O27" s="16" t="s">
        <v>79</v>
      </c>
      <c r="P27" s="8"/>
      <c r="Q27" s="9"/>
      <c r="R27" s="10"/>
      <c r="S27" s="10"/>
      <c r="T27" s="10"/>
      <c r="U27" s="11" t="str">
        <f t="shared" si="0"/>
        <v>VRBO</v>
      </c>
      <c r="V27" s="12" t="str">
        <f t="shared" si="1"/>
        <v>Same day check in 1 houses</v>
      </c>
      <c r="W27" s="12" t="str">
        <f t="shared" si="2"/>
        <v>4593511523 48th</v>
      </c>
      <c r="X27" s="12" t="str">
        <f t="shared" si="3"/>
        <v>4594011523 48th</v>
      </c>
      <c r="Y27" s="13">
        <f t="shared" si="4"/>
        <v>0</v>
      </c>
      <c r="Z27" s="14" t="str">
        <f t="shared" si="5"/>
        <v/>
      </c>
      <c r="AB27" s="15"/>
      <c r="AC27" s="15"/>
    </row>
    <row r="28" spans="2:29" ht="14.25" customHeight="1">
      <c r="B28" s="14" t="s">
        <v>117</v>
      </c>
      <c r="C28" s="14" t="s">
        <v>50</v>
      </c>
      <c r="D28" s="14" t="s">
        <v>118</v>
      </c>
      <c r="E28" s="5" t="s">
        <v>119</v>
      </c>
      <c r="F28" s="5">
        <v>6</v>
      </c>
      <c r="G28" s="5">
        <v>0</v>
      </c>
      <c r="H28" s="5">
        <v>1</v>
      </c>
      <c r="I28" s="15">
        <v>45939</v>
      </c>
      <c r="J28" s="15">
        <v>45943</v>
      </c>
      <c r="K28" s="5">
        <v>3</v>
      </c>
      <c r="L28" s="15">
        <v>45756</v>
      </c>
      <c r="M28" s="5" t="s">
        <v>85</v>
      </c>
      <c r="N28" s="5">
        <v>1164.97</v>
      </c>
      <c r="O28" s="16" t="s">
        <v>86</v>
      </c>
      <c r="P28" s="8"/>
      <c r="Q28" s="9"/>
      <c r="R28" s="10"/>
      <c r="S28" s="10"/>
      <c r="T28" s="10"/>
      <c r="U28" s="11" t="str">
        <f t="shared" si="0"/>
        <v>AIRBNB</v>
      </c>
      <c r="V28" s="12">
        <f t="shared" si="1"/>
        <v>0</v>
      </c>
      <c r="W28" s="12" t="str">
        <f t="shared" si="2"/>
        <v>45939Lake Valencia</v>
      </c>
      <c r="X28" s="12" t="str">
        <f t="shared" si="3"/>
        <v>45943Lake Valencia</v>
      </c>
      <c r="Y28" s="13">
        <f t="shared" si="4"/>
        <v>0</v>
      </c>
      <c r="Z28" s="14" t="str">
        <f t="shared" si="5"/>
        <v/>
      </c>
      <c r="AB28" s="15"/>
      <c r="AC28" s="15"/>
    </row>
    <row r="29" spans="2:29" ht="14.25" customHeight="1">
      <c r="B29" s="14" t="s">
        <v>120</v>
      </c>
      <c r="C29" s="14" t="s">
        <v>50</v>
      </c>
      <c r="D29" s="14" t="s">
        <v>121</v>
      </c>
      <c r="E29" s="5" t="s">
        <v>122</v>
      </c>
      <c r="F29" s="5">
        <v>1</v>
      </c>
      <c r="G29" s="5">
        <v>0</v>
      </c>
      <c r="H29" s="5">
        <v>0</v>
      </c>
      <c r="I29" s="15">
        <v>45939</v>
      </c>
      <c r="J29" s="15">
        <v>45946</v>
      </c>
      <c r="K29" s="5">
        <v>7</v>
      </c>
      <c r="L29" s="15">
        <v>45880</v>
      </c>
      <c r="M29" s="5" t="s">
        <v>123</v>
      </c>
      <c r="N29" s="5">
        <v>2431.06</v>
      </c>
      <c r="O29" s="16" t="s">
        <v>124</v>
      </c>
      <c r="P29" s="8"/>
      <c r="Q29" s="9"/>
      <c r="R29" s="10"/>
      <c r="S29" s="10"/>
      <c r="T29" s="10"/>
      <c r="U29" s="11" t="str">
        <f t="shared" si="0"/>
        <v>AIRBNB</v>
      </c>
      <c r="V29" s="12" t="str">
        <f t="shared" si="1"/>
        <v>Same day check in 3 houses</v>
      </c>
      <c r="W29" s="12" t="str">
        <f t="shared" si="2"/>
        <v>45939Oakdale</v>
      </c>
      <c r="X29" s="12" t="str">
        <f t="shared" si="3"/>
        <v>45946Oakdale</v>
      </c>
      <c r="Y29" s="13">
        <f t="shared" si="4"/>
        <v>0</v>
      </c>
      <c r="Z29" s="14" t="str">
        <f t="shared" si="5"/>
        <v/>
      </c>
      <c r="AB29" s="15"/>
      <c r="AC29" s="15"/>
    </row>
    <row r="30" spans="2:29" ht="14.25" customHeight="1">
      <c r="B30" s="14" t="s">
        <v>125</v>
      </c>
      <c r="C30" s="14" t="s">
        <v>50</v>
      </c>
      <c r="D30" s="14" t="s">
        <v>126</v>
      </c>
      <c r="E30" s="5" t="s">
        <v>127</v>
      </c>
      <c r="F30" s="5">
        <v>4</v>
      </c>
      <c r="G30" s="5">
        <v>0</v>
      </c>
      <c r="H30" s="5">
        <v>0</v>
      </c>
      <c r="I30" s="15">
        <v>45940</v>
      </c>
      <c r="J30" s="15">
        <v>45943</v>
      </c>
      <c r="K30" s="5">
        <v>3</v>
      </c>
      <c r="L30" s="15">
        <v>45759</v>
      </c>
      <c r="M30" s="5" t="s">
        <v>73</v>
      </c>
      <c r="N30" s="5">
        <v>1665.49</v>
      </c>
      <c r="O30" s="16" t="s">
        <v>74</v>
      </c>
      <c r="P30" s="8"/>
      <c r="Q30" s="9"/>
      <c r="R30" s="10"/>
      <c r="S30" s="10"/>
      <c r="T30" s="10"/>
      <c r="U30" s="11" t="str">
        <f t="shared" si="0"/>
        <v>AIRBNB</v>
      </c>
      <c r="V30" s="12">
        <f t="shared" si="1"/>
        <v>0</v>
      </c>
      <c r="W30" s="12" t="str">
        <f t="shared" si="2"/>
        <v>45940Sunrise</v>
      </c>
      <c r="X30" s="12" t="str">
        <f t="shared" si="3"/>
        <v>45943Sunrise</v>
      </c>
      <c r="Y30" s="13">
        <f t="shared" si="4"/>
        <v>0</v>
      </c>
      <c r="Z30" s="14" t="str">
        <f t="shared" si="5"/>
        <v/>
      </c>
      <c r="AB30" s="15"/>
      <c r="AC30" s="15"/>
    </row>
    <row r="31" spans="2:29" ht="14.25" customHeight="1">
      <c r="B31" s="14" t="s">
        <v>128</v>
      </c>
      <c r="C31" s="14" t="s">
        <v>50</v>
      </c>
      <c r="D31" s="14" t="s">
        <v>129</v>
      </c>
      <c r="E31" s="5" t="s">
        <v>130</v>
      </c>
      <c r="F31" s="5">
        <v>2</v>
      </c>
      <c r="G31" s="5">
        <v>4</v>
      </c>
      <c r="H31" s="5">
        <v>0</v>
      </c>
      <c r="I31" s="15">
        <v>45941</v>
      </c>
      <c r="J31" s="15">
        <v>45946</v>
      </c>
      <c r="K31" s="5">
        <v>5</v>
      </c>
      <c r="L31" s="15">
        <v>45879</v>
      </c>
      <c r="M31" s="5" t="s">
        <v>78</v>
      </c>
      <c r="N31" s="5">
        <v>2060.5700000000002</v>
      </c>
      <c r="O31" s="16" t="s">
        <v>79</v>
      </c>
      <c r="P31" s="8"/>
      <c r="Q31" s="9"/>
      <c r="R31" s="10"/>
      <c r="S31" s="10"/>
      <c r="T31" s="10"/>
      <c r="U31" s="11" t="str">
        <f t="shared" si="0"/>
        <v>AIRBNB</v>
      </c>
      <c r="V31" s="12" t="str">
        <f t="shared" si="1"/>
        <v>Same day check in 3 houses</v>
      </c>
      <c r="W31" s="12" t="str">
        <f t="shared" si="2"/>
        <v>4594111523 48th</v>
      </c>
      <c r="X31" s="12" t="str">
        <f t="shared" si="3"/>
        <v>4594611523 48th</v>
      </c>
      <c r="Y31" s="13" t="str">
        <f t="shared" si="4"/>
        <v>Check in, check out on the same day of stay 11523 48th</v>
      </c>
      <c r="Z31" s="14" t="str">
        <f t="shared" si="5"/>
        <v/>
      </c>
      <c r="AB31" s="15"/>
      <c r="AC31" s="15"/>
    </row>
    <row r="32" spans="2:29" ht="14.25" customHeight="1">
      <c r="B32" s="14" t="s">
        <v>131</v>
      </c>
      <c r="C32" s="14" t="s">
        <v>50</v>
      </c>
      <c r="D32" s="14" t="s">
        <v>132</v>
      </c>
      <c r="E32" s="5" t="s">
        <v>133</v>
      </c>
      <c r="F32" s="5">
        <v>2</v>
      </c>
      <c r="G32" s="5">
        <v>1</v>
      </c>
      <c r="H32" s="5">
        <v>1</v>
      </c>
      <c r="I32" s="15">
        <v>45946</v>
      </c>
      <c r="J32" s="15">
        <v>45949</v>
      </c>
      <c r="K32" s="5">
        <v>3</v>
      </c>
      <c r="L32" s="15">
        <v>45872</v>
      </c>
      <c r="M32" s="5" t="s">
        <v>78</v>
      </c>
      <c r="N32" s="5">
        <v>1344.71</v>
      </c>
      <c r="O32" s="16" t="s">
        <v>79</v>
      </c>
      <c r="P32" s="8"/>
      <c r="Q32" s="9"/>
      <c r="R32" s="10"/>
      <c r="S32" s="10"/>
      <c r="T32" s="10"/>
      <c r="U32" s="11" t="str">
        <f t="shared" si="0"/>
        <v>AIRBNB</v>
      </c>
      <c r="V32" s="12">
        <f t="shared" si="1"/>
        <v>0</v>
      </c>
      <c r="W32" s="12" t="str">
        <f t="shared" si="2"/>
        <v>4594611523 48th</v>
      </c>
      <c r="X32" s="12" t="str">
        <f t="shared" si="3"/>
        <v>4594911523 48th</v>
      </c>
      <c r="Y32" s="13">
        <f t="shared" si="4"/>
        <v>0</v>
      </c>
      <c r="Z32" s="14" t="str">
        <f t="shared" si="5"/>
        <v/>
      </c>
      <c r="AB32" s="15"/>
      <c r="AC32" s="15"/>
    </row>
    <row r="33" spans="2:29" ht="14.25" customHeight="1">
      <c r="B33" s="14" t="s">
        <v>134</v>
      </c>
      <c r="C33" s="14" t="s">
        <v>50</v>
      </c>
      <c r="D33" s="14" t="s">
        <v>135</v>
      </c>
      <c r="E33" s="5" t="s">
        <v>136</v>
      </c>
      <c r="F33" s="5">
        <v>5</v>
      </c>
      <c r="G33" s="5">
        <v>0</v>
      </c>
      <c r="H33" s="5">
        <v>0</v>
      </c>
      <c r="I33" s="15">
        <v>45946</v>
      </c>
      <c r="J33" s="15">
        <v>45949</v>
      </c>
      <c r="K33" s="17">
        <v>3</v>
      </c>
      <c r="L33" s="15">
        <v>45856</v>
      </c>
      <c r="M33" s="5" t="s">
        <v>73</v>
      </c>
      <c r="N33" s="5">
        <v>1689.74</v>
      </c>
      <c r="O33" s="16" t="s">
        <v>74</v>
      </c>
      <c r="P33" s="8"/>
      <c r="Q33" s="9"/>
      <c r="R33" s="10"/>
      <c r="S33" s="10"/>
      <c r="T33" s="10"/>
      <c r="U33" s="11" t="str">
        <f t="shared" si="0"/>
        <v>AIRBNB</v>
      </c>
      <c r="V33" s="12">
        <f t="shared" si="1"/>
        <v>0</v>
      </c>
      <c r="W33" s="12" t="str">
        <f t="shared" si="2"/>
        <v>45946Sunrise</v>
      </c>
      <c r="X33" s="12" t="str">
        <f t="shared" si="3"/>
        <v>45949Sunrise</v>
      </c>
      <c r="Y33" s="13">
        <f t="shared" si="4"/>
        <v>0</v>
      </c>
      <c r="Z33" s="14" t="str">
        <f t="shared" si="5"/>
        <v/>
      </c>
      <c r="AB33" s="15"/>
      <c r="AC33" s="15"/>
    </row>
    <row r="34" spans="2:29" ht="14.25" customHeight="1">
      <c r="B34" s="14" t="s">
        <v>137</v>
      </c>
      <c r="C34" s="14" t="s">
        <v>50</v>
      </c>
      <c r="D34" s="14" t="s">
        <v>138</v>
      </c>
      <c r="E34" s="5" t="s">
        <v>139</v>
      </c>
      <c r="F34" s="5">
        <v>10</v>
      </c>
      <c r="G34" s="5">
        <v>0</v>
      </c>
      <c r="H34" s="5">
        <v>0</v>
      </c>
      <c r="I34" s="15">
        <v>45946</v>
      </c>
      <c r="J34" s="15">
        <v>45949</v>
      </c>
      <c r="K34" s="5">
        <v>3</v>
      </c>
      <c r="L34" s="15">
        <v>45812</v>
      </c>
      <c r="M34" s="5" t="s">
        <v>140</v>
      </c>
      <c r="N34" s="5">
        <v>1876.95</v>
      </c>
      <c r="O34" s="16" t="s">
        <v>81</v>
      </c>
      <c r="P34" s="8"/>
      <c r="Q34" s="9"/>
      <c r="R34" s="10"/>
      <c r="S34" s="10"/>
      <c r="T34" s="10"/>
      <c r="U34" s="11" t="str">
        <f t="shared" si="0"/>
        <v>AIRBNB</v>
      </c>
      <c r="V34" s="12">
        <f t="shared" si="1"/>
        <v>0</v>
      </c>
      <c r="W34" s="12" t="str">
        <f t="shared" si="2"/>
        <v>459464801 48th</v>
      </c>
      <c r="X34" s="12" t="str">
        <f t="shared" si="3"/>
        <v>459494801 48th</v>
      </c>
      <c r="Y34" s="13">
        <f t="shared" si="4"/>
        <v>0</v>
      </c>
      <c r="Z34" s="14" t="str">
        <f t="shared" si="5"/>
        <v/>
      </c>
      <c r="AB34" s="15"/>
      <c r="AC34" s="15"/>
    </row>
    <row r="35" spans="2:29" ht="14.25" customHeight="1">
      <c r="B35" s="14" t="s">
        <v>141</v>
      </c>
      <c r="C35" s="14" t="s">
        <v>50</v>
      </c>
      <c r="D35" s="14" t="s">
        <v>142</v>
      </c>
      <c r="E35" s="5" t="s">
        <v>143</v>
      </c>
      <c r="F35" s="5">
        <v>4</v>
      </c>
      <c r="G35" s="5">
        <v>1</v>
      </c>
      <c r="H35" s="5">
        <v>1</v>
      </c>
      <c r="I35" s="15">
        <v>45953</v>
      </c>
      <c r="J35" s="15">
        <v>45956</v>
      </c>
      <c r="K35" s="5">
        <v>3</v>
      </c>
      <c r="L35" s="15">
        <v>45739</v>
      </c>
      <c r="M35" s="5" t="s">
        <v>78</v>
      </c>
      <c r="N35" s="5">
        <v>1455</v>
      </c>
      <c r="O35" s="16" t="s">
        <v>79</v>
      </c>
      <c r="P35" s="8"/>
      <c r="Q35" s="9"/>
      <c r="R35" s="10"/>
      <c r="S35" s="10"/>
      <c r="T35" s="10"/>
      <c r="U35" s="11" t="str">
        <f t="shared" si="0"/>
        <v>AIRBNB</v>
      </c>
      <c r="V35" s="12" t="str">
        <f t="shared" si="1"/>
        <v>Same day check in 1 houses</v>
      </c>
      <c r="W35" s="12" t="str">
        <f t="shared" si="2"/>
        <v>4595311523 48th</v>
      </c>
      <c r="X35" s="12" t="str">
        <f t="shared" si="3"/>
        <v>4595611523 48th</v>
      </c>
      <c r="Y35" s="13">
        <f t="shared" si="4"/>
        <v>0</v>
      </c>
      <c r="Z35" s="14" t="str">
        <f t="shared" si="5"/>
        <v/>
      </c>
      <c r="AB35" s="15"/>
      <c r="AC35" s="15"/>
    </row>
    <row r="36" spans="2:29" ht="14.25" customHeight="1">
      <c r="B36" s="14" t="s">
        <v>144</v>
      </c>
      <c r="C36" s="14" t="s">
        <v>10</v>
      </c>
      <c r="D36" s="14" t="s">
        <v>145</v>
      </c>
      <c r="E36" s="5"/>
      <c r="F36" s="5"/>
      <c r="G36" s="5"/>
      <c r="H36" s="5"/>
      <c r="I36" s="15">
        <v>45953</v>
      </c>
      <c r="J36" s="15">
        <v>45956</v>
      </c>
      <c r="K36" s="5"/>
      <c r="L36" s="15">
        <v>45850</v>
      </c>
      <c r="M36" s="5"/>
      <c r="N36" s="5"/>
      <c r="O36" s="16" t="s">
        <v>94</v>
      </c>
      <c r="P36" s="8"/>
      <c r="Q36" s="9"/>
      <c r="R36" s="10"/>
      <c r="S36" s="10"/>
      <c r="T36" s="10"/>
      <c r="U36" s="11" t="str">
        <f t="shared" si="0"/>
        <v>VRBO</v>
      </c>
      <c r="V36" s="12" t="str">
        <f t="shared" si="1"/>
        <v>Same day check in 1 houses</v>
      </c>
      <c r="W36" s="12" t="str">
        <f t="shared" si="2"/>
        <v>4595366th Ave</v>
      </c>
      <c r="X36" s="12" t="str">
        <f t="shared" si="3"/>
        <v>4595666th Ave</v>
      </c>
      <c r="Y36" s="13">
        <f t="shared" si="4"/>
        <v>0</v>
      </c>
      <c r="Z36" s="14" t="str">
        <f t="shared" si="5"/>
        <v/>
      </c>
      <c r="AB36" s="15"/>
      <c r="AC36" s="15"/>
    </row>
    <row r="37" spans="2:29" ht="14.25" customHeight="1">
      <c r="B37" s="14" t="s">
        <v>146</v>
      </c>
      <c r="C37" s="14" t="s">
        <v>10</v>
      </c>
      <c r="D37" s="14" t="s">
        <v>147</v>
      </c>
      <c r="E37" s="5"/>
      <c r="F37" s="5"/>
      <c r="G37" s="5"/>
      <c r="H37" s="5"/>
      <c r="I37" s="15">
        <v>45953</v>
      </c>
      <c r="J37" s="15">
        <v>45957</v>
      </c>
      <c r="K37" s="5"/>
      <c r="L37" s="15">
        <v>45740</v>
      </c>
      <c r="M37" s="5"/>
      <c r="N37" s="5"/>
      <c r="O37" s="16" t="s">
        <v>86</v>
      </c>
      <c r="P37" s="8"/>
      <c r="Q37" s="9"/>
      <c r="R37" s="10"/>
      <c r="S37" s="10"/>
      <c r="T37" s="10"/>
      <c r="U37" s="11" t="str">
        <f t="shared" si="0"/>
        <v>VRBO</v>
      </c>
      <c r="V37" s="12">
        <f t="shared" si="1"/>
        <v>0</v>
      </c>
      <c r="W37" s="12" t="str">
        <f t="shared" si="2"/>
        <v>45953Lake Valencia</v>
      </c>
      <c r="X37" s="12" t="str">
        <f t="shared" si="3"/>
        <v>45957Lake Valencia</v>
      </c>
      <c r="Y37" s="13">
        <f t="shared" si="4"/>
        <v>0</v>
      </c>
      <c r="Z37" s="14" t="str">
        <f t="shared" si="5"/>
        <v/>
      </c>
      <c r="AB37" s="15"/>
      <c r="AC37" s="15"/>
    </row>
    <row r="38" spans="2:29" ht="14.25" customHeight="1">
      <c r="B38" s="14" t="s">
        <v>148</v>
      </c>
      <c r="C38" s="14" t="s">
        <v>50</v>
      </c>
      <c r="D38" s="14" t="s">
        <v>149</v>
      </c>
      <c r="E38" s="5" t="s">
        <v>150</v>
      </c>
      <c r="F38" s="5">
        <v>2</v>
      </c>
      <c r="G38" s="5">
        <v>0</v>
      </c>
      <c r="H38" s="5">
        <v>0</v>
      </c>
      <c r="I38" s="15">
        <v>45956</v>
      </c>
      <c r="J38" s="15">
        <v>45961</v>
      </c>
      <c r="K38" s="5">
        <v>5</v>
      </c>
      <c r="L38" s="15">
        <v>45829</v>
      </c>
      <c r="M38" s="5" t="s">
        <v>73</v>
      </c>
      <c r="N38" s="5">
        <v>2522</v>
      </c>
      <c r="O38" s="16" t="s">
        <v>74</v>
      </c>
      <c r="P38" s="8"/>
      <c r="Q38" s="9"/>
      <c r="R38" s="10"/>
      <c r="S38" s="10"/>
      <c r="T38" s="10"/>
      <c r="U38" s="11" t="str">
        <f t="shared" si="0"/>
        <v>AIRBNB</v>
      </c>
      <c r="V38" s="12">
        <f t="shared" si="1"/>
        <v>0</v>
      </c>
      <c r="W38" s="12" t="str">
        <f t="shared" si="2"/>
        <v>45956Sunrise</v>
      </c>
      <c r="X38" s="12" t="str">
        <f t="shared" si="3"/>
        <v>45961Sunrise</v>
      </c>
      <c r="Y38" s="13">
        <f t="shared" si="4"/>
        <v>0</v>
      </c>
      <c r="Z38" s="14" t="str">
        <f t="shared" si="5"/>
        <v/>
      </c>
      <c r="AB38" s="15"/>
      <c r="AC38" s="15"/>
    </row>
    <row r="39" spans="2:29" ht="14.25" customHeight="1">
      <c r="B39" s="14" t="s">
        <v>151</v>
      </c>
      <c r="C39" s="14" t="s">
        <v>50</v>
      </c>
      <c r="D39" s="14" t="s">
        <v>152</v>
      </c>
      <c r="E39" s="5" t="s">
        <v>153</v>
      </c>
      <c r="F39" s="5">
        <v>2</v>
      </c>
      <c r="G39" s="5">
        <v>0</v>
      </c>
      <c r="H39" s="5">
        <v>0</v>
      </c>
      <c r="I39" s="15">
        <v>45959</v>
      </c>
      <c r="J39" s="15">
        <v>45963</v>
      </c>
      <c r="K39" s="17">
        <v>4</v>
      </c>
      <c r="L39" s="15">
        <v>45850</v>
      </c>
      <c r="M39" s="5" t="s">
        <v>58</v>
      </c>
      <c r="N39" s="5">
        <v>1018.5</v>
      </c>
      <c r="O39" s="16" t="s">
        <v>59</v>
      </c>
      <c r="P39" s="8"/>
      <c r="Q39" s="9"/>
      <c r="R39" s="10"/>
      <c r="S39" s="10"/>
      <c r="T39" s="10"/>
      <c r="U39" s="11" t="str">
        <f t="shared" si="0"/>
        <v>AIRBNB</v>
      </c>
      <c r="V39" s="12">
        <f t="shared" si="1"/>
        <v>0</v>
      </c>
      <c r="W39" s="12" t="str">
        <f t="shared" si="2"/>
        <v>45959Elmhurst</v>
      </c>
      <c r="X39" s="12" t="str">
        <f t="shared" si="3"/>
        <v>45963Elmhurst</v>
      </c>
      <c r="Y39" s="13">
        <f t="shared" si="4"/>
        <v>0</v>
      </c>
      <c r="Z39" s="14" t="str">
        <f t="shared" si="5"/>
        <v/>
      </c>
      <c r="AB39" s="15"/>
      <c r="AC39" s="15"/>
    </row>
    <row r="40" spans="2:29" ht="14.25" customHeight="1">
      <c r="B40" s="14" t="s">
        <v>154</v>
      </c>
      <c r="C40" s="14" t="s">
        <v>50</v>
      </c>
      <c r="D40" s="14" t="s">
        <v>155</v>
      </c>
      <c r="E40" s="5" t="s">
        <v>156</v>
      </c>
      <c r="F40" s="5">
        <v>6</v>
      </c>
      <c r="G40" s="5">
        <v>0</v>
      </c>
      <c r="H40" s="5">
        <v>0</v>
      </c>
      <c r="I40" s="15">
        <v>45966</v>
      </c>
      <c r="J40" s="15">
        <v>45973</v>
      </c>
      <c r="K40" s="5">
        <v>7</v>
      </c>
      <c r="L40" s="15">
        <v>45831</v>
      </c>
      <c r="M40" s="5" t="s">
        <v>85</v>
      </c>
      <c r="N40" s="5">
        <v>2016.05</v>
      </c>
      <c r="O40" s="16" t="s">
        <v>86</v>
      </c>
      <c r="P40" s="8"/>
      <c r="Q40" s="9"/>
      <c r="R40" s="10"/>
      <c r="S40" s="10"/>
      <c r="T40" s="10"/>
      <c r="U40" s="11" t="str">
        <f t="shared" si="0"/>
        <v>AIRBNB</v>
      </c>
      <c r="V40" s="12">
        <f t="shared" si="1"/>
        <v>0</v>
      </c>
      <c r="W40" s="12" t="str">
        <f t="shared" si="2"/>
        <v>45966Lake Valencia</v>
      </c>
      <c r="X40" s="12" t="str">
        <f t="shared" si="3"/>
        <v>45973Lake Valencia</v>
      </c>
      <c r="Y40" s="13">
        <f t="shared" si="4"/>
        <v>0</v>
      </c>
      <c r="Z40" s="14" t="str">
        <f t="shared" si="5"/>
        <v/>
      </c>
      <c r="AB40" s="15"/>
      <c r="AC40" s="15"/>
    </row>
    <row r="41" spans="2:29" ht="14.25" customHeight="1">
      <c r="B41" s="14" t="s">
        <v>157</v>
      </c>
      <c r="C41" s="14" t="s">
        <v>50</v>
      </c>
      <c r="D41" s="14" t="s">
        <v>158</v>
      </c>
      <c r="E41" s="5" t="s">
        <v>159</v>
      </c>
      <c r="F41" s="5">
        <v>4</v>
      </c>
      <c r="G41" s="5">
        <v>0</v>
      </c>
      <c r="H41" s="5">
        <v>0</v>
      </c>
      <c r="I41" s="15">
        <v>45968</v>
      </c>
      <c r="J41" s="15">
        <v>45971</v>
      </c>
      <c r="K41" s="5">
        <v>3</v>
      </c>
      <c r="L41" s="15">
        <v>45861</v>
      </c>
      <c r="M41" s="5" t="s">
        <v>78</v>
      </c>
      <c r="N41" s="5">
        <v>1489.92</v>
      </c>
      <c r="O41" s="16" t="s">
        <v>79</v>
      </c>
      <c r="P41" s="8"/>
      <c r="Q41" s="9"/>
      <c r="R41" s="10"/>
      <c r="S41" s="10"/>
      <c r="T41" s="10"/>
      <c r="U41" s="11" t="str">
        <f t="shared" si="0"/>
        <v>AIRBNB</v>
      </c>
      <c r="V41" s="12">
        <f t="shared" si="1"/>
        <v>0</v>
      </c>
      <c r="W41" s="12" t="str">
        <f t="shared" si="2"/>
        <v>4596811523 48th</v>
      </c>
      <c r="X41" s="12" t="str">
        <f t="shared" si="3"/>
        <v>4597111523 48th</v>
      </c>
      <c r="Y41" s="13">
        <f t="shared" si="4"/>
        <v>0</v>
      </c>
      <c r="Z41" s="14" t="str">
        <f t="shared" si="5"/>
        <v/>
      </c>
      <c r="AB41" s="15"/>
      <c r="AC41" s="15"/>
    </row>
    <row r="42" spans="2:29" ht="14.25" customHeight="1">
      <c r="B42" s="14" t="s">
        <v>160</v>
      </c>
      <c r="C42" s="14" t="s">
        <v>50</v>
      </c>
      <c r="D42" s="14" t="s">
        <v>161</v>
      </c>
      <c r="E42" s="10" t="s">
        <v>162</v>
      </c>
      <c r="F42" s="10">
        <v>5</v>
      </c>
      <c r="G42" s="10">
        <v>0</v>
      </c>
      <c r="H42" s="10">
        <v>0</v>
      </c>
      <c r="I42" s="15">
        <v>45981</v>
      </c>
      <c r="J42" s="15">
        <v>45986</v>
      </c>
      <c r="K42" s="8">
        <v>5</v>
      </c>
      <c r="L42" s="15">
        <v>45768</v>
      </c>
      <c r="M42" s="10" t="s">
        <v>163</v>
      </c>
      <c r="N42" s="10">
        <v>1721.75</v>
      </c>
      <c r="O42" s="16" t="s">
        <v>164</v>
      </c>
      <c r="P42" s="8"/>
      <c r="Q42" s="9"/>
      <c r="R42" s="10"/>
      <c r="S42" s="10"/>
      <c r="T42" s="10"/>
      <c r="U42" s="11" t="str">
        <f t="shared" si="0"/>
        <v>AIRBNB</v>
      </c>
      <c r="V42" s="12" t="str">
        <f t="shared" si="1"/>
        <v>Same day check in 2 houses</v>
      </c>
      <c r="W42" s="12" t="str">
        <f t="shared" si="2"/>
        <v>4598173rd Ave</v>
      </c>
      <c r="X42" s="12" t="str">
        <f t="shared" si="3"/>
        <v>4598673rd Ave</v>
      </c>
      <c r="Y42" s="13">
        <f t="shared" si="4"/>
        <v>0</v>
      </c>
      <c r="Z42" s="14" t="str">
        <f t="shared" si="5"/>
        <v/>
      </c>
      <c r="AB42" s="15"/>
      <c r="AC42" s="15"/>
    </row>
    <row r="43" spans="2:29" ht="14.25" customHeight="1">
      <c r="B43" s="14" t="s">
        <v>165</v>
      </c>
      <c r="C43" s="14" t="s">
        <v>50</v>
      </c>
      <c r="D43" s="14" t="s">
        <v>166</v>
      </c>
      <c r="E43" s="10" t="s">
        <v>167</v>
      </c>
      <c r="F43" s="10">
        <v>1</v>
      </c>
      <c r="G43" s="10">
        <v>0</v>
      </c>
      <c r="H43" s="10">
        <v>0</v>
      </c>
      <c r="I43" s="15">
        <v>45982</v>
      </c>
      <c r="J43" s="15">
        <v>45985</v>
      </c>
      <c r="K43" s="10">
        <v>3</v>
      </c>
      <c r="L43" s="15">
        <v>45888</v>
      </c>
      <c r="M43" s="10" t="s">
        <v>93</v>
      </c>
      <c r="N43" s="10">
        <v>1169.82</v>
      </c>
      <c r="O43" s="16" t="s">
        <v>94</v>
      </c>
      <c r="P43" s="8"/>
      <c r="Q43" s="9"/>
      <c r="R43" s="10"/>
      <c r="S43" s="10"/>
      <c r="T43" s="10"/>
      <c r="U43" s="11" t="str">
        <f t="shared" si="0"/>
        <v>AIRBNB</v>
      </c>
      <c r="V43" s="12" t="str">
        <f t="shared" si="1"/>
        <v>Same day check in 1 houses</v>
      </c>
      <c r="W43" s="12" t="str">
        <f t="shared" si="2"/>
        <v>4598266th Ave</v>
      </c>
      <c r="X43" s="12" t="str">
        <f t="shared" si="3"/>
        <v>4598566th Ave</v>
      </c>
      <c r="Y43" s="13">
        <f t="shared" si="4"/>
        <v>0</v>
      </c>
      <c r="Z43" s="14" t="str">
        <f t="shared" si="5"/>
        <v/>
      </c>
      <c r="AB43" s="15"/>
      <c r="AC43" s="15"/>
    </row>
    <row r="44" spans="2:29" ht="14.25" customHeight="1">
      <c r="B44" s="14" t="s">
        <v>168</v>
      </c>
      <c r="C44" s="14" t="s">
        <v>50</v>
      </c>
      <c r="D44" s="14" t="s">
        <v>169</v>
      </c>
      <c r="E44" s="10" t="s">
        <v>170</v>
      </c>
      <c r="F44" s="10">
        <v>6</v>
      </c>
      <c r="G44" s="10">
        <v>0</v>
      </c>
      <c r="H44" s="10">
        <v>0</v>
      </c>
      <c r="I44" s="15">
        <v>45982</v>
      </c>
      <c r="J44" s="15">
        <v>45985</v>
      </c>
      <c r="K44" s="10">
        <v>3</v>
      </c>
      <c r="L44" s="15">
        <v>45727</v>
      </c>
      <c r="M44" s="10" t="s">
        <v>68</v>
      </c>
      <c r="N44" s="10">
        <v>922.47</v>
      </c>
      <c r="O44" s="16" t="s">
        <v>69</v>
      </c>
      <c r="P44" s="8"/>
      <c r="Q44" s="9"/>
      <c r="R44" s="10"/>
      <c r="S44" s="10"/>
      <c r="T44" s="10"/>
      <c r="U44" s="11" t="str">
        <f t="shared" si="0"/>
        <v>AIRBNB</v>
      </c>
      <c r="V44" s="12" t="str">
        <f t="shared" si="1"/>
        <v>Same day check in 1 houses</v>
      </c>
      <c r="W44" s="12" t="str">
        <f t="shared" si="2"/>
        <v>4598264th Street</v>
      </c>
      <c r="X44" s="12" t="str">
        <f t="shared" si="3"/>
        <v>4598564th Street</v>
      </c>
      <c r="Y44" s="13">
        <f t="shared" si="4"/>
        <v>0</v>
      </c>
      <c r="Z44" s="14" t="str">
        <f t="shared" si="5"/>
        <v/>
      </c>
      <c r="AB44" s="15"/>
      <c r="AC44" s="15"/>
    </row>
    <row r="45" spans="2:29" ht="14.25" customHeight="1">
      <c r="B45" s="14" t="s">
        <v>171</v>
      </c>
      <c r="C45" s="14" t="s">
        <v>10</v>
      </c>
      <c r="D45" s="14" t="s">
        <v>172</v>
      </c>
      <c r="E45" s="10"/>
      <c r="F45" s="10"/>
      <c r="G45" s="10"/>
      <c r="H45" s="10"/>
      <c r="I45" s="15">
        <v>45982</v>
      </c>
      <c r="J45" s="15">
        <v>45985</v>
      </c>
      <c r="K45" s="10"/>
      <c r="L45" s="15">
        <v>45869</v>
      </c>
      <c r="M45" s="10"/>
      <c r="N45" s="10"/>
      <c r="O45" s="16" t="s">
        <v>173</v>
      </c>
      <c r="P45" s="8"/>
      <c r="Q45" s="9"/>
      <c r="R45" s="10"/>
      <c r="S45" s="10"/>
      <c r="T45" s="10"/>
      <c r="U45" s="11" t="str">
        <f t="shared" si="0"/>
        <v>VRBO</v>
      </c>
      <c r="V45" s="12" t="str">
        <f t="shared" si="1"/>
        <v>Same day check in 1 houses</v>
      </c>
      <c r="W45" s="12" t="str">
        <f t="shared" si="2"/>
        <v>4598250th Ave</v>
      </c>
      <c r="X45" s="12" t="str">
        <f t="shared" si="3"/>
        <v>4598550th Ave</v>
      </c>
      <c r="Y45" s="13">
        <f t="shared" si="4"/>
        <v>0</v>
      </c>
      <c r="Z45" s="14" t="str">
        <f t="shared" si="5"/>
        <v/>
      </c>
      <c r="AB45" s="15"/>
      <c r="AC45" s="15"/>
    </row>
    <row r="46" spans="2:29" ht="14.25" customHeight="1">
      <c r="B46" s="14" t="s">
        <v>174</v>
      </c>
      <c r="C46" s="14" t="s">
        <v>10</v>
      </c>
      <c r="D46" s="14" t="s">
        <v>175</v>
      </c>
      <c r="E46" s="10"/>
      <c r="F46" s="10"/>
      <c r="G46" s="10"/>
      <c r="H46" s="10"/>
      <c r="I46" s="15">
        <v>45982</v>
      </c>
      <c r="J46" s="15">
        <v>45985</v>
      </c>
      <c r="K46" s="10"/>
      <c r="L46" s="15">
        <v>45883</v>
      </c>
      <c r="M46" s="10"/>
      <c r="N46" s="10"/>
      <c r="O46" s="16" t="s">
        <v>176</v>
      </c>
      <c r="P46" s="8"/>
      <c r="Q46" s="9"/>
      <c r="R46" s="10"/>
      <c r="S46" s="10"/>
      <c r="T46" s="10"/>
      <c r="U46" s="11" t="str">
        <f t="shared" si="0"/>
        <v>VRBO</v>
      </c>
      <c r="V46" s="12" t="str">
        <f t="shared" si="1"/>
        <v>Same day check in 1 houses</v>
      </c>
      <c r="W46" s="12" t="str">
        <f t="shared" si="2"/>
        <v>459824760 48th Ave</v>
      </c>
      <c r="X46" s="12" t="str">
        <f t="shared" si="3"/>
        <v>459854760 48th Ave</v>
      </c>
      <c r="Y46" s="13">
        <f t="shared" si="4"/>
        <v>0</v>
      </c>
      <c r="Z46" s="14" t="str">
        <f t="shared" si="5"/>
        <v/>
      </c>
      <c r="AB46" s="15"/>
      <c r="AC46" s="15"/>
    </row>
    <row r="47" spans="2:29" ht="14.25" customHeight="1">
      <c r="B47" s="14" t="s">
        <v>177</v>
      </c>
      <c r="C47" s="14" t="s">
        <v>50</v>
      </c>
      <c r="D47" s="14" t="s">
        <v>178</v>
      </c>
      <c r="E47" s="10" t="s">
        <v>179</v>
      </c>
      <c r="F47" s="10">
        <v>4</v>
      </c>
      <c r="G47" s="10">
        <v>0</v>
      </c>
      <c r="H47" s="10">
        <v>0</v>
      </c>
      <c r="I47" s="15">
        <v>45983</v>
      </c>
      <c r="J47" s="15">
        <v>45986</v>
      </c>
      <c r="K47" s="10">
        <v>3</v>
      </c>
      <c r="L47" s="15">
        <v>45890</v>
      </c>
      <c r="M47" s="10" t="s">
        <v>73</v>
      </c>
      <c r="N47" s="10">
        <v>1737.27</v>
      </c>
      <c r="O47" s="16" t="s">
        <v>74</v>
      </c>
      <c r="P47" s="8"/>
      <c r="Q47" s="9"/>
      <c r="R47" s="10"/>
      <c r="S47" s="10"/>
      <c r="T47" s="10"/>
      <c r="U47" s="11" t="str">
        <f t="shared" si="0"/>
        <v>AIRBNB</v>
      </c>
      <c r="V47" s="12" t="str">
        <f t="shared" si="1"/>
        <v>Same day check in 2 houses</v>
      </c>
      <c r="W47" s="12" t="str">
        <f t="shared" si="2"/>
        <v>45983Sunrise</v>
      </c>
      <c r="X47" s="12" t="str">
        <f t="shared" si="3"/>
        <v>45986Sunrise</v>
      </c>
      <c r="Y47" s="13" t="str">
        <f t="shared" si="4"/>
        <v>Check in, check out on the same day of stay Sunrise</v>
      </c>
      <c r="Z47" s="14" t="str">
        <f t="shared" si="5"/>
        <v/>
      </c>
      <c r="AB47" s="15"/>
      <c r="AC47" s="15"/>
    </row>
    <row r="48" spans="2:29" ht="14.25" customHeight="1">
      <c r="B48" s="14" t="s">
        <v>180</v>
      </c>
      <c r="C48" s="14" t="s">
        <v>50</v>
      </c>
      <c r="D48" s="14" t="s">
        <v>181</v>
      </c>
      <c r="E48" s="10" t="s">
        <v>182</v>
      </c>
      <c r="F48" s="10">
        <v>4</v>
      </c>
      <c r="G48" s="10">
        <v>0</v>
      </c>
      <c r="H48" s="10">
        <v>0</v>
      </c>
      <c r="I48" s="15">
        <v>45984</v>
      </c>
      <c r="J48" s="15">
        <v>45991</v>
      </c>
      <c r="K48" s="10">
        <v>7</v>
      </c>
      <c r="L48" s="15">
        <v>45768</v>
      </c>
      <c r="M48" s="10" t="s">
        <v>85</v>
      </c>
      <c r="N48" s="10">
        <v>2209.85</v>
      </c>
      <c r="O48" s="16" t="s">
        <v>86</v>
      </c>
      <c r="P48" s="8"/>
      <c r="Q48" s="9"/>
      <c r="R48" s="10"/>
      <c r="S48" s="10"/>
      <c r="T48" s="10"/>
      <c r="U48" s="11" t="str">
        <f t="shared" si="0"/>
        <v>AIRBNB</v>
      </c>
      <c r="V48" s="12">
        <f t="shared" si="1"/>
        <v>0</v>
      </c>
      <c r="W48" s="12" t="str">
        <f t="shared" si="2"/>
        <v>45984Lake Valencia</v>
      </c>
      <c r="X48" s="12" t="str">
        <f t="shared" si="3"/>
        <v>45991Lake Valencia</v>
      </c>
      <c r="Y48" s="13">
        <f t="shared" si="4"/>
        <v>0</v>
      </c>
      <c r="Z48" s="14" t="str">
        <f t="shared" si="5"/>
        <v/>
      </c>
      <c r="AB48" s="15"/>
      <c r="AC48" s="15"/>
    </row>
    <row r="49" spans="2:29" ht="14.25" customHeight="1">
      <c r="B49" s="14" t="s">
        <v>183</v>
      </c>
      <c r="C49" s="14" t="s">
        <v>10</v>
      </c>
      <c r="D49" s="14" t="s">
        <v>184</v>
      </c>
      <c r="E49" s="10"/>
      <c r="F49" s="10"/>
      <c r="G49" s="10"/>
      <c r="H49" s="10"/>
      <c r="I49" s="15">
        <v>45985</v>
      </c>
      <c r="J49" s="15">
        <v>46003</v>
      </c>
      <c r="K49" s="10"/>
      <c r="L49" s="15">
        <v>45890</v>
      </c>
      <c r="M49" s="10"/>
      <c r="N49" s="10"/>
      <c r="O49" s="16" t="s">
        <v>185</v>
      </c>
      <c r="P49" s="8"/>
      <c r="Q49" s="9"/>
      <c r="R49" s="10"/>
      <c r="S49" s="10"/>
      <c r="T49" s="10"/>
      <c r="U49" s="11" t="str">
        <f t="shared" si="0"/>
        <v>VRBO</v>
      </c>
      <c r="V49" s="12">
        <f t="shared" si="1"/>
        <v>0</v>
      </c>
      <c r="W49" s="12" t="str">
        <f t="shared" si="2"/>
        <v>45985Lancaster</v>
      </c>
      <c r="X49" s="12" t="str">
        <f t="shared" si="3"/>
        <v>46003Lancaster</v>
      </c>
      <c r="Y49" s="13">
        <f t="shared" si="4"/>
        <v>0</v>
      </c>
      <c r="Z49" s="14" t="str">
        <f t="shared" si="5"/>
        <v/>
      </c>
      <c r="AB49" s="15"/>
      <c r="AC49" s="15"/>
    </row>
    <row r="50" spans="2:29" ht="14.25" customHeight="1">
      <c r="B50" s="14" t="s">
        <v>186</v>
      </c>
      <c r="C50" s="14" t="s">
        <v>50</v>
      </c>
      <c r="D50" s="14" t="s">
        <v>187</v>
      </c>
      <c r="E50" s="10" t="s">
        <v>188</v>
      </c>
      <c r="F50" s="10">
        <v>5</v>
      </c>
      <c r="G50" s="10">
        <v>0</v>
      </c>
      <c r="H50" s="10">
        <v>0</v>
      </c>
      <c r="I50" s="15">
        <v>45986</v>
      </c>
      <c r="J50" s="15">
        <v>45989</v>
      </c>
      <c r="K50" s="10">
        <v>3</v>
      </c>
      <c r="L50" s="15">
        <v>45830</v>
      </c>
      <c r="M50" s="10" t="s">
        <v>73</v>
      </c>
      <c r="N50" s="10">
        <v>1730.48</v>
      </c>
      <c r="O50" s="16" t="s">
        <v>74</v>
      </c>
      <c r="P50" s="8"/>
      <c r="Q50" s="9"/>
      <c r="R50" s="10"/>
      <c r="S50" s="10"/>
      <c r="T50" s="10"/>
      <c r="U50" s="11" t="str">
        <f t="shared" si="0"/>
        <v>AIRBNB</v>
      </c>
      <c r="V50" s="12">
        <f t="shared" si="1"/>
        <v>0</v>
      </c>
      <c r="W50" s="12" t="str">
        <f t="shared" si="2"/>
        <v>45986Sunrise</v>
      </c>
      <c r="X50" s="12" t="str">
        <f t="shared" si="3"/>
        <v>45989Sunrise</v>
      </c>
      <c r="Y50" s="13">
        <f t="shared" si="4"/>
        <v>0</v>
      </c>
      <c r="Z50" s="14" t="str">
        <f t="shared" si="5"/>
        <v/>
      </c>
      <c r="AB50" s="15"/>
      <c r="AC50" s="15"/>
    </row>
    <row r="51" spans="2:29" ht="14.25" customHeight="1">
      <c r="B51" s="14" t="s">
        <v>189</v>
      </c>
      <c r="C51" s="14" t="s">
        <v>50</v>
      </c>
      <c r="D51" s="14" t="s">
        <v>190</v>
      </c>
      <c r="E51" s="10" t="s">
        <v>191</v>
      </c>
      <c r="F51" s="10">
        <v>5</v>
      </c>
      <c r="G51" s="10">
        <v>0</v>
      </c>
      <c r="H51" s="10">
        <v>0</v>
      </c>
      <c r="I51" s="15">
        <v>45986</v>
      </c>
      <c r="J51" s="15">
        <v>45990</v>
      </c>
      <c r="K51" s="10">
        <v>4</v>
      </c>
      <c r="L51" s="15">
        <v>45677</v>
      </c>
      <c r="M51" s="10" t="s">
        <v>78</v>
      </c>
      <c r="N51" s="10">
        <v>1977.83</v>
      </c>
      <c r="O51" s="16" t="s">
        <v>79</v>
      </c>
      <c r="P51" s="8"/>
      <c r="Q51" s="9"/>
      <c r="R51" s="10"/>
      <c r="S51" s="10"/>
      <c r="T51" s="10"/>
      <c r="U51" s="11" t="str">
        <f t="shared" si="0"/>
        <v>AIRBNB</v>
      </c>
      <c r="V51" s="12">
        <f t="shared" si="1"/>
        <v>0</v>
      </c>
      <c r="W51" s="12" t="str">
        <f t="shared" si="2"/>
        <v>4598611523 48th</v>
      </c>
      <c r="X51" s="12" t="str">
        <f t="shared" si="3"/>
        <v>4599011523 48th</v>
      </c>
      <c r="Y51" s="13">
        <f t="shared" si="4"/>
        <v>0</v>
      </c>
      <c r="Z51" s="14" t="str">
        <f t="shared" si="5"/>
        <v/>
      </c>
      <c r="AB51" s="15"/>
      <c r="AC51" s="15"/>
    </row>
    <row r="52" spans="2:29" ht="14.25" customHeight="1">
      <c r="B52" s="14" t="s">
        <v>192</v>
      </c>
      <c r="C52" s="14" t="s">
        <v>50</v>
      </c>
      <c r="D52" s="14" t="s">
        <v>193</v>
      </c>
      <c r="E52" s="10" t="s">
        <v>194</v>
      </c>
      <c r="F52" s="10">
        <v>6</v>
      </c>
      <c r="G52" s="10">
        <v>4</v>
      </c>
      <c r="H52" s="10">
        <v>0</v>
      </c>
      <c r="I52" s="15">
        <v>45987</v>
      </c>
      <c r="J52" s="15">
        <v>45990</v>
      </c>
      <c r="K52" s="10">
        <v>3</v>
      </c>
      <c r="L52" s="15">
        <v>45894</v>
      </c>
      <c r="M52" s="10" t="s">
        <v>93</v>
      </c>
      <c r="N52" s="10">
        <v>1164.97</v>
      </c>
      <c r="O52" s="16" t="s">
        <v>94</v>
      </c>
      <c r="P52" s="8"/>
      <c r="Q52" s="9"/>
      <c r="R52" s="10"/>
      <c r="S52" s="10"/>
      <c r="T52" s="10"/>
      <c r="U52" s="11" t="str">
        <f t="shared" si="0"/>
        <v>AIRBNB</v>
      </c>
      <c r="V52" s="12">
        <f t="shared" si="1"/>
        <v>0</v>
      </c>
      <c r="W52" s="12" t="str">
        <f t="shared" si="2"/>
        <v>4598766th Ave</v>
      </c>
      <c r="X52" s="12" t="str">
        <f t="shared" si="3"/>
        <v>4599066th Ave</v>
      </c>
      <c r="Y52" s="13">
        <f t="shared" si="4"/>
        <v>0</v>
      </c>
      <c r="Z52" s="14" t="str">
        <f t="shared" si="5"/>
        <v/>
      </c>
      <c r="AB52" s="15"/>
      <c r="AC52" s="15"/>
    </row>
    <row r="53" spans="2:29" ht="14.25" customHeight="1">
      <c r="B53" s="14" t="s">
        <v>195</v>
      </c>
      <c r="C53" s="14" t="s">
        <v>50</v>
      </c>
      <c r="D53" s="14" t="s">
        <v>196</v>
      </c>
      <c r="E53" s="10" t="s">
        <v>197</v>
      </c>
      <c r="F53" s="10">
        <v>11</v>
      </c>
      <c r="G53" s="10">
        <v>0</v>
      </c>
      <c r="H53" s="10">
        <v>0</v>
      </c>
      <c r="I53" s="15">
        <v>45987</v>
      </c>
      <c r="J53" s="15">
        <v>45990</v>
      </c>
      <c r="K53" s="10">
        <v>3</v>
      </c>
      <c r="L53" s="15">
        <v>45873</v>
      </c>
      <c r="M53" s="10" t="s">
        <v>140</v>
      </c>
      <c r="N53" s="10">
        <v>1876.95</v>
      </c>
      <c r="O53" s="16" t="s">
        <v>81</v>
      </c>
      <c r="P53" s="8"/>
      <c r="Q53" s="9"/>
      <c r="R53" s="10"/>
      <c r="S53" s="10"/>
      <c r="T53" s="10"/>
      <c r="U53" s="11" t="str">
        <f t="shared" si="0"/>
        <v>AIRBNB</v>
      </c>
      <c r="V53" s="12">
        <f t="shared" si="1"/>
        <v>0</v>
      </c>
      <c r="W53" s="12" t="str">
        <f t="shared" si="2"/>
        <v>459874801 48th</v>
      </c>
      <c r="X53" s="12" t="str">
        <f t="shared" si="3"/>
        <v>459904801 48th</v>
      </c>
      <c r="Y53" s="13">
        <f t="shared" si="4"/>
        <v>0</v>
      </c>
      <c r="Z53" s="14" t="str">
        <f t="shared" si="5"/>
        <v/>
      </c>
      <c r="AB53" s="15"/>
      <c r="AC53" s="15"/>
    </row>
    <row r="54" spans="2:29" ht="14.25" customHeight="1">
      <c r="B54" s="14" t="s">
        <v>198</v>
      </c>
      <c r="C54" s="14" t="s">
        <v>50</v>
      </c>
      <c r="D54" s="14" t="s">
        <v>199</v>
      </c>
      <c r="E54" s="10" t="s">
        <v>200</v>
      </c>
      <c r="F54" s="10">
        <v>6</v>
      </c>
      <c r="G54" s="10">
        <v>3</v>
      </c>
      <c r="H54" s="10">
        <v>0</v>
      </c>
      <c r="I54" s="15">
        <v>45987</v>
      </c>
      <c r="J54" s="15">
        <v>45991</v>
      </c>
      <c r="K54" s="10">
        <v>4</v>
      </c>
      <c r="L54" s="15">
        <v>45895</v>
      </c>
      <c r="M54" s="10" t="s">
        <v>63</v>
      </c>
      <c r="N54" s="10">
        <v>1430.75</v>
      </c>
      <c r="O54" s="16" t="s">
        <v>64</v>
      </c>
      <c r="P54" s="8"/>
      <c r="Q54" s="9"/>
      <c r="R54" s="10"/>
      <c r="S54" s="10"/>
      <c r="T54" s="10"/>
      <c r="U54" s="11" t="str">
        <f t="shared" si="0"/>
        <v>AIRBNB</v>
      </c>
      <c r="V54" s="12">
        <f t="shared" si="1"/>
        <v>0</v>
      </c>
      <c r="W54" s="12" t="str">
        <f t="shared" si="2"/>
        <v>45987106th Ave</v>
      </c>
      <c r="X54" s="12" t="str">
        <f t="shared" si="3"/>
        <v>45991106th Ave</v>
      </c>
      <c r="Y54" s="13">
        <f t="shared" si="4"/>
        <v>0</v>
      </c>
      <c r="Z54" s="14" t="str">
        <f t="shared" si="5"/>
        <v/>
      </c>
      <c r="AB54" s="15"/>
      <c r="AC54" s="15"/>
    </row>
    <row r="55" spans="2:29" ht="14.25" customHeight="1">
      <c r="B55" s="14" t="s">
        <v>201</v>
      </c>
      <c r="C55" s="14" t="s">
        <v>50</v>
      </c>
      <c r="D55" s="14" t="s">
        <v>202</v>
      </c>
      <c r="E55" s="10" t="s">
        <v>203</v>
      </c>
      <c r="F55" s="10">
        <v>7</v>
      </c>
      <c r="G55" s="10">
        <v>1</v>
      </c>
      <c r="H55" s="10">
        <v>1</v>
      </c>
      <c r="I55" s="15">
        <v>45988</v>
      </c>
      <c r="J55" s="15">
        <v>45991</v>
      </c>
      <c r="K55" s="10">
        <v>3</v>
      </c>
      <c r="L55" s="15">
        <v>45883</v>
      </c>
      <c r="M55" s="10" t="s">
        <v>204</v>
      </c>
      <c r="N55" s="10">
        <v>2667.5</v>
      </c>
      <c r="O55" s="16" t="s">
        <v>205</v>
      </c>
      <c r="P55" s="8"/>
      <c r="Q55" s="9"/>
      <c r="R55" s="10"/>
      <c r="S55" s="10"/>
      <c r="T55" s="10"/>
      <c r="U55" s="11" t="str">
        <f t="shared" si="0"/>
        <v>AIRBNB</v>
      </c>
      <c r="V55" s="12">
        <f t="shared" si="1"/>
        <v>0</v>
      </c>
      <c r="W55" s="12" t="str">
        <f t="shared" si="2"/>
        <v>4598860th St</v>
      </c>
      <c r="X55" s="12" t="str">
        <f t="shared" si="3"/>
        <v>4599160th St</v>
      </c>
      <c r="Y55" s="13">
        <f t="shared" si="4"/>
        <v>0</v>
      </c>
      <c r="Z55" s="14" t="str">
        <f t="shared" si="5"/>
        <v/>
      </c>
      <c r="AB55" s="15"/>
      <c r="AC55" s="15"/>
    </row>
    <row r="56" spans="2:29" ht="14.25" customHeight="1">
      <c r="B56" s="14" t="s">
        <v>206</v>
      </c>
      <c r="C56" s="14" t="s">
        <v>50</v>
      </c>
      <c r="D56" s="14" t="s">
        <v>207</v>
      </c>
      <c r="E56" s="10" t="s">
        <v>208</v>
      </c>
      <c r="F56" s="10">
        <v>6</v>
      </c>
      <c r="G56" s="10">
        <v>0</v>
      </c>
      <c r="H56" s="10">
        <v>0</v>
      </c>
      <c r="I56" s="15">
        <v>45996</v>
      </c>
      <c r="J56" s="15">
        <v>45999</v>
      </c>
      <c r="K56" s="10">
        <v>3</v>
      </c>
      <c r="L56" s="15">
        <v>45855</v>
      </c>
      <c r="M56" s="10" t="s">
        <v>85</v>
      </c>
      <c r="N56" s="10">
        <v>1122.29</v>
      </c>
      <c r="O56" s="16" t="s">
        <v>86</v>
      </c>
      <c r="P56" s="8"/>
      <c r="Q56" s="9"/>
      <c r="R56" s="10"/>
      <c r="S56" s="10"/>
      <c r="T56" s="10"/>
      <c r="U56" s="11" t="str">
        <f t="shared" si="0"/>
        <v>AIRBNB</v>
      </c>
      <c r="V56" s="12">
        <f t="shared" si="1"/>
        <v>0</v>
      </c>
      <c r="W56" s="12" t="str">
        <f t="shared" si="2"/>
        <v>45996Lake Valencia</v>
      </c>
      <c r="X56" s="12" t="str">
        <f t="shared" si="3"/>
        <v>45999Lake Valencia</v>
      </c>
      <c r="Y56" s="13">
        <f t="shared" si="4"/>
        <v>0</v>
      </c>
      <c r="Z56" s="14" t="str">
        <f t="shared" si="5"/>
        <v/>
      </c>
      <c r="AB56" s="15"/>
      <c r="AC56" s="15"/>
    </row>
    <row r="57" spans="2:29" ht="14.25" customHeight="1">
      <c r="B57" s="14" t="s">
        <v>209</v>
      </c>
      <c r="C57" s="14" t="s">
        <v>50</v>
      </c>
      <c r="D57" s="14" t="s">
        <v>210</v>
      </c>
      <c r="E57" s="10" t="s">
        <v>211</v>
      </c>
      <c r="F57" s="10">
        <v>3</v>
      </c>
      <c r="G57" s="10">
        <v>0</v>
      </c>
      <c r="H57" s="10">
        <v>0</v>
      </c>
      <c r="I57" s="15">
        <v>46005</v>
      </c>
      <c r="J57" s="15">
        <v>46101</v>
      </c>
      <c r="K57" s="10">
        <v>96</v>
      </c>
      <c r="L57" s="15">
        <v>45701</v>
      </c>
      <c r="M57" s="10" t="s">
        <v>123</v>
      </c>
      <c r="N57" s="10">
        <v>21300.81</v>
      </c>
      <c r="O57" s="16" t="s">
        <v>124</v>
      </c>
      <c r="P57" s="8"/>
      <c r="Q57" s="9"/>
      <c r="R57" s="10"/>
      <c r="S57" s="10"/>
      <c r="T57" s="10"/>
      <c r="U57" s="11" t="str">
        <f t="shared" si="0"/>
        <v>AIRBNB</v>
      </c>
      <c r="V57" s="12" t="str">
        <f t="shared" si="1"/>
        <v>Same day check in 2 houses</v>
      </c>
      <c r="W57" s="12" t="str">
        <f t="shared" si="2"/>
        <v>46005Oakdale</v>
      </c>
      <c r="X57" s="12" t="str">
        <f t="shared" si="3"/>
        <v>46101Oakdale</v>
      </c>
      <c r="Y57" s="13">
        <f t="shared" si="4"/>
        <v>0</v>
      </c>
      <c r="Z57" s="14" t="str">
        <f t="shared" si="5"/>
        <v/>
      </c>
      <c r="AB57" s="15"/>
      <c r="AC57" s="15"/>
    </row>
    <row r="58" spans="2:29" ht="14.25" customHeight="1">
      <c r="B58" s="14" t="s">
        <v>212</v>
      </c>
      <c r="C58" s="14" t="s">
        <v>50</v>
      </c>
      <c r="D58" s="14" t="s">
        <v>213</v>
      </c>
      <c r="E58" s="10" t="s">
        <v>214</v>
      </c>
      <c r="F58" s="10">
        <v>2</v>
      </c>
      <c r="G58" s="10">
        <v>0</v>
      </c>
      <c r="H58" s="10">
        <v>0</v>
      </c>
      <c r="I58" s="15">
        <v>46006</v>
      </c>
      <c r="J58" s="15">
        <v>46127</v>
      </c>
      <c r="K58" s="10">
        <v>121</v>
      </c>
      <c r="L58" s="15">
        <v>45763</v>
      </c>
      <c r="M58" s="10" t="s">
        <v>58</v>
      </c>
      <c r="N58" s="10">
        <v>20195.400000000001</v>
      </c>
      <c r="O58" s="16" t="s">
        <v>59</v>
      </c>
      <c r="P58" s="8"/>
      <c r="Q58" s="9"/>
      <c r="R58" s="10"/>
      <c r="S58" s="10"/>
      <c r="T58" s="10"/>
      <c r="U58" s="11" t="str">
        <f t="shared" si="0"/>
        <v>AIRBNB</v>
      </c>
      <c r="V58" s="12">
        <f t="shared" si="1"/>
        <v>0</v>
      </c>
      <c r="W58" s="12" t="str">
        <f t="shared" si="2"/>
        <v>46006Elmhurst</v>
      </c>
      <c r="X58" s="12" t="str">
        <f t="shared" si="3"/>
        <v>46127Elmhurst</v>
      </c>
      <c r="Y58" s="13">
        <f t="shared" si="4"/>
        <v>0</v>
      </c>
      <c r="Z58" s="14" t="str">
        <f t="shared" si="5"/>
        <v/>
      </c>
      <c r="AB58" s="15"/>
      <c r="AC58" s="15"/>
    </row>
    <row r="59" spans="2:29" ht="14.25" customHeight="1">
      <c r="B59" s="14" t="s">
        <v>215</v>
      </c>
      <c r="C59" s="14" t="s">
        <v>10</v>
      </c>
      <c r="D59" s="14" t="s">
        <v>216</v>
      </c>
      <c r="E59" s="10"/>
      <c r="F59" s="10"/>
      <c r="G59" s="10"/>
      <c r="H59" s="10"/>
      <c r="I59" s="15">
        <v>46007</v>
      </c>
      <c r="J59" s="15">
        <v>46013</v>
      </c>
      <c r="K59" s="10"/>
      <c r="L59" s="15">
        <v>45735</v>
      </c>
      <c r="M59" s="10"/>
      <c r="N59" s="10"/>
      <c r="O59" s="16" t="s">
        <v>46</v>
      </c>
      <c r="P59" s="8"/>
      <c r="Q59" s="9"/>
      <c r="R59" s="10"/>
      <c r="S59" s="10"/>
      <c r="T59" s="10"/>
      <c r="U59" s="11" t="str">
        <f t="shared" si="0"/>
        <v>VRBO</v>
      </c>
      <c r="V59" s="12" t="str">
        <f t="shared" si="1"/>
        <v>Same day check in 1 houses</v>
      </c>
      <c r="W59" s="12" t="str">
        <f t="shared" si="2"/>
        <v>46007Toucan</v>
      </c>
      <c r="X59" s="12" t="str">
        <f t="shared" si="3"/>
        <v>46013Toucan</v>
      </c>
      <c r="Y59" s="13">
        <f t="shared" si="4"/>
        <v>0</v>
      </c>
      <c r="Z59" s="14" t="str">
        <f t="shared" si="5"/>
        <v/>
      </c>
      <c r="AB59" s="15"/>
      <c r="AC59" s="15"/>
    </row>
    <row r="60" spans="2:29" ht="14.25" customHeight="1">
      <c r="B60" s="14" t="s">
        <v>217</v>
      </c>
      <c r="C60" s="14" t="s">
        <v>50</v>
      </c>
      <c r="D60" s="14" t="s">
        <v>218</v>
      </c>
      <c r="E60" s="10" t="s">
        <v>219</v>
      </c>
      <c r="F60" s="10">
        <v>8</v>
      </c>
      <c r="G60" s="10">
        <v>0</v>
      </c>
      <c r="H60" s="10">
        <v>0</v>
      </c>
      <c r="I60" s="15">
        <v>46008</v>
      </c>
      <c r="J60" s="15">
        <v>46011</v>
      </c>
      <c r="K60" s="10">
        <v>3</v>
      </c>
      <c r="L60" s="15">
        <v>45798</v>
      </c>
      <c r="M60" s="10" t="s">
        <v>85</v>
      </c>
      <c r="N60" s="10">
        <v>1121.32</v>
      </c>
      <c r="O60" s="16" t="s">
        <v>86</v>
      </c>
      <c r="P60" s="8"/>
      <c r="Q60" s="9"/>
      <c r="R60" s="10"/>
      <c r="S60" s="10"/>
      <c r="T60" s="10"/>
      <c r="U60" s="11" t="str">
        <f t="shared" si="0"/>
        <v>AIRBNB</v>
      </c>
      <c r="V60" s="12" t="str">
        <f t="shared" si="1"/>
        <v>Same day check in 1 houses</v>
      </c>
      <c r="W60" s="12" t="str">
        <f t="shared" si="2"/>
        <v>46008Lake Valencia</v>
      </c>
      <c r="X60" s="12" t="str">
        <f t="shared" si="3"/>
        <v>46011Lake Valencia</v>
      </c>
      <c r="Y60" s="13">
        <f t="shared" si="4"/>
        <v>0</v>
      </c>
      <c r="Z60" s="14" t="str">
        <f t="shared" si="5"/>
        <v/>
      </c>
      <c r="AB60" s="15"/>
      <c r="AC60" s="15"/>
    </row>
    <row r="61" spans="2:29" ht="14.25" customHeight="1">
      <c r="B61" s="14" t="s">
        <v>220</v>
      </c>
      <c r="C61" s="14" t="s">
        <v>50</v>
      </c>
      <c r="D61" s="14" t="s">
        <v>221</v>
      </c>
      <c r="E61" s="10" t="s">
        <v>222</v>
      </c>
      <c r="F61" s="10">
        <v>4</v>
      </c>
      <c r="G61" s="10">
        <v>1</v>
      </c>
      <c r="H61" s="10">
        <v>0</v>
      </c>
      <c r="I61" s="15">
        <v>46009</v>
      </c>
      <c r="J61" s="15">
        <v>46013</v>
      </c>
      <c r="K61" s="10">
        <v>4</v>
      </c>
      <c r="L61" s="15">
        <v>45877</v>
      </c>
      <c r="M61" s="10" t="s">
        <v>78</v>
      </c>
      <c r="N61" s="10">
        <v>1843</v>
      </c>
      <c r="O61" s="16" t="s">
        <v>79</v>
      </c>
      <c r="P61" s="8"/>
      <c r="Q61" s="9"/>
      <c r="R61" s="10"/>
      <c r="S61" s="10"/>
      <c r="T61" s="10"/>
      <c r="U61" s="11" t="str">
        <f t="shared" si="0"/>
        <v>AIRBNB</v>
      </c>
      <c r="V61" s="12" t="str">
        <f t="shared" si="1"/>
        <v>Same day check in 1 houses</v>
      </c>
      <c r="W61" s="12" t="str">
        <f t="shared" si="2"/>
        <v>4600911523 48th</v>
      </c>
      <c r="X61" s="12" t="str">
        <f t="shared" si="3"/>
        <v>4601311523 48th</v>
      </c>
      <c r="Y61" s="13" t="str">
        <f t="shared" si="4"/>
        <v>Check in, check out on the same day of stay 11523 48th</v>
      </c>
      <c r="Z61" s="14" t="str">
        <f t="shared" si="5"/>
        <v/>
      </c>
      <c r="AB61" s="15"/>
      <c r="AC61" s="15"/>
    </row>
    <row r="62" spans="2:29" ht="14.25" customHeight="1">
      <c r="B62" s="14" t="s">
        <v>223</v>
      </c>
      <c r="C62" s="14" t="s">
        <v>50</v>
      </c>
      <c r="D62" s="14" t="s">
        <v>224</v>
      </c>
      <c r="E62" s="10" t="s">
        <v>225</v>
      </c>
      <c r="F62" s="10">
        <v>7</v>
      </c>
      <c r="G62" s="10">
        <v>0</v>
      </c>
      <c r="H62" s="10">
        <v>0</v>
      </c>
      <c r="I62" s="15">
        <v>46011</v>
      </c>
      <c r="J62" s="15">
        <v>46018</v>
      </c>
      <c r="K62" s="10">
        <v>7</v>
      </c>
      <c r="L62" s="15">
        <v>45762</v>
      </c>
      <c r="M62" s="10" t="s">
        <v>226</v>
      </c>
      <c r="N62" s="10">
        <v>3482.3</v>
      </c>
      <c r="O62" s="16" t="s">
        <v>227</v>
      </c>
      <c r="P62" s="8"/>
      <c r="Q62" s="9"/>
      <c r="R62" s="10"/>
      <c r="S62" s="10"/>
      <c r="T62" s="10"/>
      <c r="U62" s="11" t="str">
        <f t="shared" si="0"/>
        <v>AIRBNB</v>
      </c>
      <c r="V62" s="12" t="str">
        <f t="shared" si="1"/>
        <v>Same day check in 4 houses</v>
      </c>
      <c r="W62" s="12" t="str">
        <f t="shared" si="2"/>
        <v>460112137 Sandpiper</v>
      </c>
      <c r="X62" s="12" t="str">
        <f t="shared" si="3"/>
        <v>460182137 Sandpiper</v>
      </c>
      <c r="Y62" s="13">
        <f t="shared" si="4"/>
        <v>0</v>
      </c>
      <c r="Z62" s="14" t="str">
        <f t="shared" si="5"/>
        <v/>
      </c>
      <c r="AB62" s="15"/>
      <c r="AC62" s="15"/>
    </row>
    <row r="63" spans="2:29" ht="14.25" customHeight="1">
      <c r="B63" s="14" t="s">
        <v>228</v>
      </c>
      <c r="C63" s="14" t="s">
        <v>50</v>
      </c>
      <c r="D63" s="14" t="s">
        <v>229</v>
      </c>
      <c r="E63" s="10" t="s">
        <v>230</v>
      </c>
      <c r="F63" s="10">
        <v>6</v>
      </c>
      <c r="G63" s="10">
        <v>2</v>
      </c>
      <c r="H63" s="10">
        <v>1</v>
      </c>
      <c r="I63" s="15">
        <v>46012</v>
      </c>
      <c r="J63" s="15">
        <v>46019</v>
      </c>
      <c r="K63" s="10">
        <v>7</v>
      </c>
      <c r="L63" s="15">
        <v>45803</v>
      </c>
      <c r="M63" s="10" t="s">
        <v>85</v>
      </c>
      <c r="N63" s="10">
        <v>2196.7600000000002</v>
      </c>
      <c r="O63" s="16" t="s">
        <v>86</v>
      </c>
      <c r="P63" s="8"/>
      <c r="Q63" s="9"/>
      <c r="R63" s="10"/>
      <c r="S63" s="10"/>
      <c r="T63" s="10"/>
      <c r="U63" s="11" t="str">
        <f t="shared" si="0"/>
        <v>AIRBNB</v>
      </c>
      <c r="V63" s="12" t="str">
        <f t="shared" si="1"/>
        <v>Same day check in 1 houses</v>
      </c>
      <c r="W63" s="12" t="str">
        <f t="shared" si="2"/>
        <v>46012Lake Valencia</v>
      </c>
      <c r="X63" s="12" t="str">
        <f t="shared" si="3"/>
        <v>46019Lake Valencia</v>
      </c>
      <c r="Y63" s="13">
        <f t="shared" si="4"/>
        <v>0</v>
      </c>
      <c r="Z63" s="14" t="str">
        <f t="shared" si="5"/>
        <v/>
      </c>
      <c r="AB63" s="15"/>
      <c r="AC63" s="15"/>
    </row>
    <row r="64" spans="2:29" ht="14.25" customHeight="1">
      <c r="B64" s="14" t="s">
        <v>231</v>
      </c>
      <c r="C64" s="14" t="s">
        <v>50</v>
      </c>
      <c r="D64" s="14" t="s">
        <v>232</v>
      </c>
      <c r="E64" s="10" t="s">
        <v>233</v>
      </c>
      <c r="F64" s="10">
        <v>4</v>
      </c>
      <c r="G64" s="10">
        <v>2</v>
      </c>
      <c r="H64" s="10">
        <v>0</v>
      </c>
      <c r="I64" s="15">
        <v>46012</v>
      </c>
      <c r="J64" s="15">
        <v>46023</v>
      </c>
      <c r="K64" s="10">
        <v>11</v>
      </c>
      <c r="L64" s="15">
        <v>45770</v>
      </c>
      <c r="M64" s="10" t="s">
        <v>68</v>
      </c>
      <c r="N64" s="10">
        <v>2839.48</v>
      </c>
      <c r="O64" s="16" t="s">
        <v>69</v>
      </c>
      <c r="P64" s="8"/>
      <c r="Q64" s="9"/>
      <c r="R64" s="10"/>
      <c r="S64" s="10"/>
      <c r="T64" s="10"/>
      <c r="U64" s="11" t="str">
        <f t="shared" si="0"/>
        <v>AIRBNB</v>
      </c>
      <c r="V64" s="12">
        <f t="shared" si="1"/>
        <v>0</v>
      </c>
      <c r="W64" s="12" t="str">
        <f t="shared" si="2"/>
        <v>4601264th Street</v>
      </c>
      <c r="X64" s="12" t="str">
        <f t="shared" si="3"/>
        <v>4602364th Street</v>
      </c>
      <c r="Y64" s="13">
        <f t="shared" si="4"/>
        <v>0</v>
      </c>
      <c r="Z64" s="14" t="str">
        <f t="shared" si="5"/>
        <v/>
      </c>
      <c r="AB64" s="15"/>
      <c r="AC64" s="15"/>
    </row>
    <row r="65" spans="2:29" ht="14.25" customHeight="1">
      <c r="B65" s="14" t="s">
        <v>234</v>
      </c>
      <c r="C65" s="14" t="s">
        <v>50</v>
      </c>
      <c r="D65" s="14" t="s">
        <v>235</v>
      </c>
      <c r="E65" s="10" t="s">
        <v>236</v>
      </c>
      <c r="F65" s="10">
        <v>2</v>
      </c>
      <c r="G65" s="10">
        <v>2</v>
      </c>
      <c r="H65" s="10">
        <v>0</v>
      </c>
      <c r="I65" s="15">
        <v>46012</v>
      </c>
      <c r="J65" s="15">
        <v>46043</v>
      </c>
      <c r="K65" s="10">
        <v>31</v>
      </c>
      <c r="L65" s="15">
        <v>45876</v>
      </c>
      <c r="M65" s="10" t="s">
        <v>237</v>
      </c>
      <c r="N65" s="10">
        <v>4494.3</v>
      </c>
      <c r="O65" s="16" t="s">
        <v>238</v>
      </c>
      <c r="P65" s="8"/>
      <c r="Q65" s="9"/>
      <c r="R65" s="10"/>
      <c r="S65" s="10"/>
      <c r="T65" s="10"/>
      <c r="U65" s="11" t="str">
        <f t="shared" si="0"/>
        <v>AIRBNB</v>
      </c>
      <c r="V65" s="12">
        <f t="shared" si="1"/>
        <v>0</v>
      </c>
      <c r="W65" s="12" t="str">
        <f t="shared" si="2"/>
        <v>4601247th Bradenton</v>
      </c>
      <c r="X65" s="12" t="str">
        <f t="shared" si="3"/>
        <v>4604347th Bradenton</v>
      </c>
      <c r="Y65" s="13">
        <f t="shared" si="4"/>
        <v>0</v>
      </c>
      <c r="Z65" s="14" t="str">
        <f t="shared" si="5"/>
        <v/>
      </c>
      <c r="AB65" s="15"/>
      <c r="AC65" s="15"/>
    </row>
    <row r="66" spans="2:29" ht="14.25" customHeight="1">
      <c r="B66" s="14" t="s">
        <v>239</v>
      </c>
      <c r="C66" s="14" t="s">
        <v>50</v>
      </c>
      <c r="D66" s="14" t="s">
        <v>240</v>
      </c>
      <c r="E66" s="10" t="s">
        <v>241</v>
      </c>
      <c r="F66" s="10">
        <v>5</v>
      </c>
      <c r="G66" s="10">
        <v>0</v>
      </c>
      <c r="H66" s="10">
        <v>0</v>
      </c>
      <c r="I66" s="15">
        <v>46013</v>
      </c>
      <c r="J66" s="15">
        <v>46020</v>
      </c>
      <c r="K66" s="10">
        <v>7</v>
      </c>
      <c r="L66" s="15">
        <v>45837</v>
      </c>
      <c r="M66" s="10" t="s">
        <v>78</v>
      </c>
      <c r="N66" s="10">
        <v>2946.76</v>
      </c>
      <c r="O66" s="16" t="s">
        <v>79</v>
      </c>
      <c r="P66" s="8"/>
      <c r="Q66" s="9"/>
      <c r="R66" s="10"/>
      <c r="S66" s="10"/>
      <c r="T66" s="10"/>
      <c r="U66" s="11" t="str">
        <f t="shared" si="0"/>
        <v>AIRBNB</v>
      </c>
      <c r="V66" s="12" t="str">
        <f t="shared" si="1"/>
        <v>Same day check in 2 houses</v>
      </c>
      <c r="W66" s="12" t="str">
        <f t="shared" si="2"/>
        <v>4601311523 48th</v>
      </c>
      <c r="X66" s="12" t="str">
        <f t="shared" si="3"/>
        <v>4602011523 48th</v>
      </c>
      <c r="Y66" s="13">
        <f t="shared" si="4"/>
        <v>0</v>
      </c>
      <c r="Z66" s="14" t="str">
        <f t="shared" si="5"/>
        <v/>
      </c>
      <c r="AB66" s="15"/>
      <c r="AC66" s="15"/>
    </row>
    <row r="67" spans="2:29" ht="14.25" customHeight="1">
      <c r="B67" s="14" t="s">
        <v>242</v>
      </c>
      <c r="C67" s="14" t="s">
        <v>50</v>
      </c>
      <c r="D67" s="14" t="s">
        <v>243</v>
      </c>
      <c r="E67" s="10" t="s">
        <v>244</v>
      </c>
      <c r="F67" s="10">
        <v>9</v>
      </c>
      <c r="G67" s="10">
        <v>0</v>
      </c>
      <c r="H67" s="10">
        <v>0</v>
      </c>
      <c r="I67" s="15">
        <v>46014</v>
      </c>
      <c r="J67" s="15">
        <v>46018</v>
      </c>
      <c r="K67" s="10">
        <v>4</v>
      </c>
      <c r="L67" s="15">
        <v>45849</v>
      </c>
      <c r="M67" s="10" t="s">
        <v>245</v>
      </c>
      <c r="N67" s="10">
        <v>1633.48</v>
      </c>
      <c r="O67" s="16" t="s">
        <v>246</v>
      </c>
      <c r="P67" s="8"/>
      <c r="Q67" s="9"/>
      <c r="R67" s="10"/>
      <c r="S67" s="10"/>
      <c r="T67" s="10"/>
      <c r="U67" s="11" t="str">
        <f t="shared" si="0"/>
        <v>AIRBNB</v>
      </c>
      <c r="V67" s="12" t="str">
        <f t="shared" si="1"/>
        <v>Same day check in 4 houses</v>
      </c>
      <c r="W67" s="12" t="str">
        <f t="shared" si="2"/>
        <v>46014Harbor Hills</v>
      </c>
      <c r="X67" s="12" t="str">
        <f t="shared" si="3"/>
        <v>46018Harbor Hills</v>
      </c>
      <c r="Y67" s="13">
        <f t="shared" si="4"/>
        <v>0</v>
      </c>
      <c r="Z67" s="14" t="str">
        <f t="shared" si="5"/>
        <v/>
      </c>
      <c r="AB67" s="15"/>
      <c r="AC67" s="15"/>
    </row>
    <row r="68" spans="2:29" ht="14.25" customHeight="1">
      <c r="B68" s="14" t="s">
        <v>247</v>
      </c>
      <c r="C68" s="14" t="s">
        <v>10</v>
      </c>
      <c r="D68" s="14" t="s">
        <v>248</v>
      </c>
      <c r="E68" s="10"/>
      <c r="F68" s="10"/>
      <c r="G68" s="10"/>
      <c r="H68" s="10"/>
      <c r="I68" s="15">
        <v>46014</v>
      </c>
      <c r="J68" s="15">
        <v>46019</v>
      </c>
      <c r="K68" s="8"/>
      <c r="L68" s="15">
        <v>45871</v>
      </c>
      <c r="M68" s="10"/>
      <c r="N68" s="10"/>
      <c r="O68" s="16" t="s">
        <v>205</v>
      </c>
      <c r="P68" s="8"/>
      <c r="Q68" s="9"/>
      <c r="R68" s="10"/>
      <c r="S68" s="10"/>
      <c r="T68" s="10"/>
      <c r="U68" s="11" t="str">
        <f t="shared" si="0"/>
        <v>VRBO</v>
      </c>
      <c r="V68" s="12" t="str">
        <f t="shared" si="1"/>
        <v>Same day check in 1 houses</v>
      </c>
      <c r="W68" s="12" t="str">
        <f t="shared" si="2"/>
        <v>4601460th St</v>
      </c>
      <c r="X68" s="12" t="str">
        <f t="shared" si="3"/>
        <v>4601960th St</v>
      </c>
      <c r="Y68" s="13" t="str">
        <f t="shared" si="4"/>
        <v>Check in, check out on the same day of stay 60th St</v>
      </c>
      <c r="Z68" s="14" t="str">
        <f t="shared" si="5"/>
        <v/>
      </c>
      <c r="AB68" s="15"/>
      <c r="AC68" s="15"/>
    </row>
    <row r="69" spans="2:29" ht="14.25" customHeight="1">
      <c r="B69" s="14" t="s">
        <v>249</v>
      </c>
      <c r="C69" s="14" t="s">
        <v>50</v>
      </c>
      <c r="D69" s="14" t="s">
        <v>250</v>
      </c>
      <c r="E69" s="10" t="s">
        <v>251</v>
      </c>
      <c r="F69" s="10">
        <v>10</v>
      </c>
      <c r="G69" s="10">
        <v>0</v>
      </c>
      <c r="H69" s="10">
        <v>0</v>
      </c>
      <c r="I69" s="15">
        <v>46014</v>
      </c>
      <c r="J69" s="15">
        <v>46020</v>
      </c>
      <c r="K69" s="10">
        <v>6</v>
      </c>
      <c r="L69" s="15">
        <v>45799</v>
      </c>
      <c r="M69" s="10" t="s">
        <v>140</v>
      </c>
      <c r="N69" s="10">
        <v>3317.4</v>
      </c>
      <c r="O69" s="16" t="s">
        <v>81</v>
      </c>
      <c r="P69" s="8"/>
      <c r="Q69" s="9"/>
      <c r="R69" s="10"/>
      <c r="S69" s="10"/>
      <c r="T69" s="10"/>
      <c r="U69" s="11" t="str">
        <f t="shared" si="0"/>
        <v>AIRBNB</v>
      </c>
      <c r="V69" s="12" t="str">
        <f t="shared" si="1"/>
        <v>Same day check in 2 houses</v>
      </c>
      <c r="W69" s="12" t="str">
        <f t="shared" si="2"/>
        <v>460144801 48th</v>
      </c>
      <c r="X69" s="12" t="str">
        <f t="shared" si="3"/>
        <v>460204801 48th</v>
      </c>
      <c r="Y69" s="13">
        <f t="shared" si="4"/>
        <v>0</v>
      </c>
      <c r="Z69" s="14" t="str">
        <f t="shared" si="5"/>
        <v/>
      </c>
      <c r="AB69" s="15"/>
      <c r="AC69" s="15"/>
    </row>
    <row r="70" spans="2:29" ht="14.25" customHeight="1">
      <c r="B70" s="14" t="s">
        <v>252</v>
      </c>
      <c r="C70" s="14" t="s">
        <v>50</v>
      </c>
      <c r="D70" s="14" t="s">
        <v>253</v>
      </c>
      <c r="E70" s="10" t="s">
        <v>254</v>
      </c>
      <c r="F70" s="10">
        <v>4</v>
      </c>
      <c r="G70" s="10">
        <v>2</v>
      </c>
      <c r="H70" s="10">
        <v>0</v>
      </c>
      <c r="I70" s="15">
        <v>46015</v>
      </c>
      <c r="J70" s="15">
        <v>46018</v>
      </c>
      <c r="K70" s="8">
        <v>3</v>
      </c>
      <c r="L70" s="15">
        <v>45836</v>
      </c>
      <c r="M70" s="10" t="s">
        <v>73</v>
      </c>
      <c r="N70" s="10">
        <v>1797.41</v>
      </c>
      <c r="O70" s="16" t="s">
        <v>74</v>
      </c>
      <c r="P70" s="8"/>
      <c r="Q70" s="9"/>
      <c r="R70" s="10"/>
      <c r="S70" s="10"/>
      <c r="T70" s="10"/>
      <c r="U70" s="11" t="str">
        <f t="shared" si="0"/>
        <v>AIRBNB</v>
      </c>
      <c r="V70" s="12" t="str">
        <f t="shared" si="1"/>
        <v>Same day check in 4 houses</v>
      </c>
      <c r="W70" s="12" t="str">
        <f t="shared" si="2"/>
        <v>46015Sunrise</v>
      </c>
      <c r="X70" s="12" t="str">
        <f t="shared" si="3"/>
        <v>46018Sunrise</v>
      </c>
      <c r="Y70" s="13" t="str">
        <f t="shared" si="4"/>
        <v>Check in, check out on the same day of stay Sunrise</v>
      </c>
      <c r="Z70" s="14" t="str">
        <f t="shared" si="5"/>
        <v/>
      </c>
      <c r="AB70" s="15"/>
      <c r="AC70" s="15"/>
    </row>
    <row r="71" spans="2:29" ht="14.25" customHeight="1">
      <c r="B71" s="14" t="s">
        <v>255</v>
      </c>
      <c r="C71" s="14" t="s">
        <v>50</v>
      </c>
      <c r="D71" s="14" t="s">
        <v>256</v>
      </c>
      <c r="E71" s="10" t="s">
        <v>257</v>
      </c>
      <c r="F71" s="10">
        <v>4</v>
      </c>
      <c r="G71" s="10">
        <v>1</v>
      </c>
      <c r="H71" s="10">
        <v>0</v>
      </c>
      <c r="I71" s="15">
        <v>46015</v>
      </c>
      <c r="J71" s="15">
        <v>46022</v>
      </c>
      <c r="K71" s="10">
        <v>7</v>
      </c>
      <c r="L71" s="15">
        <v>45769</v>
      </c>
      <c r="M71" s="10" t="s">
        <v>258</v>
      </c>
      <c r="N71" s="10">
        <v>1802.55</v>
      </c>
      <c r="O71" s="16" t="s">
        <v>259</v>
      </c>
      <c r="P71" s="8"/>
      <c r="Q71" s="9"/>
      <c r="R71" s="10"/>
      <c r="S71" s="10"/>
      <c r="T71" s="10"/>
      <c r="U71" s="11" t="str">
        <f t="shared" si="0"/>
        <v>AIRBNB</v>
      </c>
      <c r="V71" s="12" t="str">
        <f t="shared" si="1"/>
        <v>Same day check in 1 houses</v>
      </c>
      <c r="W71" s="12" t="str">
        <f t="shared" si="2"/>
        <v>46015Brookside Dr</v>
      </c>
      <c r="X71" s="12" t="str">
        <f t="shared" si="3"/>
        <v>46022Brookside Dr</v>
      </c>
      <c r="Y71" s="13">
        <f t="shared" si="4"/>
        <v>0</v>
      </c>
      <c r="Z71" s="14" t="str">
        <f t="shared" si="5"/>
        <v/>
      </c>
      <c r="AB71" s="15"/>
      <c r="AC71" s="15"/>
    </row>
    <row r="72" spans="2:29" ht="14.25" customHeight="1">
      <c r="B72" s="14" t="s">
        <v>260</v>
      </c>
      <c r="C72" s="14" t="s">
        <v>50</v>
      </c>
      <c r="D72" s="14" t="s">
        <v>261</v>
      </c>
      <c r="E72" s="10" t="s">
        <v>262</v>
      </c>
      <c r="F72" s="10">
        <v>7</v>
      </c>
      <c r="G72" s="10">
        <v>1</v>
      </c>
      <c r="H72" s="10">
        <v>0</v>
      </c>
      <c r="I72" s="15">
        <v>46017</v>
      </c>
      <c r="J72" s="15">
        <v>46020</v>
      </c>
      <c r="K72" s="10">
        <v>3</v>
      </c>
      <c r="L72" s="15">
        <v>45807</v>
      </c>
      <c r="M72" s="10" t="s">
        <v>93</v>
      </c>
      <c r="N72" s="10">
        <v>1016.56</v>
      </c>
      <c r="O72" s="16" t="s">
        <v>94</v>
      </c>
      <c r="P72" s="8"/>
      <c r="Q72" s="9"/>
      <c r="R72" s="10"/>
      <c r="S72" s="10"/>
      <c r="T72" s="10"/>
      <c r="U72" s="11" t="str">
        <f t="shared" si="0"/>
        <v>AIRBNB</v>
      </c>
      <c r="V72" s="12" t="str">
        <f t="shared" si="1"/>
        <v>Same day check in 2 houses</v>
      </c>
      <c r="W72" s="12" t="str">
        <f t="shared" si="2"/>
        <v>4601766th Ave</v>
      </c>
      <c r="X72" s="12" t="str">
        <f t="shared" si="3"/>
        <v>4602066th Ave</v>
      </c>
      <c r="Y72" s="13">
        <f t="shared" si="4"/>
        <v>0</v>
      </c>
      <c r="Z72" s="14" t="str">
        <f t="shared" si="5"/>
        <v/>
      </c>
      <c r="AB72" s="15"/>
      <c r="AC72" s="15"/>
    </row>
    <row r="73" spans="2:29" ht="14.25" customHeight="1">
      <c r="B73" s="14" t="s">
        <v>263</v>
      </c>
      <c r="C73" s="14" t="s">
        <v>50</v>
      </c>
      <c r="D73" s="14" t="s">
        <v>264</v>
      </c>
      <c r="E73" s="10" t="s">
        <v>265</v>
      </c>
      <c r="F73" s="10">
        <v>12</v>
      </c>
      <c r="G73" s="10">
        <v>4</v>
      </c>
      <c r="H73" s="10">
        <v>1</v>
      </c>
      <c r="I73" s="15">
        <v>46017</v>
      </c>
      <c r="J73" s="15">
        <v>46023</v>
      </c>
      <c r="K73" s="10">
        <v>6</v>
      </c>
      <c r="L73" s="15">
        <v>45735</v>
      </c>
      <c r="M73" s="10" t="s">
        <v>266</v>
      </c>
      <c r="N73" s="10">
        <v>5432</v>
      </c>
      <c r="O73" s="16" t="s">
        <v>185</v>
      </c>
      <c r="P73" s="8"/>
      <c r="Q73" s="9"/>
      <c r="R73" s="10"/>
      <c r="S73" s="10"/>
      <c r="T73" s="10"/>
      <c r="U73" s="11" t="str">
        <f t="shared" si="0"/>
        <v>AIRBNB</v>
      </c>
      <c r="V73" s="12">
        <f t="shared" si="1"/>
        <v>0</v>
      </c>
      <c r="W73" s="12" t="str">
        <f t="shared" si="2"/>
        <v>46017Lancaster</v>
      </c>
      <c r="X73" s="12" t="str">
        <f t="shared" si="3"/>
        <v>46023Lancaster</v>
      </c>
      <c r="Y73" s="13">
        <f t="shared" si="4"/>
        <v>0</v>
      </c>
      <c r="Z73" s="14" t="str">
        <f t="shared" si="5"/>
        <v/>
      </c>
      <c r="AB73" s="15"/>
      <c r="AC73" s="15"/>
    </row>
    <row r="74" spans="2:29" ht="14.25" customHeight="1">
      <c r="B74" s="14" t="s">
        <v>267</v>
      </c>
      <c r="C74" s="14" t="s">
        <v>50</v>
      </c>
      <c r="D74" s="14" t="s">
        <v>268</v>
      </c>
      <c r="E74" s="10" t="s">
        <v>269</v>
      </c>
      <c r="F74" s="10">
        <v>6</v>
      </c>
      <c r="G74" s="10">
        <v>3</v>
      </c>
      <c r="H74" s="10">
        <v>0</v>
      </c>
      <c r="I74" s="15">
        <v>46018</v>
      </c>
      <c r="J74" s="15">
        <v>46025</v>
      </c>
      <c r="K74" s="8">
        <v>7</v>
      </c>
      <c r="L74" s="15">
        <v>45755</v>
      </c>
      <c r="M74" s="10" t="s">
        <v>270</v>
      </c>
      <c r="N74" s="10">
        <v>3040.17</v>
      </c>
      <c r="O74" s="16" t="s">
        <v>271</v>
      </c>
      <c r="P74" s="8"/>
      <c r="Q74" s="9"/>
      <c r="R74" s="10"/>
      <c r="S74" s="10"/>
      <c r="T74" s="10"/>
      <c r="U74" s="11" t="str">
        <f t="shared" si="0"/>
        <v>AIRBNB</v>
      </c>
      <c r="V74" s="12">
        <f t="shared" si="1"/>
        <v>0</v>
      </c>
      <c r="W74" s="12" t="str">
        <f t="shared" si="2"/>
        <v>4601852nd Ave</v>
      </c>
      <c r="X74" s="12" t="str">
        <f t="shared" si="3"/>
        <v>4602552nd Ave</v>
      </c>
      <c r="Y74" s="13">
        <f t="shared" si="4"/>
        <v>0</v>
      </c>
      <c r="Z74" s="14" t="str">
        <f t="shared" si="5"/>
        <v/>
      </c>
      <c r="AB74" s="15"/>
      <c r="AC74" s="15"/>
    </row>
    <row r="75" spans="2:29" ht="14.25" customHeight="1">
      <c r="B75" s="14" t="s">
        <v>272</v>
      </c>
      <c r="C75" s="14" t="s">
        <v>50</v>
      </c>
      <c r="D75" s="14" t="s">
        <v>273</v>
      </c>
      <c r="E75" s="10" t="s">
        <v>274</v>
      </c>
      <c r="F75" s="10">
        <v>5</v>
      </c>
      <c r="G75" s="10">
        <v>1</v>
      </c>
      <c r="H75" s="10">
        <v>0</v>
      </c>
      <c r="I75" s="15">
        <v>46018</v>
      </c>
      <c r="J75" s="15">
        <v>46025</v>
      </c>
      <c r="K75" s="10">
        <v>7</v>
      </c>
      <c r="L75" s="15">
        <v>45748</v>
      </c>
      <c r="M75" s="10" t="s">
        <v>73</v>
      </c>
      <c r="N75" s="10">
        <v>3561.06</v>
      </c>
      <c r="O75" s="16" t="s">
        <v>74</v>
      </c>
      <c r="P75" s="8"/>
      <c r="Q75" s="9"/>
      <c r="R75" s="10"/>
      <c r="S75" s="10"/>
      <c r="T75" s="10"/>
      <c r="U75" s="11" t="str">
        <f t="shared" si="0"/>
        <v>AIRBNB</v>
      </c>
      <c r="V75" s="12">
        <f t="shared" si="1"/>
        <v>0</v>
      </c>
      <c r="W75" s="12" t="str">
        <f t="shared" si="2"/>
        <v>46018Sunrise</v>
      </c>
      <c r="X75" s="12" t="str">
        <f t="shared" si="3"/>
        <v>46025Sunrise</v>
      </c>
      <c r="Y75" s="13">
        <f t="shared" si="4"/>
        <v>0</v>
      </c>
      <c r="Z75" s="14" t="str">
        <f t="shared" si="5"/>
        <v/>
      </c>
      <c r="AB75" s="15"/>
      <c r="AC75" s="15"/>
    </row>
    <row r="76" spans="2:29" ht="14.25" customHeight="1">
      <c r="B76" s="14" t="s">
        <v>275</v>
      </c>
      <c r="C76" s="14" t="s">
        <v>10</v>
      </c>
      <c r="D76" s="14" t="s">
        <v>276</v>
      </c>
      <c r="E76" s="10"/>
      <c r="F76" s="10"/>
      <c r="G76" s="10"/>
      <c r="H76" s="10"/>
      <c r="I76" s="15">
        <v>46018</v>
      </c>
      <c r="J76" s="15">
        <v>46025</v>
      </c>
      <c r="K76" s="10"/>
      <c r="L76" s="15">
        <v>45877</v>
      </c>
      <c r="M76" s="10"/>
      <c r="N76" s="10"/>
      <c r="O76" s="16" t="s">
        <v>277</v>
      </c>
      <c r="P76" s="8"/>
      <c r="Q76" s="9"/>
      <c r="R76" s="10"/>
      <c r="S76" s="10"/>
      <c r="T76" s="10"/>
      <c r="U76" s="11" t="str">
        <f t="shared" si="0"/>
        <v>VRBO</v>
      </c>
      <c r="V76" s="12">
        <f t="shared" si="1"/>
        <v>0</v>
      </c>
      <c r="W76" s="12" t="str">
        <f t="shared" si="2"/>
        <v>460181860 Sunrise</v>
      </c>
      <c r="X76" s="12" t="str">
        <f t="shared" si="3"/>
        <v>460251860 Sunrise</v>
      </c>
      <c r="Y76" s="13">
        <f t="shared" si="4"/>
        <v>0</v>
      </c>
      <c r="Z76" s="14" t="str">
        <f t="shared" si="5"/>
        <v/>
      </c>
      <c r="AB76" s="15"/>
      <c r="AC76" s="15"/>
    </row>
    <row r="77" spans="2:29" ht="14.25" customHeight="1">
      <c r="B77" s="14" t="s">
        <v>278</v>
      </c>
      <c r="C77" s="14" t="s">
        <v>50</v>
      </c>
      <c r="D77" s="14" t="s">
        <v>279</v>
      </c>
      <c r="E77" s="10" t="s">
        <v>280</v>
      </c>
      <c r="F77" s="10">
        <v>4</v>
      </c>
      <c r="G77" s="10">
        <v>7</v>
      </c>
      <c r="H77" s="10">
        <v>0</v>
      </c>
      <c r="I77" s="15">
        <v>46018</v>
      </c>
      <c r="J77" s="15">
        <v>46026</v>
      </c>
      <c r="K77" s="10">
        <v>8</v>
      </c>
      <c r="L77" s="15">
        <v>45859</v>
      </c>
      <c r="M77" s="10" t="s">
        <v>281</v>
      </c>
      <c r="N77" s="10">
        <v>2155.73</v>
      </c>
      <c r="O77" s="16" t="s">
        <v>36</v>
      </c>
      <c r="P77" s="8"/>
      <c r="Q77" s="9"/>
      <c r="R77" s="10"/>
      <c r="S77" s="10"/>
      <c r="T77" s="10"/>
      <c r="U77" s="11" t="str">
        <f t="shared" si="0"/>
        <v>AIRBNB</v>
      </c>
      <c r="V77" s="12" t="str">
        <f t="shared" si="1"/>
        <v>Same day check in 1 houses</v>
      </c>
      <c r="W77" s="12" t="str">
        <f t="shared" si="2"/>
        <v>46018Canterbury</v>
      </c>
      <c r="X77" s="12" t="str">
        <f t="shared" si="3"/>
        <v>46026Canterbury</v>
      </c>
      <c r="Y77" s="13" t="str">
        <f t="shared" si="4"/>
        <v>Check in, check out on the same day of stay Canterbury</v>
      </c>
      <c r="Z77" s="14" t="str">
        <f t="shared" si="5"/>
        <v/>
      </c>
      <c r="AB77" s="15"/>
      <c r="AC77" s="15"/>
    </row>
    <row r="78" spans="2:29" ht="14.25" customHeight="1">
      <c r="B78" s="14" t="s">
        <v>282</v>
      </c>
      <c r="C78" s="14" t="s">
        <v>50</v>
      </c>
      <c r="D78" s="14" t="s">
        <v>283</v>
      </c>
      <c r="E78" s="10" t="s">
        <v>284</v>
      </c>
      <c r="F78" s="10">
        <v>7</v>
      </c>
      <c r="G78" s="10">
        <v>2</v>
      </c>
      <c r="H78" s="10">
        <v>0</v>
      </c>
      <c r="I78" s="15">
        <v>46019</v>
      </c>
      <c r="J78" s="15">
        <v>46024</v>
      </c>
      <c r="K78" s="10">
        <v>5</v>
      </c>
      <c r="L78" s="15">
        <v>45862</v>
      </c>
      <c r="M78" s="10" t="s">
        <v>204</v>
      </c>
      <c r="N78" s="10">
        <v>2910</v>
      </c>
      <c r="O78" s="16" t="s">
        <v>205</v>
      </c>
      <c r="P78" s="8"/>
      <c r="Q78" s="9"/>
      <c r="R78" s="10"/>
      <c r="S78" s="10"/>
      <c r="T78" s="10"/>
      <c r="U78" s="11" t="str">
        <f t="shared" si="0"/>
        <v>AIRBNB</v>
      </c>
      <c r="V78" s="12">
        <f t="shared" si="1"/>
        <v>0</v>
      </c>
      <c r="W78" s="12" t="str">
        <f t="shared" si="2"/>
        <v>4601960th St</v>
      </c>
      <c r="X78" s="12" t="str">
        <f t="shared" si="3"/>
        <v>4602460th St</v>
      </c>
      <c r="Y78" s="13">
        <f t="shared" si="4"/>
        <v>0</v>
      </c>
      <c r="Z78" s="14" t="str">
        <f t="shared" si="5"/>
        <v/>
      </c>
      <c r="AB78" s="15"/>
      <c r="AC78" s="15"/>
    </row>
    <row r="79" spans="2:29" ht="14.25" customHeight="1">
      <c r="B79" s="14" t="s">
        <v>285</v>
      </c>
      <c r="C79" s="14" t="s">
        <v>50</v>
      </c>
      <c r="D79" s="14" t="s">
        <v>286</v>
      </c>
      <c r="E79" s="10" t="s">
        <v>287</v>
      </c>
      <c r="F79" s="10">
        <v>7</v>
      </c>
      <c r="G79" s="10">
        <v>4</v>
      </c>
      <c r="H79" s="10">
        <v>0</v>
      </c>
      <c r="I79" s="15">
        <v>46020</v>
      </c>
      <c r="J79" s="15">
        <v>46023</v>
      </c>
      <c r="K79" s="10">
        <v>3</v>
      </c>
      <c r="L79" s="15">
        <v>45823</v>
      </c>
      <c r="M79" s="10" t="s">
        <v>288</v>
      </c>
      <c r="N79" s="10">
        <v>1940</v>
      </c>
      <c r="O79" s="16" t="s">
        <v>289</v>
      </c>
      <c r="P79" s="8"/>
      <c r="Q79" s="9"/>
      <c r="R79" s="10"/>
      <c r="S79" s="10"/>
      <c r="T79" s="10"/>
      <c r="U79" s="11" t="str">
        <f t="shared" si="0"/>
        <v>AIRBNB</v>
      </c>
      <c r="V79" s="12">
        <f t="shared" si="1"/>
        <v>0</v>
      </c>
      <c r="W79" s="12" t="str">
        <f t="shared" si="2"/>
        <v>46020Harborwood Dr</v>
      </c>
      <c r="X79" s="12" t="str">
        <f t="shared" si="3"/>
        <v>46023Harborwood Dr</v>
      </c>
      <c r="Y79" s="13">
        <f t="shared" si="4"/>
        <v>0</v>
      </c>
      <c r="Z79" s="14" t="str">
        <f t="shared" si="5"/>
        <v/>
      </c>
      <c r="AB79" s="15"/>
      <c r="AC79" s="15"/>
    </row>
    <row r="80" spans="2:29" ht="14.25" customHeight="1">
      <c r="B80" s="14" t="s">
        <v>290</v>
      </c>
      <c r="C80" s="14" t="s">
        <v>50</v>
      </c>
      <c r="D80" s="14" t="s">
        <v>291</v>
      </c>
      <c r="E80" s="10" t="s">
        <v>292</v>
      </c>
      <c r="F80" s="10">
        <v>10</v>
      </c>
      <c r="G80" s="10">
        <v>0</v>
      </c>
      <c r="H80" s="10">
        <v>0</v>
      </c>
      <c r="I80" s="15">
        <v>46020</v>
      </c>
      <c r="J80" s="15">
        <v>46025</v>
      </c>
      <c r="K80" s="10">
        <v>5</v>
      </c>
      <c r="L80" s="15">
        <v>45889</v>
      </c>
      <c r="M80" s="10" t="s">
        <v>63</v>
      </c>
      <c r="N80" s="10">
        <v>1721.75</v>
      </c>
      <c r="O80" s="16" t="s">
        <v>64</v>
      </c>
      <c r="P80" s="8"/>
      <c r="Q80" s="9"/>
      <c r="R80" s="10"/>
      <c r="S80" s="10"/>
      <c r="T80" s="10"/>
      <c r="U80" s="11" t="str">
        <f t="shared" si="0"/>
        <v>AIRBNB</v>
      </c>
      <c r="V80" s="12">
        <f t="shared" si="1"/>
        <v>0</v>
      </c>
      <c r="W80" s="12" t="str">
        <f t="shared" si="2"/>
        <v>46020106th Ave</v>
      </c>
      <c r="X80" s="12" t="str">
        <f t="shared" si="3"/>
        <v>46025106th Ave</v>
      </c>
      <c r="Y80" s="13">
        <f t="shared" si="4"/>
        <v>0</v>
      </c>
      <c r="Z80" s="14" t="str">
        <f t="shared" si="5"/>
        <v/>
      </c>
      <c r="AB80" s="15"/>
      <c r="AC80" s="15"/>
    </row>
    <row r="81" spans="2:29" ht="14.25" customHeight="1">
      <c r="B81" s="14" t="s">
        <v>293</v>
      </c>
      <c r="C81" s="14" t="s">
        <v>50</v>
      </c>
      <c r="D81" s="14" t="s">
        <v>294</v>
      </c>
      <c r="E81" s="10" t="s">
        <v>295</v>
      </c>
      <c r="F81" s="10">
        <v>3</v>
      </c>
      <c r="G81" s="10">
        <v>0</v>
      </c>
      <c r="H81" s="10">
        <v>0</v>
      </c>
      <c r="I81" s="15">
        <v>46022</v>
      </c>
      <c r="J81" s="15">
        <v>46025</v>
      </c>
      <c r="K81" s="10">
        <v>3</v>
      </c>
      <c r="L81" s="15">
        <v>45795</v>
      </c>
      <c r="M81" s="10" t="s">
        <v>78</v>
      </c>
      <c r="N81" s="10">
        <v>1609.23</v>
      </c>
      <c r="O81" s="16" t="s">
        <v>79</v>
      </c>
      <c r="P81" s="8"/>
      <c r="Q81" s="9"/>
      <c r="R81" s="10"/>
      <c r="S81" s="10"/>
      <c r="T81" s="10"/>
      <c r="U81" s="11" t="str">
        <f t="shared" si="0"/>
        <v>AIRBNB</v>
      </c>
      <c r="V81" s="12">
        <f t="shared" si="1"/>
        <v>0</v>
      </c>
      <c r="W81" s="12" t="str">
        <f t="shared" si="2"/>
        <v>4602211523 48th</v>
      </c>
      <c r="X81" s="12" t="str">
        <f t="shared" si="3"/>
        <v>4602511523 48th</v>
      </c>
      <c r="Y81" s="13">
        <f t="shared" si="4"/>
        <v>0</v>
      </c>
      <c r="Z81" s="14" t="str">
        <f t="shared" si="5"/>
        <v/>
      </c>
      <c r="AB81" s="15"/>
      <c r="AC81" s="15"/>
    </row>
    <row r="82" spans="2:29" ht="14.25" customHeight="1">
      <c r="B82" s="5" t="s">
        <v>34</v>
      </c>
      <c r="C82" s="5" t="s">
        <v>34</v>
      </c>
      <c r="D82" s="5" t="s">
        <v>35</v>
      </c>
      <c r="E82" s="10"/>
      <c r="F82" s="10"/>
      <c r="G82" s="10"/>
      <c r="H82" s="10"/>
      <c r="I82" s="6">
        <v>46026</v>
      </c>
      <c r="J82" s="6">
        <v>46081</v>
      </c>
      <c r="K82" s="10"/>
      <c r="L82" s="6"/>
      <c r="M82" s="10"/>
      <c r="N82" s="10"/>
      <c r="O82" s="7" t="s">
        <v>36</v>
      </c>
      <c r="P82" s="8"/>
      <c r="Q82" s="9"/>
      <c r="R82" s="10"/>
      <c r="S82" s="10"/>
      <c r="T82" s="10"/>
      <c r="U82" s="11" t="str">
        <f t="shared" si="0"/>
        <v>Owner staying</v>
      </c>
      <c r="V82" s="12" t="str">
        <f t="shared" si="1"/>
        <v>Same day check in 1 houses</v>
      </c>
      <c r="W82" s="12" t="str">
        <f t="shared" si="2"/>
        <v>46026Canterbury</v>
      </c>
      <c r="X82" s="12" t="str">
        <f t="shared" si="3"/>
        <v>46081Canterbury</v>
      </c>
      <c r="Y82" s="13">
        <f t="shared" si="4"/>
        <v>0</v>
      </c>
      <c r="Z82" s="14" t="str">
        <f t="shared" si="5"/>
        <v/>
      </c>
      <c r="AB82" s="15"/>
      <c r="AC82" s="15"/>
    </row>
    <row r="83" spans="2:29" ht="14.25" customHeight="1">
      <c r="B83" s="14" t="s">
        <v>296</v>
      </c>
      <c r="C83" s="14" t="s">
        <v>50</v>
      </c>
      <c r="D83" s="14" t="s">
        <v>297</v>
      </c>
      <c r="E83" s="10" t="s">
        <v>298</v>
      </c>
      <c r="F83" s="10">
        <v>3</v>
      </c>
      <c r="G83" s="10">
        <v>0</v>
      </c>
      <c r="H83" s="10">
        <v>0</v>
      </c>
      <c r="I83" s="15">
        <v>46027</v>
      </c>
      <c r="J83" s="15">
        <v>46081</v>
      </c>
      <c r="K83" s="10">
        <v>54</v>
      </c>
      <c r="L83" s="15">
        <v>45784</v>
      </c>
      <c r="M83" s="10" t="s">
        <v>299</v>
      </c>
      <c r="N83" s="10">
        <v>10329.34</v>
      </c>
      <c r="O83" s="16" t="s">
        <v>300</v>
      </c>
      <c r="P83" s="8"/>
      <c r="Q83" s="9"/>
      <c r="R83" s="10"/>
      <c r="S83" s="10"/>
      <c r="T83" s="10"/>
      <c r="U83" s="11" t="str">
        <f t="shared" si="0"/>
        <v>AIRBNB</v>
      </c>
      <c r="V83" s="12" t="str">
        <f t="shared" si="1"/>
        <v>Same day check in 1 houses</v>
      </c>
      <c r="W83" s="12" t="str">
        <f t="shared" si="2"/>
        <v>46027Huston</v>
      </c>
      <c r="X83" s="12" t="str">
        <f t="shared" si="3"/>
        <v>46081Huston</v>
      </c>
      <c r="Y83" s="13">
        <f t="shared" si="4"/>
        <v>0</v>
      </c>
      <c r="Z83" s="14" t="str">
        <f t="shared" si="5"/>
        <v/>
      </c>
      <c r="AB83" s="15"/>
      <c r="AC83" s="15"/>
    </row>
    <row r="84" spans="2:29" ht="14.25" customHeight="1">
      <c r="B84" s="14" t="s">
        <v>301</v>
      </c>
      <c r="C84" s="14" t="s">
        <v>50</v>
      </c>
      <c r="D84" s="14" t="s">
        <v>302</v>
      </c>
      <c r="E84" s="10" t="s">
        <v>303</v>
      </c>
      <c r="F84" s="10">
        <v>6</v>
      </c>
      <c r="G84" s="10">
        <v>0</v>
      </c>
      <c r="H84" s="10">
        <v>0</v>
      </c>
      <c r="I84" s="15">
        <v>46044</v>
      </c>
      <c r="J84" s="15">
        <v>46048</v>
      </c>
      <c r="K84" s="10">
        <v>4</v>
      </c>
      <c r="L84" s="15">
        <v>45857</v>
      </c>
      <c r="M84" s="10" t="s">
        <v>78</v>
      </c>
      <c r="N84" s="10">
        <v>1843</v>
      </c>
      <c r="O84" s="16" t="s">
        <v>79</v>
      </c>
      <c r="P84" s="8"/>
      <c r="Q84" s="9"/>
      <c r="R84" s="10"/>
      <c r="S84" s="10"/>
      <c r="T84" s="10"/>
      <c r="U84" s="11" t="str">
        <f t="shared" si="0"/>
        <v>AIRBNB</v>
      </c>
      <c r="V84" s="12">
        <f t="shared" si="1"/>
        <v>0</v>
      </c>
      <c r="W84" s="12" t="str">
        <f t="shared" si="2"/>
        <v>4604411523 48th</v>
      </c>
      <c r="X84" s="12" t="str">
        <f t="shared" si="3"/>
        <v>4604811523 48th</v>
      </c>
      <c r="Y84" s="13">
        <f t="shared" si="4"/>
        <v>0</v>
      </c>
      <c r="Z84" s="14" t="str">
        <f t="shared" si="5"/>
        <v/>
      </c>
      <c r="AB84" s="15"/>
      <c r="AC84" s="15"/>
    </row>
    <row r="85" spans="2:29" ht="14.25" customHeight="1">
      <c r="B85" s="14" t="s">
        <v>304</v>
      </c>
      <c r="C85" s="14" t="s">
        <v>50</v>
      </c>
      <c r="D85" s="14" t="s">
        <v>305</v>
      </c>
      <c r="E85" s="10" t="s">
        <v>306</v>
      </c>
      <c r="F85" s="10">
        <v>5</v>
      </c>
      <c r="G85" s="10">
        <v>1</v>
      </c>
      <c r="H85" s="10">
        <v>0</v>
      </c>
      <c r="I85" s="15">
        <v>46047</v>
      </c>
      <c r="J85" s="15">
        <v>46060</v>
      </c>
      <c r="K85" s="10">
        <v>13</v>
      </c>
      <c r="L85" s="15">
        <v>45872</v>
      </c>
      <c r="M85" s="10" t="s">
        <v>85</v>
      </c>
      <c r="N85" s="10">
        <v>3803.95</v>
      </c>
      <c r="O85" s="16" t="s">
        <v>86</v>
      </c>
      <c r="P85" s="8"/>
      <c r="Q85" s="9"/>
      <c r="R85" s="10"/>
      <c r="S85" s="10"/>
      <c r="T85" s="10"/>
      <c r="U85" s="11" t="str">
        <f t="shared" si="0"/>
        <v>AIRBNB</v>
      </c>
      <c r="V85" s="12">
        <f t="shared" si="1"/>
        <v>0</v>
      </c>
      <c r="W85" s="12" t="str">
        <f t="shared" si="2"/>
        <v>46047Lake Valencia</v>
      </c>
      <c r="X85" s="12" t="str">
        <f t="shared" si="3"/>
        <v>46060Lake Valencia</v>
      </c>
      <c r="Y85" s="13">
        <f t="shared" si="4"/>
        <v>0</v>
      </c>
      <c r="Z85" s="14" t="str">
        <f t="shared" si="5"/>
        <v/>
      </c>
      <c r="AB85" s="15"/>
      <c r="AC85" s="15"/>
    </row>
    <row r="86" spans="2:29" ht="14.25" customHeight="1">
      <c r="B86" s="14" t="s">
        <v>307</v>
      </c>
      <c r="C86" s="14" t="s">
        <v>50</v>
      </c>
      <c r="D86" s="14" t="s">
        <v>308</v>
      </c>
      <c r="E86" s="10" t="s">
        <v>309</v>
      </c>
      <c r="F86" s="10">
        <v>6</v>
      </c>
      <c r="G86" s="10">
        <v>0</v>
      </c>
      <c r="H86" s="10">
        <v>0</v>
      </c>
      <c r="I86" s="15">
        <v>46047</v>
      </c>
      <c r="J86" s="15">
        <v>46090</v>
      </c>
      <c r="K86" s="10">
        <v>43</v>
      </c>
      <c r="L86" s="15">
        <v>45868</v>
      </c>
      <c r="M86" s="10" t="s">
        <v>237</v>
      </c>
      <c r="N86" s="10">
        <v>6000.42</v>
      </c>
      <c r="O86" s="16" t="s">
        <v>238</v>
      </c>
      <c r="P86" s="8"/>
      <c r="Q86" s="9"/>
      <c r="R86" s="10"/>
      <c r="S86" s="10"/>
      <c r="T86" s="10"/>
      <c r="U86" s="11" t="str">
        <f t="shared" si="0"/>
        <v>AIRBNB</v>
      </c>
      <c r="V86" s="12">
        <f t="shared" si="1"/>
        <v>0</v>
      </c>
      <c r="W86" s="12" t="str">
        <f t="shared" si="2"/>
        <v>4604747th Bradenton</v>
      </c>
      <c r="X86" s="12" t="str">
        <f t="shared" si="3"/>
        <v>4609047th Bradenton</v>
      </c>
      <c r="Y86" s="13">
        <f t="shared" si="4"/>
        <v>0</v>
      </c>
      <c r="Z86" s="14" t="str">
        <f t="shared" si="5"/>
        <v/>
      </c>
      <c r="AB86" s="15"/>
      <c r="AC86" s="15"/>
    </row>
    <row r="87" spans="2:29" ht="14.25" customHeight="1">
      <c r="B87" s="14" t="s">
        <v>310</v>
      </c>
      <c r="C87" s="14" t="s">
        <v>50</v>
      </c>
      <c r="D87" s="14" t="s">
        <v>311</v>
      </c>
      <c r="E87" s="10" t="s">
        <v>312</v>
      </c>
      <c r="F87" s="10">
        <v>2</v>
      </c>
      <c r="G87" s="10">
        <v>0</v>
      </c>
      <c r="H87" s="10">
        <v>0</v>
      </c>
      <c r="I87" s="15">
        <v>46047</v>
      </c>
      <c r="J87" s="15">
        <v>46095</v>
      </c>
      <c r="K87" s="10">
        <v>48</v>
      </c>
      <c r="L87" s="15">
        <v>45710</v>
      </c>
      <c r="M87" s="10" t="s">
        <v>313</v>
      </c>
      <c r="N87" s="10">
        <v>13526.65</v>
      </c>
      <c r="O87" s="16" t="s">
        <v>314</v>
      </c>
      <c r="P87" s="8"/>
      <c r="Q87" s="9"/>
      <c r="R87" s="10"/>
      <c r="S87" s="10"/>
      <c r="T87" s="10"/>
      <c r="U87" s="11" t="str">
        <f t="shared" si="0"/>
        <v>AIRBNB</v>
      </c>
      <c r="V87" s="12" t="str">
        <f t="shared" si="1"/>
        <v>Same day check in 3 houses</v>
      </c>
      <c r="W87" s="12" t="str">
        <f t="shared" si="2"/>
        <v>46047Winfield</v>
      </c>
      <c r="X87" s="12" t="str">
        <f t="shared" si="3"/>
        <v>46095Winfield</v>
      </c>
      <c r="Y87" s="13">
        <f t="shared" si="4"/>
        <v>0</v>
      </c>
      <c r="Z87" s="14" t="str">
        <f t="shared" si="5"/>
        <v/>
      </c>
      <c r="AB87" s="15"/>
      <c r="AC87" s="15"/>
    </row>
    <row r="88" spans="2:29" ht="14.25" customHeight="1">
      <c r="B88" s="14" t="s">
        <v>315</v>
      </c>
      <c r="C88" s="14" t="s">
        <v>50</v>
      </c>
      <c r="D88" s="14" t="s">
        <v>316</v>
      </c>
      <c r="E88" s="10" t="s">
        <v>317</v>
      </c>
      <c r="F88" s="10">
        <v>2</v>
      </c>
      <c r="G88" s="10">
        <v>0</v>
      </c>
      <c r="H88" s="10">
        <v>0</v>
      </c>
      <c r="I88" s="15">
        <v>46053</v>
      </c>
      <c r="J88" s="15">
        <v>46067</v>
      </c>
      <c r="K88" s="10">
        <v>14</v>
      </c>
      <c r="L88" s="15">
        <v>45748</v>
      </c>
      <c r="M88" s="10" t="s">
        <v>318</v>
      </c>
      <c r="N88" s="10">
        <v>2788.17</v>
      </c>
      <c r="O88" s="16" t="s">
        <v>319</v>
      </c>
      <c r="P88" s="8"/>
      <c r="Q88" s="9"/>
      <c r="R88" s="10"/>
      <c r="S88" s="10"/>
      <c r="T88" s="10"/>
      <c r="U88" s="11" t="str">
        <f t="shared" si="0"/>
        <v>AIRBNB</v>
      </c>
      <c r="V88" s="12" t="str">
        <f t="shared" si="1"/>
        <v>Same day check in 2 houses</v>
      </c>
      <c r="W88" s="12" t="str">
        <f t="shared" si="2"/>
        <v>4605380th</v>
      </c>
      <c r="X88" s="12" t="str">
        <f t="shared" si="3"/>
        <v>4606780th</v>
      </c>
      <c r="Y88" s="13">
        <f t="shared" si="4"/>
        <v>0</v>
      </c>
      <c r="Z88" s="14" t="str">
        <f t="shared" si="5"/>
        <v/>
      </c>
      <c r="AB88" s="15"/>
      <c r="AC88" s="15"/>
    </row>
    <row r="89" spans="2:29" ht="14.25" customHeight="1">
      <c r="B89" s="14" t="s">
        <v>320</v>
      </c>
      <c r="C89" s="14" t="s">
        <v>50</v>
      </c>
      <c r="D89" s="14" t="s">
        <v>321</v>
      </c>
      <c r="E89" s="10" t="s">
        <v>322</v>
      </c>
      <c r="F89" s="10">
        <v>4</v>
      </c>
      <c r="G89" s="10">
        <v>0</v>
      </c>
      <c r="H89" s="10">
        <v>0</v>
      </c>
      <c r="I89" s="15">
        <v>46054</v>
      </c>
      <c r="J89" s="15">
        <v>46081</v>
      </c>
      <c r="K89" s="10">
        <v>27</v>
      </c>
      <c r="L89" s="15">
        <v>45736</v>
      </c>
      <c r="M89" s="10" t="s">
        <v>68</v>
      </c>
      <c r="N89" s="10">
        <v>5984.03</v>
      </c>
      <c r="O89" s="16" t="s">
        <v>69</v>
      </c>
      <c r="P89" s="8"/>
      <c r="Q89" s="9"/>
      <c r="R89" s="10"/>
      <c r="S89" s="10"/>
      <c r="T89" s="10"/>
      <c r="U89" s="11" t="str">
        <f t="shared" si="0"/>
        <v>AIRBNB</v>
      </c>
      <c r="V89" s="12" t="str">
        <f t="shared" si="1"/>
        <v>Same day check in 1 houses</v>
      </c>
      <c r="W89" s="12" t="str">
        <f t="shared" si="2"/>
        <v>4605464th Street</v>
      </c>
      <c r="X89" s="12" t="str">
        <f t="shared" si="3"/>
        <v>4608164th Street</v>
      </c>
      <c r="Y89" s="13">
        <f t="shared" si="4"/>
        <v>0</v>
      </c>
      <c r="Z89" s="14" t="str">
        <f t="shared" si="5"/>
        <v/>
      </c>
      <c r="AB89" s="15"/>
      <c r="AC89" s="15"/>
    </row>
    <row r="90" spans="2:29" ht="14.25" customHeight="1">
      <c r="B90" s="14" t="s">
        <v>323</v>
      </c>
      <c r="C90" s="14" t="s">
        <v>50</v>
      </c>
      <c r="D90" s="14" t="s">
        <v>324</v>
      </c>
      <c r="E90" s="10" t="s">
        <v>325</v>
      </c>
      <c r="F90" s="10">
        <v>2</v>
      </c>
      <c r="G90" s="10">
        <v>0</v>
      </c>
      <c r="H90" s="10">
        <v>0</v>
      </c>
      <c r="I90" s="15">
        <v>46054</v>
      </c>
      <c r="J90" s="15">
        <v>46085</v>
      </c>
      <c r="K90" s="8">
        <v>31</v>
      </c>
      <c r="L90" s="15">
        <v>45800</v>
      </c>
      <c r="M90" s="10" t="s">
        <v>326</v>
      </c>
      <c r="N90" s="10">
        <v>3422.89</v>
      </c>
      <c r="O90" s="16" t="s">
        <v>327</v>
      </c>
      <c r="P90" s="8"/>
      <c r="Q90" s="9"/>
      <c r="R90" s="10"/>
      <c r="S90" s="10"/>
      <c r="T90" s="10"/>
      <c r="U90" s="11" t="str">
        <f t="shared" si="0"/>
        <v>AIRBNB</v>
      </c>
      <c r="V90" s="12">
        <f t="shared" si="1"/>
        <v>0</v>
      </c>
      <c r="W90" s="12" t="str">
        <f t="shared" si="2"/>
        <v>460544801 49th</v>
      </c>
      <c r="X90" s="12" t="str">
        <f t="shared" si="3"/>
        <v>460854801 49th</v>
      </c>
      <c r="Y90" s="13">
        <f t="shared" si="4"/>
        <v>0</v>
      </c>
      <c r="Z90" s="14" t="str">
        <f t="shared" si="5"/>
        <v/>
      </c>
      <c r="AB90" s="15"/>
      <c r="AC90" s="15"/>
    </row>
    <row r="91" spans="2:29" ht="14.25" customHeight="1">
      <c r="B91" s="14" t="s">
        <v>328</v>
      </c>
      <c r="C91" s="14" t="s">
        <v>10</v>
      </c>
      <c r="D91" s="14" t="s">
        <v>329</v>
      </c>
      <c r="E91" s="10"/>
      <c r="F91" s="10"/>
      <c r="G91" s="10"/>
      <c r="H91" s="10"/>
      <c r="I91" s="15">
        <v>46057</v>
      </c>
      <c r="J91" s="15">
        <v>46064</v>
      </c>
      <c r="K91" s="10"/>
      <c r="L91" s="15">
        <v>45765</v>
      </c>
      <c r="M91" s="10"/>
      <c r="N91" s="10"/>
      <c r="O91" s="16" t="s">
        <v>22</v>
      </c>
      <c r="P91" s="8"/>
      <c r="Q91" s="9"/>
      <c r="R91" s="10"/>
      <c r="S91" s="10"/>
      <c r="T91" s="10"/>
      <c r="U91" s="11" t="str">
        <f t="shared" si="0"/>
        <v>VRBO</v>
      </c>
      <c r="V91" s="12">
        <f t="shared" si="1"/>
        <v>0</v>
      </c>
      <c r="W91" s="12" t="str">
        <f t="shared" si="2"/>
        <v>4605765th Terr</v>
      </c>
      <c r="X91" s="12" t="str">
        <f t="shared" si="3"/>
        <v>4606465th Terr</v>
      </c>
      <c r="Y91" s="13">
        <f t="shared" si="4"/>
        <v>0</v>
      </c>
      <c r="Z91" s="14" t="str">
        <f t="shared" si="5"/>
        <v/>
      </c>
      <c r="AB91" s="15"/>
      <c r="AC91" s="15"/>
    </row>
    <row r="92" spans="2:29" ht="14.25" customHeight="1">
      <c r="B92" s="14" t="s">
        <v>330</v>
      </c>
      <c r="C92" s="14" t="s">
        <v>50</v>
      </c>
      <c r="D92" s="14" t="s">
        <v>331</v>
      </c>
      <c r="E92" s="10" t="s">
        <v>332</v>
      </c>
      <c r="F92" s="10">
        <v>2</v>
      </c>
      <c r="G92" s="10">
        <v>0</v>
      </c>
      <c r="H92" s="10">
        <v>0</v>
      </c>
      <c r="I92" s="15">
        <v>46058</v>
      </c>
      <c r="J92" s="15">
        <v>46065</v>
      </c>
      <c r="K92" s="10">
        <v>7</v>
      </c>
      <c r="L92" s="15">
        <v>45877</v>
      </c>
      <c r="M92" s="10" t="s">
        <v>78</v>
      </c>
      <c r="N92" s="10">
        <v>2932.94</v>
      </c>
      <c r="O92" s="16" t="s">
        <v>79</v>
      </c>
      <c r="P92" s="8"/>
      <c r="Q92" s="9"/>
      <c r="R92" s="10"/>
      <c r="S92" s="10"/>
      <c r="T92" s="10"/>
      <c r="U92" s="11" t="str">
        <f t="shared" si="0"/>
        <v>AIRBNB</v>
      </c>
      <c r="V92" s="12" t="str">
        <f t="shared" si="1"/>
        <v>Same day check in 1 houses</v>
      </c>
      <c r="W92" s="12" t="str">
        <f t="shared" si="2"/>
        <v>4605811523 48th</v>
      </c>
      <c r="X92" s="12" t="str">
        <f t="shared" si="3"/>
        <v>4606511523 48th</v>
      </c>
      <c r="Y92" s="13" t="str">
        <f t="shared" si="4"/>
        <v>Check in, check out on the same day of stay 11523 48th</v>
      </c>
      <c r="Z92" s="14" t="str">
        <f t="shared" si="5"/>
        <v/>
      </c>
      <c r="AB92" s="15"/>
      <c r="AC92" s="15"/>
    </row>
    <row r="93" spans="2:29" ht="14.25" customHeight="1">
      <c r="B93" s="14" t="s">
        <v>333</v>
      </c>
      <c r="C93" s="14" t="s">
        <v>50</v>
      </c>
      <c r="D93" s="14" t="s">
        <v>334</v>
      </c>
      <c r="E93" s="10" t="s">
        <v>335</v>
      </c>
      <c r="F93" s="10">
        <v>6</v>
      </c>
      <c r="G93" s="10">
        <v>2</v>
      </c>
      <c r="H93" s="10">
        <v>0</v>
      </c>
      <c r="I93" s="15">
        <v>46061</v>
      </c>
      <c r="J93" s="15">
        <v>46068</v>
      </c>
      <c r="K93" s="10">
        <v>7</v>
      </c>
      <c r="L93" s="15">
        <v>45746</v>
      </c>
      <c r="M93" s="10" t="s">
        <v>85</v>
      </c>
      <c r="N93" s="10">
        <v>2191.52</v>
      </c>
      <c r="O93" s="16" t="s">
        <v>86</v>
      </c>
      <c r="P93" s="8"/>
      <c r="Q93" s="9"/>
      <c r="R93" s="10"/>
      <c r="S93" s="10"/>
      <c r="T93" s="10"/>
      <c r="U93" s="11" t="str">
        <f t="shared" si="0"/>
        <v>AIRBNB</v>
      </c>
      <c r="V93" s="12">
        <f t="shared" si="1"/>
        <v>0</v>
      </c>
      <c r="W93" s="12" t="str">
        <f t="shared" si="2"/>
        <v>46061Lake Valencia</v>
      </c>
      <c r="X93" s="12" t="str">
        <f t="shared" si="3"/>
        <v>46068Lake Valencia</v>
      </c>
      <c r="Y93" s="13">
        <f t="shared" si="4"/>
        <v>0</v>
      </c>
      <c r="Z93" s="14" t="str">
        <f t="shared" si="5"/>
        <v/>
      </c>
      <c r="AB93" s="15"/>
      <c r="AC93" s="15"/>
    </row>
    <row r="94" spans="2:29" ht="14.25" customHeight="1">
      <c r="B94" s="14" t="s">
        <v>336</v>
      </c>
      <c r="C94" s="14" t="s">
        <v>10</v>
      </c>
      <c r="D94" s="14" t="s">
        <v>337</v>
      </c>
      <c r="E94" s="10"/>
      <c r="F94" s="10"/>
      <c r="G94" s="10"/>
      <c r="H94" s="10"/>
      <c r="I94" s="15">
        <v>46061</v>
      </c>
      <c r="J94" s="15">
        <v>46081</v>
      </c>
      <c r="K94" s="10"/>
      <c r="L94" s="15">
        <v>45848</v>
      </c>
      <c r="M94" s="10"/>
      <c r="N94" s="10"/>
      <c r="O94" s="16" t="s">
        <v>246</v>
      </c>
      <c r="P94" s="8"/>
      <c r="Q94" s="9"/>
      <c r="R94" s="10"/>
      <c r="S94" s="10"/>
      <c r="T94" s="10"/>
      <c r="U94" s="11" t="str">
        <f t="shared" si="0"/>
        <v>VRBO</v>
      </c>
      <c r="V94" s="12" t="str">
        <f t="shared" si="1"/>
        <v>Same day check in 1 houses</v>
      </c>
      <c r="W94" s="12" t="str">
        <f t="shared" si="2"/>
        <v>46061Harbor Hills</v>
      </c>
      <c r="X94" s="12" t="str">
        <f t="shared" si="3"/>
        <v>46081Harbor Hills</v>
      </c>
      <c r="Y94" s="13">
        <f t="shared" si="4"/>
        <v>0</v>
      </c>
      <c r="Z94" s="14" t="str">
        <f t="shared" si="5"/>
        <v/>
      </c>
      <c r="AB94" s="15"/>
      <c r="AC94" s="15"/>
    </row>
    <row r="95" spans="2:29" ht="14.25" customHeight="1">
      <c r="B95" s="14" t="s">
        <v>338</v>
      </c>
      <c r="C95" s="14" t="s">
        <v>50</v>
      </c>
      <c r="D95" s="14" t="s">
        <v>339</v>
      </c>
      <c r="E95" s="10" t="s">
        <v>340</v>
      </c>
      <c r="F95" s="10">
        <v>1</v>
      </c>
      <c r="G95" s="10">
        <v>0</v>
      </c>
      <c r="H95" s="10">
        <v>0</v>
      </c>
      <c r="I95" s="15">
        <v>46065</v>
      </c>
      <c r="J95" s="15">
        <v>46069</v>
      </c>
      <c r="K95" s="8">
        <v>4</v>
      </c>
      <c r="L95" s="15">
        <v>45823</v>
      </c>
      <c r="M95" s="10" t="s">
        <v>78</v>
      </c>
      <c r="N95" s="10">
        <v>1945.82</v>
      </c>
      <c r="O95" s="16" t="s">
        <v>79</v>
      </c>
      <c r="P95" s="8"/>
      <c r="Q95" s="9"/>
      <c r="R95" s="10"/>
      <c r="S95" s="10"/>
      <c r="T95" s="10"/>
      <c r="U95" s="11" t="str">
        <f t="shared" si="0"/>
        <v>AIRBNB</v>
      </c>
      <c r="V95" s="12" t="str">
        <f t="shared" si="1"/>
        <v>Same day check in 1 houses</v>
      </c>
      <c r="W95" s="12" t="str">
        <f t="shared" si="2"/>
        <v>4606511523 48th</v>
      </c>
      <c r="X95" s="12" t="str">
        <f t="shared" si="3"/>
        <v>4606911523 48th</v>
      </c>
      <c r="Y95" s="13">
        <f t="shared" si="4"/>
        <v>0</v>
      </c>
      <c r="Z95" s="14" t="str">
        <f t="shared" si="5"/>
        <v/>
      </c>
      <c r="AB95" s="15"/>
      <c r="AC95" s="15"/>
    </row>
    <row r="96" spans="2:29" ht="14.25" customHeight="1">
      <c r="B96" s="14" t="s">
        <v>341</v>
      </c>
      <c r="C96" s="14" t="s">
        <v>50</v>
      </c>
      <c r="D96" s="14" t="s">
        <v>342</v>
      </c>
      <c r="E96" s="10" t="s">
        <v>343</v>
      </c>
      <c r="F96" s="10">
        <v>2</v>
      </c>
      <c r="G96" s="10">
        <v>0</v>
      </c>
      <c r="H96" s="10">
        <v>0</v>
      </c>
      <c r="I96" s="15">
        <v>46066</v>
      </c>
      <c r="J96" s="15">
        <v>46095</v>
      </c>
      <c r="K96" s="8">
        <v>29</v>
      </c>
      <c r="L96" s="15">
        <v>45744</v>
      </c>
      <c r="M96" s="10" t="s">
        <v>32</v>
      </c>
      <c r="N96" s="10">
        <v>2978.29</v>
      </c>
      <c r="O96" s="16" t="s">
        <v>33</v>
      </c>
      <c r="P96" s="8"/>
      <c r="Q96" s="9"/>
      <c r="R96" s="10"/>
      <c r="S96" s="10"/>
      <c r="T96" s="10"/>
      <c r="U96" s="11" t="str">
        <f t="shared" si="0"/>
        <v>AIRBNB</v>
      </c>
      <c r="V96" s="12" t="str">
        <f t="shared" si="1"/>
        <v>Same day check in 3 houses</v>
      </c>
      <c r="W96" s="12" t="str">
        <f t="shared" si="2"/>
        <v>460664877 49th Ave N</v>
      </c>
      <c r="X96" s="12" t="str">
        <f t="shared" si="3"/>
        <v>460954877 49th Ave N</v>
      </c>
      <c r="Y96" s="13">
        <f t="shared" si="4"/>
        <v>0</v>
      </c>
      <c r="Z96" s="14" t="str">
        <f t="shared" si="5"/>
        <v/>
      </c>
      <c r="AB96" s="15"/>
      <c r="AC96" s="15"/>
    </row>
    <row r="97" spans="2:29" ht="14.25" customHeight="1">
      <c r="B97" s="14" t="s">
        <v>344</v>
      </c>
      <c r="C97" s="14" t="s">
        <v>50</v>
      </c>
      <c r="D97" s="14" t="s">
        <v>345</v>
      </c>
      <c r="E97" s="10" t="s">
        <v>346</v>
      </c>
      <c r="F97" s="10">
        <v>6</v>
      </c>
      <c r="G97" s="10">
        <v>4</v>
      </c>
      <c r="H97" s="10">
        <v>0</v>
      </c>
      <c r="I97" s="15">
        <v>46067</v>
      </c>
      <c r="J97" s="15">
        <v>46074</v>
      </c>
      <c r="K97" s="10">
        <v>7</v>
      </c>
      <c r="L97" s="15">
        <v>45870</v>
      </c>
      <c r="M97" s="10" t="s">
        <v>63</v>
      </c>
      <c r="N97" s="10">
        <v>1881.8</v>
      </c>
      <c r="O97" s="16" t="s">
        <v>64</v>
      </c>
      <c r="P97" s="8"/>
      <c r="Q97" s="9"/>
      <c r="R97" s="10"/>
      <c r="S97" s="10"/>
      <c r="T97" s="10"/>
      <c r="U97" s="11" t="str">
        <f t="shared" si="0"/>
        <v>AIRBNB</v>
      </c>
      <c r="V97" s="12" t="str">
        <f t="shared" si="1"/>
        <v>Same day check in 1 houses</v>
      </c>
      <c r="W97" s="12" t="str">
        <f t="shared" si="2"/>
        <v>46067106th Ave</v>
      </c>
      <c r="X97" s="12" t="str">
        <f t="shared" si="3"/>
        <v>46074106th Ave</v>
      </c>
      <c r="Y97" s="13">
        <f t="shared" si="4"/>
        <v>0</v>
      </c>
      <c r="Z97" s="14" t="str">
        <f t="shared" si="5"/>
        <v/>
      </c>
      <c r="AB97" s="15"/>
      <c r="AC97" s="15"/>
    </row>
    <row r="98" spans="2:29" ht="14.25" customHeight="1">
      <c r="B98" s="14" t="s">
        <v>347</v>
      </c>
      <c r="C98" s="14" t="s">
        <v>10</v>
      </c>
      <c r="D98" s="14" t="s">
        <v>348</v>
      </c>
      <c r="E98" s="10"/>
      <c r="F98" s="10"/>
      <c r="G98" s="10"/>
      <c r="H98" s="10"/>
      <c r="I98" s="15">
        <v>46067</v>
      </c>
      <c r="J98" s="15">
        <v>46081</v>
      </c>
      <c r="K98" s="10"/>
      <c r="L98" s="15">
        <v>45758</v>
      </c>
      <c r="M98" s="10"/>
      <c r="N98" s="10"/>
      <c r="O98" s="16" t="s">
        <v>205</v>
      </c>
      <c r="P98" s="8"/>
      <c r="Q98" s="9"/>
      <c r="R98" s="10"/>
      <c r="S98" s="10"/>
      <c r="T98" s="10"/>
      <c r="U98" s="11" t="str">
        <f t="shared" si="0"/>
        <v>VRBO</v>
      </c>
      <c r="V98" s="12" t="str">
        <f t="shared" si="1"/>
        <v>Same day check in 1 houses</v>
      </c>
      <c r="W98" s="12" t="str">
        <f t="shared" si="2"/>
        <v>4606760th St</v>
      </c>
      <c r="X98" s="12" t="str">
        <f t="shared" si="3"/>
        <v>4608160th St</v>
      </c>
      <c r="Y98" s="13">
        <f t="shared" si="4"/>
        <v>0</v>
      </c>
      <c r="Z98" s="14" t="str">
        <f t="shared" si="5"/>
        <v/>
      </c>
      <c r="AB98" s="15"/>
      <c r="AC98" s="15"/>
    </row>
    <row r="99" spans="2:29" ht="14.25" customHeight="1">
      <c r="B99" s="14" t="s">
        <v>349</v>
      </c>
      <c r="C99" s="14" t="s">
        <v>50</v>
      </c>
      <c r="D99" s="14" t="s">
        <v>350</v>
      </c>
      <c r="E99" s="10" t="s">
        <v>351</v>
      </c>
      <c r="F99" s="10">
        <v>7</v>
      </c>
      <c r="G99" s="10">
        <v>0</v>
      </c>
      <c r="H99" s="10">
        <v>0</v>
      </c>
      <c r="I99" s="15">
        <v>46069</v>
      </c>
      <c r="J99" s="15">
        <v>46073</v>
      </c>
      <c r="K99" s="10">
        <v>4</v>
      </c>
      <c r="L99" s="15">
        <v>45816</v>
      </c>
      <c r="M99" s="10" t="s">
        <v>73</v>
      </c>
      <c r="N99" s="10">
        <v>2268.83</v>
      </c>
      <c r="O99" s="16" t="s">
        <v>74</v>
      </c>
      <c r="P99" s="8"/>
      <c r="Q99" s="9"/>
      <c r="R99" s="10"/>
      <c r="S99" s="10"/>
      <c r="T99" s="10"/>
      <c r="U99" s="11" t="str">
        <f t="shared" si="0"/>
        <v>AIRBNB</v>
      </c>
      <c r="V99" s="12" t="str">
        <f t="shared" si="1"/>
        <v>Same day check in 2 houses</v>
      </c>
      <c r="W99" s="12" t="str">
        <f t="shared" si="2"/>
        <v>46069Sunrise</v>
      </c>
      <c r="X99" s="12" t="str">
        <f t="shared" si="3"/>
        <v>46073Sunrise</v>
      </c>
      <c r="Y99" s="13">
        <f t="shared" si="4"/>
        <v>0</v>
      </c>
      <c r="Z99" s="14" t="str">
        <f t="shared" si="5"/>
        <v/>
      </c>
      <c r="AB99" s="15"/>
      <c r="AC99" s="15"/>
    </row>
    <row r="100" spans="2:29" ht="14.25" customHeight="1">
      <c r="B100" s="5" t="s">
        <v>20</v>
      </c>
      <c r="C100" s="5" t="s">
        <v>10</v>
      </c>
      <c r="D100" s="5" t="s">
        <v>352</v>
      </c>
      <c r="E100" s="10"/>
      <c r="F100" s="10"/>
      <c r="G100" s="10"/>
      <c r="H100" s="10"/>
      <c r="I100" s="6">
        <v>46070</v>
      </c>
      <c r="J100" s="6">
        <v>46114</v>
      </c>
      <c r="K100" s="10">
        <v>44</v>
      </c>
      <c r="L100" s="6"/>
      <c r="M100" s="10"/>
      <c r="N100" s="10">
        <v>7240</v>
      </c>
      <c r="O100" s="7" t="s">
        <v>319</v>
      </c>
      <c r="P100" s="8"/>
      <c r="Q100" s="9"/>
      <c r="R100" s="10"/>
      <c r="S100" s="10"/>
      <c r="T100" s="10"/>
      <c r="U100" s="11" t="str">
        <f t="shared" si="0"/>
        <v>Directly</v>
      </c>
      <c r="V100" s="12" t="str">
        <f t="shared" si="1"/>
        <v>Same day check in 1 houses</v>
      </c>
      <c r="W100" s="12" t="str">
        <f t="shared" si="2"/>
        <v>4607080th</v>
      </c>
      <c r="X100" s="12" t="str">
        <f t="shared" si="3"/>
        <v>4611480th</v>
      </c>
      <c r="Y100" s="13">
        <f t="shared" si="4"/>
        <v>0</v>
      </c>
      <c r="Z100" s="14" t="str">
        <f t="shared" si="5"/>
        <v/>
      </c>
      <c r="AB100" s="15"/>
      <c r="AC100" s="15"/>
    </row>
    <row r="101" spans="2:29" ht="14.25" customHeight="1">
      <c r="B101" s="14" t="s">
        <v>353</v>
      </c>
      <c r="C101" s="14" t="s">
        <v>50</v>
      </c>
      <c r="D101" s="14" t="s">
        <v>354</v>
      </c>
      <c r="E101" s="10" t="s">
        <v>355</v>
      </c>
      <c r="F101" s="10">
        <v>1</v>
      </c>
      <c r="G101" s="10">
        <v>0</v>
      </c>
      <c r="H101" s="10">
        <v>0</v>
      </c>
      <c r="I101" s="15">
        <v>46072</v>
      </c>
      <c r="J101" s="15">
        <v>46075</v>
      </c>
      <c r="K101" s="10">
        <v>3</v>
      </c>
      <c r="L101" s="15">
        <v>45847</v>
      </c>
      <c r="M101" s="10" t="s">
        <v>85</v>
      </c>
      <c r="N101" s="10">
        <v>1201.83</v>
      </c>
      <c r="O101" s="16" t="s">
        <v>86</v>
      </c>
      <c r="P101" s="8"/>
      <c r="Q101" s="9"/>
      <c r="R101" s="10"/>
      <c r="S101" s="10"/>
      <c r="T101" s="10"/>
      <c r="U101" s="11" t="str">
        <f t="shared" si="0"/>
        <v>AIRBNB</v>
      </c>
      <c r="V101" s="12" t="str">
        <f t="shared" si="1"/>
        <v>Same day check in 1 houses</v>
      </c>
      <c r="W101" s="12" t="str">
        <f t="shared" si="2"/>
        <v>46072Lake Valencia</v>
      </c>
      <c r="X101" s="12" t="str">
        <f t="shared" si="3"/>
        <v>46075Lake Valencia</v>
      </c>
      <c r="Y101" s="13">
        <f t="shared" si="4"/>
        <v>0</v>
      </c>
      <c r="Z101" s="14" t="str">
        <f t="shared" si="5"/>
        <v/>
      </c>
      <c r="AB101" s="15"/>
      <c r="AC101" s="15"/>
    </row>
    <row r="102" spans="2:29" ht="14.25" customHeight="1">
      <c r="B102" s="14" t="s">
        <v>356</v>
      </c>
      <c r="C102" s="14" t="s">
        <v>50</v>
      </c>
      <c r="D102" s="14" t="s">
        <v>357</v>
      </c>
      <c r="E102" s="10" t="s">
        <v>358</v>
      </c>
      <c r="F102" s="10">
        <v>1</v>
      </c>
      <c r="G102" s="10">
        <v>0</v>
      </c>
      <c r="H102" s="10">
        <v>0</v>
      </c>
      <c r="I102" s="15">
        <v>46072</v>
      </c>
      <c r="J102" s="15">
        <v>46076</v>
      </c>
      <c r="K102" s="10">
        <v>4</v>
      </c>
      <c r="L102" s="15">
        <v>45874</v>
      </c>
      <c r="M102" s="10" t="s">
        <v>140</v>
      </c>
      <c r="N102" s="10">
        <v>2357.1</v>
      </c>
      <c r="O102" s="16" t="s">
        <v>81</v>
      </c>
      <c r="P102" s="8"/>
      <c r="Q102" s="9"/>
      <c r="R102" s="10"/>
      <c r="S102" s="10"/>
      <c r="T102" s="10"/>
      <c r="U102" s="11" t="str">
        <f t="shared" si="0"/>
        <v>AIRBNB</v>
      </c>
      <c r="V102" s="12">
        <f t="shared" si="1"/>
        <v>0</v>
      </c>
      <c r="W102" s="12" t="str">
        <f t="shared" si="2"/>
        <v>460724801 48th</v>
      </c>
      <c r="X102" s="12" t="str">
        <f t="shared" si="3"/>
        <v>460764801 48th</v>
      </c>
      <c r="Y102" s="13">
        <f t="shared" si="4"/>
        <v>0</v>
      </c>
      <c r="Z102" s="14" t="str">
        <f t="shared" si="5"/>
        <v/>
      </c>
      <c r="AB102" s="15"/>
      <c r="AC102" s="15"/>
    </row>
    <row r="103" spans="2:29" ht="14.25" customHeight="1">
      <c r="B103" s="14" t="s">
        <v>359</v>
      </c>
      <c r="C103" s="14" t="s">
        <v>50</v>
      </c>
      <c r="D103" s="14" t="s">
        <v>360</v>
      </c>
      <c r="E103" s="10" t="s">
        <v>361</v>
      </c>
      <c r="F103" s="10">
        <v>2</v>
      </c>
      <c r="G103" s="10">
        <v>0</v>
      </c>
      <c r="H103" s="10">
        <v>0</v>
      </c>
      <c r="I103" s="15">
        <v>46073</v>
      </c>
      <c r="J103" s="15">
        <v>46081</v>
      </c>
      <c r="K103" s="10">
        <v>8</v>
      </c>
      <c r="L103" s="15">
        <v>45893</v>
      </c>
      <c r="M103" s="10" t="s">
        <v>362</v>
      </c>
      <c r="N103" s="10">
        <v>2015.18</v>
      </c>
      <c r="O103" s="16" t="s">
        <v>363</v>
      </c>
      <c r="P103" s="8"/>
      <c r="Q103" s="9"/>
      <c r="R103" s="10"/>
      <c r="S103" s="10"/>
      <c r="T103" s="10"/>
      <c r="U103" s="11" t="str">
        <f t="shared" si="0"/>
        <v>AIRBNB</v>
      </c>
      <c r="V103" s="12" t="str">
        <f t="shared" si="1"/>
        <v>Same day check in 1 houses</v>
      </c>
      <c r="W103" s="12" t="str">
        <f t="shared" si="2"/>
        <v>46073Flamingo</v>
      </c>
      <c r="X103" s="12" t="str">
        <f t="shared" si="3"/>
        <v>46081Flamingo</v>
      </c>
      <c r="Y103" s="13">
        <f t="shared" si="4"/>
        <v>0</v>
      </c>
      <c r="Z103" s="14" t="str">
        <f t="shared" si="5"/>
        <v/>
      </c>
      <c r="AB103" s="15"/>
      <c r="AC103" s="15"/>
    </row>
    <row r="104" spans="2:29" ht="14.25" customHeight="1">
      <c r="B104" s="14" t="s">
        <v>364</v>
      </c>
      <c r="C104" s="14" t="s">
        <v>50</v>
      </c>
      <c r="D104" s="14" t="s">
        <v>365</v>
      </c>
      <c r="E104" s="10" t="s">
        <v>366</v>
      </c>
      <c r="F104" s="10">
        <v>2</v>
      </c>
      <c r="G104" s="10">
        <v>0</v>
      </c>
      <c r="H104" s="10">
        <v>0</v>
      </c>
      <c r="I104" s="15">
        <v>46073</v>
      </c>
      <c r="J104" s="15">
        <v>46103</v>
      </c>
      <c r="K104" s="10">
        <v>30</v>
      </c>
      <c r="L104" s="15">
        <v>45852</v>
      </c>
      <c r="M104" s="10" t="s">
        <v>367</v>
      </c>
      <c r="N104" s="10">
        <v>7114.95</v>
      </c>
      <c r="O104" s="16" t="s">
        <v>368</v>
      </c>
      <c r="P104" s="8"/>
      <c r="Q104" s="9"/>
      <c r="R104" s="10"/>
      <c r="S104" s="10"/>
      <c r="T104" s="10"/>
      <c r="U104" s="11" t="str">
        <f t="shared" si="0"/>
        <v>AIRBNB</v>
      </c>
      <c r="V104" s="12" t="str">
        <f t="shared" si="1"/>
        <v>Same day check in 1 houses</v>
      </c>
      <c r="W104" s="12" t="str">
        <f t="shared" si="2"/>
        <v>4607378th</v>
      </c>
      <c r="X104" s="12" t="str">
        <f t="shared" si="3"/>
        <v>4610378th</v>
      </c>
      <c r="Y104" s="13">
        <f t="shared" si="4"/>
        <v>0</v>
      </c>
      <c r="Z104" s="14" t="str">
        <f t="shared" si="5"/>
        <v/>
      </c>
      <c r="AB104" s="15"/>
      <c r="AC104" s="15"/>
    </row>
    <row r="105" spans="2:29" ht="14.25" customHeight="1">
      <c r="B105" s="14" t="s">
        <v>369</v>
      </c>
      <c r="C105" s="14" t="s">
        <v>50</v>
      </c>
      <c r="D105" s="14" t="s">
        <v>370</v>
      </c>
      <c r="E105" s="10" t="s">
        <v>371</v>
      </c>
      <c r="F105" s="10">
        <v>6</v>
      </c>
      <c r="G105" s="10">
        <v>0</v>
      </c>
      <c r="H105" s="10">
        <v>0</v>
      </c>
      <c r="I105" s="15">
        <v>46074</v>
      </c>
      <c r="J105" s="15">
        <v>46088</v>
      </c>
      <c r="K105" s="10">
        <v>14</v>
      </c>
      <c r="L105" s="15">
        <v>45866</v>
      </c>
      <c r="M105" s="10" t="s">
        <v>258</v>
      </c>
      <c r="N105" s="10">
        <v>3566.88</v>
      </c>
      <c r="O105" s="16" t="s">
        <v>259</v>
      </c>
      <c r="P105" s="8"/>
      <c r="Q105" s="9"/>
      <c r="R105" s="10"/>
      <c r="S105" s="10"/>
      <c r="T105" s="10"/>
      <c r="U105" s="11" t="str">
        <f t="shared" si="0"/>
        <v>AIRBNB</v>
      </c>
      <c r="V105" s="12" t="str">
        <f t="shared" si="1"/>
        <v>Same day check in 2 houses</v>
      </c>
      <c r="W105" s="12" t="str">
        <f t="shared" si="2"/>
        <v>46074Brookside Dr</v>
      </c>
      <c r="X105" s="12" t="str">
        <f t="shared" si="3"/>
        <v>46088Brookside Dr</v>
      </c>
      <c r="Y105" s="13">
        <f t="shared" si="4"/>
        <v>0</v>
      </c>
      <c r="Z105" s="14" t="str">
        <f t="shared" si="5"/>
        <v/>
      </c>
      <c r="AB105" s="15"/>
      <c r="AC105" s="15"/>
    </row>
    <row r="106" spans="2:29" ht="14.25" customHeight="1">
      <c r="B106" s="14" t="s">
        <v>372</v>
      </c>
      <c r="C106" s="14" t="s">
        <v>10</v>
      </c>
      <c r="D106" s="14" t="s">
        <v>373</v>
      </c>
      <c r="E106" s="10"/>
      <c r="F106" s="10"/>
      <c r="G106" s="10"/>
      <c r="H106" s="10"/>
      <c r="I106" s="15">
        <v>46075</v>
      </c>
      <c r="J106" s="15">
        <v>46089</v>
      </c>
      <c r="K106" s="10"/>
      <c r="L106" s="15">
        <v>45737</v>
      </c>
      <c r="M106" s="10"/>
      <c r="N106" s="10"/>
      <c r="O106" s="16" t="s">
        <v>54</v>
      </c>
      <c r="P106" s="8"/>
      <c r="Q106" s="9"/>
      <c r="R106" s="10"/>
      <c r="S106" s="10"/>
      <c r="T106" s="10"/>
      <c r="U106" s="11" t="str">
        <f t="shared" si="0"/>
        <v>VRBO</v>
      </c>
      <c r="V106" s="12" t="str">
        <f t="shared" si="1"/>
        <v>Same day check in 1 houses</v>
      </c>
      <c r="W106" s="12" t="str">
        <f t="shared" si="2"/>
        <v>46075102nd</v>
      </c>
      <c r="X106" s="12" t="str">
        <f t="shared" si="3"/>
        <v>46089102nd</v>
      </c>
      <c r="Y106" s="13">
        <f t="shared" si="4"/>
        <v>0</v>
      </c>
      <c r="Z106" s="14" t="str">
        <f t="shared" si="5"/>
        <v/>
      </c>
      <c r="AB106" s="15"/>
      <c r="AC106" s="15"/>
    </row>
    <row r="107" spans="2:29" ht="14.25" customHeight="1">
      <c r="B107" s="14" t="s">
        <v>374</v>
      </c>
      <c r="C107" s="14" t="s">
        <v>50</v>
      </c>
      <c r="D107" s="14" t="s">
        <v>375</v>
      </c>
      <c r="E107" s="10" t="s">
        <v>376</v>
      </c>
      <c r="F107" s="10">
        <v>6</v>
      </c>
      <c r="G107" s="10">
        <v>0</v>
      </c>
      <c r="H107" s="10">
        <v>0</v>
      </c>
      <c r="I107" s="15">
        <v>46078</v>
      </c>
      <c r="J107" s="15">
        <v>46082</v>
      </c>
      <c r="K107" s="8">
        <v>4</v>
      </c>
      <c r="L107" s="15">
        <v>45856</v>
      </c>
      <c r="M107" s="10" t="s">
        <v>377</v>
      </c>
      <c r="N107" s="10">
        <v>1309.5</v>
      </c>
      <c r="O107" s="16" t="s">
        <v>176</v>
      </c>
      <c r="P107" s="8"/>
      <c r="Q107" s="9"/>
      <c r="R107" s="10"/>
      <c r="S107" s="10"/>
      <c r="T107" s="10"/>
      <c r="U107" s="11" t="str">
        <f t="shared" si="0"/>
        <v>AIRBNB</v>
      </c>
      <c r="V107" s="12" t="str">
        <f t="shared" si="1"/>
        <v>Same day check in 2 houses</v>
      </c>
      <c r="W107" s="12" t="str">
        <f t="shared" si="2"/>
        <v>460784760 48th Ave</v>
      </c>
      <c r="X107" s="12" t="str">
        <f t="shared" si="3"/>
        <v>460824760 48th Ave</v>
      </c>
      <c r="Y107" s="13">
        <f t="shared" si="4"/>
        <v>0</v>
      </c>
      <c r="Z107" s="14" t="str">
        <f t="shared" si="5"/>
        <v/>
      </c>
      <c r="AB107" s="15"/>
      <c r="AC107" s="15"/>
    </row>
    <row r="108" spans="2:29" ht="14.25" customHeight="1">
      <c r="B108" s="14" t="s">
        <v>378</v>
      </c>
      <c r="C108" s="14" t="s">
        <v>10</v>
      </c>
      <c r="D108" s="14" t="s">
        <v>379</v>
      </c>
      <c r="E108" s="10"/>
      <c r="F108" s="10"/>
      <c r="G108" s="10"/>
      <c r="H108" s="10"/>
      <c r="I108" s="15">
        <v>46079</v>
      </c>
      <c r="J108" s="15">
        <v>46088</v>
      </c>
      <c r="K108" s="10"/>
      <c r="L108" s="15">
        <v>45611</v>
      </c>
      <c r="M108" s="10"/>
      <c r="N108" s="10"/>
      <c r="O108" s="16" t="s">
        <v>22</v>
      </c>
      <c r="P108" s="8"/>
      <c r="Q108" s="9"/>
      <c r="R108" s="10"/>
      <c r="S108" s="10"/>
      <c r="T108" s="10"/>
      <c r="U108" s="11" t="str">
        <f t="shared" si="0"/>
        <v>VRBO</v>
      </c>
      <c r="V108" s="12" t="str">
        <f t="shared" si="1"/>
        <v>Same day check in 2 houses</v>
      </c>
      <c r="W108" s="12" t="str">
        <f t="shared" si="2"/>
        <v>4607965th Terr</v>
      </c>
      <c r="X108" s="12" t="str">
        <f t="shared" si="3"/>
        <v>4608865th Terr</v>
      </c>
      <c r="Y108" s="13">
        <f t="shared" si="4"/>
        <v>0</v>
      </c>
      <c r="Z108" s="14" t="str">
        <f t="shared" si="5"/>
        <v/>
      </c>
      <c r="AB108" s="15"/>
      <c r="AC108" s="15"/>
    </row>
    <row r="109" spans="2:29" ht="14.25" customHeight="1">
      <c r="B109" s="14" t="s">
        <v>380</v>
      </c>
      <c r="C109" s="14" t="s">
        <v>50</v>
      </c>
      <c r="D109" s="14" t="s">
        <v>381</v>
      </c>
      <c r="E109" s="10" t="s">
        <v>382</v>
      </c>
      <c r="F109" s="10">
        <v>9</v>
      </c>
      <c r="G109" s="10">
        <v>0</v>
      </c>
      <c r="H109" s="10">
        <v>0</v>
      </c>
      <c r="I109" s="15">
        <v>46080</v>
      </c>
      <c r="J109" s="15">
        <v>46083</v>
      </c>
      <c r="K109" s="10">
        <v>3</v>
      </c>
      <c r="L109" s="15">
        <v>45882</v>
      </c>
      <c r="M109" s="10" t="s">
        <v>270</v>
      </c>
      <c r="N109" s="10">
        <v>1671.31</v>
      </c>
      <c r="O109" s="16" t="s">
        <v>271</v>
      </c>
      <c r="P109" s="8"/>
      <c r="Q109" s="9"/>
      <c r="R109" s="10"/>
      <c r="S109" s="10"/>
      <c r="T109" s="10"/>
      <c r="U109" s="11" t="str">
        <f t="shared" si="0"/>
        <v>AIRBNB</v>
      </c>
      <c r="V109" s="12">
        <f t="shared" si="1"/>
        <v>0</v>
      </c>
      <c r="W109" s="12" t="str">
        <f t="shared" si="2"/>
        <v>4608052nd Ave</v>
      </c>
      <c r="X109" s="12" t="str">
        <f t="shared" si="3"/>
        <v>4608352nd Ave</v>
      </c>
      <c r="Y109" s="13">
        <f t="shared" si="4"/>
        <v>0</v>
      </c>
      <c r="Z109" s="14" t="str">
        <f t="shared" si="5"/>
        <v/>
      </c>
      <c r="AB109" s="15"/>
      <c r="AC109" s="15"/>
    </row>
    <row r="110" spans="2:29" ht="14.25" customHeight="1">
      <c r="B110" s="14" t="s">
        <v>383</v>
      </c>
      <c r="C110" s="14" t="s">
        <v>10</v>
      </c>
      <c r="D110" s="14" t="s">
        <v>384</v>
      </c>
      <c r="E110" s="10"/>
      <c r="F110" s="10"/>
      <c r="G110" s="10"/>
      <c r="H110" s="10"/>
      <c r="I110" s="15">
        <v>46080</v>
      </c>
      <c r="J110" s="15">
        <v>46083</v>
      </c>
      <c r="K110" s="8"/>
      <c r="L110" s="15">
        <v>45786</v>
      </c>
      <c r="M110" s="10"/>
      <c r="N110" s="10"/>
      <c r="O110" s="16" t="s">
        <v>74</v>
      </c>
      <c r="P110" s="8"/>
      <c r="Q110" s="9"/>
      <c r="R110" s="10"/>
      <c r="S110" s="10"/>
      <c r="T110" s="10"/>
      <c r="U110" s="11" t="str">
        <f t="shared" si="0"/>
        <v>VRBO</v>
      </c>
      <c r="V110" s="12">
        <f t="shared" si="1"/>
        <v>0</v>
      </c>
      <c r="W110" s="12" t="str">
        <f t="shared" si="2"/>
        <v>46080Sunrise</v>
      </c>
      <c r="X110" s="12" t="str">
        <f t="shared" si="3"/>
        <v>46083Sunrise</v>
      </c>
      <c r="Y110" s="13">
        <f t="shared" si="4"/>
        <v>0</v>
      </c>
      <c r="Z110" s="14" t="str">
        <f t="shared" si="5"/>
        <v/>
      </c>
      <c r="AB110" s="15"/>
      <c r="AC110" s="15"/>
    </row>
    <row r="111" spans="2:29" ht="14.25" customHeight="1">
      <c r="B111" s="14" t="s">
        <v>385</v>
      </c>
      <c r="C111" s="14" t="s">
        <v>50</v>
      </c>
      <c r="D111" s="14" t="s">
        <v>386</v>
      </c>
      <c r="E111" s="10" t="s">
        <v>387</v>
      </c>
      <c r="F111" s="10">
        <v>2</v>
      </c>
      <c r="G111" s="10">
        <v>0</v>
      </c>
      <c r="H111" s="10">
        <v>0</v>
      </c>
      <c r="I111" s="15">
        <v>46081</v>
      </c>
      <c r="J111" s="15">
        <v>46095</v>
      </c>
      <c r="K111" s="10">
        <v>14</v>
      </c>
      <c r="L111" s="15">
        <v>45711</v>
      </c>
      <c r="M111" s="10" t="s">
        <v>388</v>
      </c>
      <c r="N111" s="10">
        <v>4746.21</v>
      </c>
      <c r="O111" s="16" t="s">
        <v>389</v>
      </c>
      <c r="P111" s="8"/>
      <c r="Q111" s="9"/>
      <c r="R111" s="10"/>
      <c r="S111" s="10"/>
      <c r="T111" s="10"/>
      <c r="U111" s="11" t="str">
        <f t="shared" si="0"/>
        <v>AIRBNB</v>
      </c>
      <c r="V111" s="12" t="str">
        <f t="shared" si="1"/>
        <v>Same day check in 3 houses</v>
      </c>
      <c r="W111" s="12" t="str">
        <f t="shared" si="2"/>
        <v>46081IRB Back</v>
      </c>
      <c r="X111" s="12" t="str">
        <f t="shared" si="3"/>
        <v>46095IRB Back</v>
      </c>
      <c r="Y111" s="13">
        <f t="shared" si="4"/>
        <v>0</v>
      </c>
      <c r="Z111" s="14" t="str">
        <f t="shared" si="5"/>
        <v/>
      </c>
      <c r="AB111" s="15"/>
      <c r="AC111" s="15"/>
    </row>
    <row r="112" spans="2:29" ht="14.25" customHeight="1">
      <c r="B112" s="14" t="s">
        <v>390</v>
      </c>
      <c r="C112" s="14" t="s">
        <v>50</v>
      </c>
      <c r="D112" s="14" t="s">
        <v>391</v>
      </c>
      <c r="E112" s="10" t="s">
        <v>392</v>
      </c>
      <c r="F112" s="10">
        <v>5</v>
      </c>
      <c r="G112" s="10">
        <v>0</v>
      </c>
      <c r="H112" s="10">
        <v>0</v>
      </c>
      <c r="I112" s="15">
        <v>46082</v>
      </c>
      <c r="J112" s="15">
        <v>46087</v>
      </c>
      <c r="K112" s="10">
        <v>5</v>
      </c>
      <c r="L112" s="15">
        <v>45814</v>
      </c>
      <c r="M112" s="10" t="s">
        <v>85</v>
      </c>
      <c r="N112" s="10">
        <v>1758.61</v>
      </c>
      <c r="O112" s="16" t="s">
        <v>86</v>
      </c>
      <c r="P112" s="8"/>
      <c r="Q112" s="9"/>
      <c r="R112" s="10"/>
      <c r="S112" s="10"/>
      <c r="T112" s="10"/>
      <c r="U112" s="11" t="str">
        <f t="shared" si="0"/>
        <v>AIRBNB</v>
      </c>
      <c r="V112" s="12" t="str">
        <f t="shared" si="1"/>
        <v>Same day check in 2 houses</v>
      </c>
      <c r="W112" s="12" t="str">
        <f t="shared" si="2"/>
        <v>46082Lake Valencia</v>
      </c>
      <c r="X112" s="12" t="str">
        <f t="shared" si="3"/>
        <v>46087Lake Valencia</v>
      </c>
      <c r="Y112" s="13" t="str">
        <f t="shared" si="4"/>
        <v>Check in, check out on the same day of stay Lake Valencia</v>
      </c>
      <c r="Z112" s="14" t="str">
        <f t="shared" si="5"/>
        <v/>
      </c>
      <c r="AB112" s="15"/>
      <c r="AC112" s="15"/>
    </row>
    <row r="113" spans="2:29" ht="14.25" customHeight="1">
      <c r="B113" s="14" t="s">
        <v>393</v>
      </c>
      <c r="C113" s="14" t="s">
        <v>50</v>
      </c>
      <c r="D113" s="14" t="s">
        <v>394</v>
      </c>
      <c r="E113" s="10" t="s">
        <v>395</v>
      </c>
      <c r="F113" s="10">
        <v>2</v>
      </c>
      <c r="G113" s="10">
        <v>0</v>
      </c>
      <c r="H113" s="10">
        <v>0</v>
      </c>
      <c r="I113" s="15">
        <v>46082</v>
      </c>
      <c r="J113" s="15">
        <v>46110</v>
      </c>
      <c r="K113" s="10">
        <v>28</v>
      </c>
      <c r="L113" s="15">
        <v>45747</v>
      </c>
      <c r="M113" s="10" t="s">
        <v>78</v>
      </c>
      <c r="N113" s="10">
        <v>10854.3</v>
      </c>
      <c r="O113" s="16" t="s">
        <v>79</v>
      </c>
      <c r="P113" s="8"/>
      <c r="Q113" s="9"/>
      <c r="R113" s="10"/>
      <c r="S113" s="10"/>
      <c r="T113" s="10"/>
      <c r="U113" s="11" t="str">
        <f t="shared" si="0"/>
        <v>AIRBNB</v>
      </c>
      <c r="V113" s="12" t="str">
        <f t="shared" si="1"/>
        <v>Same day check in 1 houses</v>
      </c>
      <c r="W113" s="12" t="str">
        <f t="shared" si="2"/>
        <v>4608211523 48th</v>
      </c>
      <c r="X113" s="12" t="str">
        <f t="shared" si="3"/>
        <v>4611011523 48th</v>
      </c>
      <c r="Y113" s="13" t="str">
        <f t="shared" si="4"/>
        <v>Check in, check out on the same day of stay 11523 48th</v>
      </c>
      <c r="Z113" s="14" t="str">
        <f t="shared" si="5"/>
        <v/>
      </c>
      <c r="AB113" s="15"/>
      <c r="AC113" s="15"/>
    </row>
    <row r="114" spans="2:29" ht="14.25" customHeight="1">
      <c r="B114" s="14" t="s">
        <v>396</v>
      </c>
      <c r="C114" s="14" t="s">
        <v>50</v>
      </c>
      <c r="D114" s="14" t="s">
        <v>397</v>
      </c>
      <c r="E114" s="10" t="s">
        <v>398</v>
      </c>
      <c r="F114" s="10">
        <v>12</v>
      </c>
      <c r="G114" s="10">
        <v>0</v>
      </c>
      <c r="H114" s="10">
        <v>0</v>
      </c>
      <c r="I114" s="15">
        <v>46086</v>
      </c>
      <c r="J114" s="15">
        <v>46089</v>
      </c>
      <c r="K114" s="10">
        <v>3</v>
      </c>
      <c r="L114" s="15">
        <v>45868</v>
      </c>
      <c r="M114" s="10" t="s">
        <v>270</v>
      </c>
      <c r="N114" s="10">
        <v>1668.4</v>
      </c>
      <c r="O114" s="16" t="s">
        <v>271</v>
      </c>
      <c r="P114" s="8"/>
      <c r="Q114" s="9"/>
      <c r="R114" s="10"/>
      <c r="S114" s="10"/>
      <c r="T114" s="10"/>
      <c r="U114" s="11" t="str">
        <f t="shared" si="0"/>
        <v>AIRBNB</v>
      </c>
      <c r="V114" s="12" t="str">
        <f t="shared" si="1"/>
        <v>Same day check in 1 houses</v>
      </c>
      <c r="W114" s="12" t="str">
        <f t="shared" si="2"/>
        <v>4608652nd Ave</v>
      </c>
      <c r="X114" s="12" t="str">
        <f t="shared" si="3"/>
        <v>4608952nd Ave</v>
      </c>
      <c r="Y114" s="13">
        <f t="shared" si="4"/>
        <v>0</v>
      </c>
      <c r="Z114" s="14" t="str">
        <f t="shared" si="5"/>
        <v/>
      </c>
      <c r="AB114" s="15"/>
      <c r="AC114" s="15"/>
    </row>
    <row r="115" spans="2:29" ht="14.25" customHeight="1">
      <c r="B115" s="14" t="s">
        <v>399</v>
      </c>
      <c r="C115" s="14" t="s">
        <v>50</v>
      </c>
      <c r="D115" s="14" t="s">
        <v>400</v>
      </c>
      <c r="E115" s="10" t="s">
        <v>401</v>
      </c>
      <c r="F115" s="10">
        <v>9</v>
      </c>
      <c r="G115" s="10">
        <v>0</v>
      </c>
      <c r="H115" s="10">
        <v>0</v>
      </c>
      <c r="I115" s="15">
        <v>46086</v>
      </c>
      <c r="J115" s="15">
        <v>46089</v>
      </c>
      <c r="K115" s="10">
        <v>3</v>
      </c>
      <c r="L115" s="15">
        <v>45861</v>
      </c>
      <c r="M115" s="10" t="s">
        <v>204</v>
      </c>
      <c r="N115" s="10">
        <v>2231</v>
      </c>
      <c r="O115" s="16" t="s">
        <v>205</v>
      </c>
      <c r="P115" s="8"/>
      <c r="Q115" s="9"/>
      <c r="R115" s="10"/>
      <c r="S115" s="10"/>
      <c r="T115" s="10"/>
      <c r="U115" s="11" t="str">
        <f t="shared" si="0"/>
        <v>AIRBNB</v>
      </c>
      <c r="V115" s="12" t="str">
        <f t="shared" si="1"/>
        <v>Same day check in 1 houses</v>
      </c>
      <c r="W115" s="12" t="str">
        <f t="shared" si="2"/>
        <v>4608660th St</v>
      </c>
      <c r="X115" s="12" t="str">
        <f t="shared" si="3"/>
        <v>4608960th St</v>
      </c>
      <c r="Y115" s="13">
        <f t="shared" si="4"/>
        <v>0</v>
      </c>
      <c r="Z115" s="14" t="str">
        <f t="shared" si="5"/>
        <v/>
      </c>
      <c r="AB115" s="15"/>
      <c r="AC115" s="15"/>
    </row>
    <row r="116" spans="2:29" ht="14.25" customHeight="1">
      <c r="B116" s="14" t="s">
        <v>402</v>
      </c>
      <c r="C116" s="14" t="s">
        <v>50</v>
      </c>
      <c r="D116" s="14" t="s">
        <v>403</v>
      </c>
      <c r="E116" s="10" t="s">
        <v>404</v>
      </c>
      <c r="F116" s="10">
        <v>6</v>
      </c>
      <c r="G116" s="10">
        <v>1</v>
      </c>
      <c r="H116" s="10">
        <v>0</v>
      </c>
      <c r="I116" s="15">
        <v>46086</v>
      </c>
      <c r="J116" s="15">
        <v>46093</v>
      </c>
      <c r="K116" s="10">
        <v>7</v>
      </c>
      <c r="L116" s="15">
        <v>45835</v>
      </c>
      <c r="M116" s="10" t="s">
        <v>63</v>
      </c>
      <c r="N116" s="10">
        <v>1881.8</v>
      </c>
      <c r="O116" s="16" t="s">
        <v>64</v>
      </c>
      <c r="P116" s="8"/>
      <c r="Q116" s="9"/>
      <c r="R116" s="10"/>
      <c r="S116" s="10"/>
      <c r="T116" s="10"/>
      <c r="U116" s="11" t="str">
        <f t="shared" si="0"/>
        <v>AIRBNB</v>
      </c>
      <c r="V116" s="12" t="str">
        <f t="shared" si="1"/>
        <v>Same day check in 4 houses</v>
      </c>
      <c r="W116" s="12" t="str">
        <f t="shared" si="2"/>
        <v>46086106th Ave</v>
      </c>
      <c r="X116" s="12" t="str">
        <f t="shared" si="3"/>
        <v>46093106th Ave</v>
      </c>
      <c r="Y116" s="13">
        <f t="shared" si="4"/>
        <v>0</v>
      </c>
      <c r="Z116" s="14" t="str">
        <f t="shared" si="5"/>
        <v/>
      </c>
      <c r="AB116" s="15"/>
      <c r="AC116" s="15"/>
    </row>
    <row r="117" spans="2:29" ht="14.25" customHeight="1">
      <c r="B117" s="14" t="s">
        <v>405</v>
      </c>
      <c r="C117" s="14" t="s">
        <v>50</v>
      </c>
      <c r="D117" s="14" t="s">
        <v>406</v>
      </c>
      <c r="E117" s="10" t="s">
        <v>407</v>
      </c>
      <c r="F117" s="10">
        <v>5</v>
      </c>
      <c r="G117" s="10">
        <v>0</v>
      </c>
      <c r="H117" s="10">
        <v>0</v>
      </c>
      <c r="I117" s="15">
        <v>46087</v>
      </c>
      <c r="J117" s="15">
        <v>46090</v>
      </c>
      <c r="K117" s="8">
        <v>3</v>
      </c>
      <c r="L117" s="15">
        <v>45886</v>
      </c>
      <c r="M117" s="10" t="s">
        <v>226</v>
      </c>
      <c r="N117" s="10">
        <v>1891.5</v>
      </c>
      <c r="O117" s="16" t="s">
        <v>227</v>
      </c>
      <c r="P117" s="8"/>
      <c r="Q117" s="9"/>
      <c r="R117" s="10"/>
      <c r="S117" s="10"/>
      <c r="T117" s="10"/>
      <c r="U117" s="11" t="str">
        <f t="shared" si="0"/>
        <v>AIRBNB</v>
      </c>
      <c r="V117" s="12">
        <f t="shared" si="1"/>
        <v>0</v>
      </c>
      <c r="W117" s="12" t="str">
        <f t="shared" si="2"/>
        <v>460872137 Sandpiper</v>
      </c>
      <c r="X117" s="12" t="str">
        <f t="shared" si="3"/>
        <v>460902137 Sandpiper</v>
      </c>
      <c r="Y117" s="13">
        <f t="shared" si="4"/>
        <v>0</v>
      </c>
      <c r="Z117" s="14" t="str">
        <f t="shared" si="5"/>
        <v/>
      </c>
      <c r="AB117" s="15"/>
      <c r="AC117" s="15"/>
    </row>
    <row r="118" spans="2:29" ht="14.25" customHeight="1">
      <c r="B118" s="14" t="s">
        <v>408</v>
      </c>
      <c r="C118" s="14" t="s">
        <v>50</v>
      </c>
      <c r="D118" s="14" t="s">
        <v>409</v>
      </c>
      <c r="E118" s="10" t="s">
        <v>410</v>
      </c>
      <c r="F118" s="10">
        <v>4</v>
      </c>
      <c r="G118" s="10">
        <v>0</v>
      </c>
      <c r="H118" s="10">
        <v>0</v>
      </c>
      <c r="I118" s="15">
        <v>46087</v>
      </c>
      <c r="J118" s="15">
        <v>46092</v>
      </c>
      <c r="K118" s="10">
        <v>5</v>
      </c>
      <c r="L118" s="15">
        <v>45736</v>
      </c>
      <c r="M118" s="10" t="s">
        <v>85</v>
      </c>
      <c r="N118" s="10">
        <v>1858.52</v>
      </c>
      <c r="O118" s="16" t="s">
        <v>86</v>
      </c>
      <c r="P118" s="8"/>
      <c r="Q118" s="9"/>
      <c r="R118" s="10"/>
      <c r="S118" s="10"/>
      <c r="T118" s="10"/>
      <c r="U118" s="11" t="str">
        <f t="shared" si="0"/>
        <v>AIRBNB</v>
      </c>
      <c r="V118" s="12" t="str">
        <f t="shared" si="1"/>
        <v>Same day check in 2 houses</v>
      </c>
      <c r="W118" s="12" t="str">
        <f t="shared" si="2"/>
        <v>46087Lake Valencia</v>
      </c>
      <c r="X118" s="12" t="str">
        <f t="shared" si="3"/>
        <v>46092Lake Valencia</v>
      </c>
      <c r="Y118" s="13" t="str">
        <f t="shared" si="4"/>
        <v>Check in, check out on the same day of stay Lake Valencia</v>
      </c>
      <c r="Z118" s="14" t="str">
        <f t="shared" si="5"/>
        <v/>
      </c>
      <c r="AB118" s="15"/>
      <c r="AC118" s="15"/>
    </row>
    <row r="119" spans="2:29" ht="14.25" customHeight="1">
      <c r="B119" s="14" t="s">
        <v>411</v>
      </c>
      <c r="C119" s="14" t="s">
        <v>50</v>
      </c>
      <c r="D119" s="14" t="s">
        <v>412</v>
      </c>
      <c r="E119" s="10" t="s">
        <v>413</v>
      </c>
      <c r="F119" s="10">
        <v>6</v>
      </c>
      <c r="G119" s="10">
        <v>0</v>
      </c>
      <c r="H119" s="10">
        <v>0</v>
      </c>
      <c r="I119" s="15">
        <v>46088</v>
      </c>
      <c r="J119" s="15">
        <v>46095</v>
      </c>
      <c r="K119" s="10">
        <v>7</v>
      </c>
      <c r="L119" s="15">
        <v>45778</v>
      </c>
      <c r="M119" s="10" t="s">
        <v>73</v>
      </c>
      <c r="N119" s="10">
        <v>3471.68</v>
      </c>
      <c r="O119" s="16" t="s">
        <v>74</v>
      </c>
      <c r="P119" s="8"/>
      <c r="Q119" s="9"/>
      <c r="R119" s="10"/>
      <c r="S119" s="10"/>
      <c r="T119" s="10"/>
      <c r="U119" s="11" t="str">
        <f t="shared" si="0"/>
        <v>AIRBNB</v>
      </c>
      <c r="V119" s="12" t="str">
        <f t="shared" si="1"/>
        <v>Same day check in 3 houses</v>
      </c>
      <c r="W119" s="12" t="str">
        <f t="shared" si="2"/>
        <v>46088Sunrise</v>
      </c>
      <c r="X119" s="12" t="str">
        <f t="shared" si="3"/>
        <v>46095Sunrise</v>
      </c>
      <c r="Y119" s="13">
        <f t="shared" si="4"/>
        <v>0</v>
      </c>
      <c r="Z119" s="14" t="str">
        <f t="shared" si="5"/>
        <v/>
      </c>
      <c r="AB119" s="15"/>
      <c r="AC119" s="15"/>
    </row>
    <row r="120" spans="2:29" ht="14.25" customHeight="1">
      <c r="B120" s="14" t="s">
        <v>414</v>
      </c>
      <c r="C120" s="14" t="s">
        <v>50</v>
      </c>
      <c r="D120" s="14" t="s">
        <v>415</v>
      </c>
      <c r="E120" s="10" t="s">
        <v>416</v>
      </c>
      <c r="F120" s="10">
        <v>3</v>
      </c>
      <c r="G120" s="10">
        <v>0</v>
      </c>
      <c r="H120" s="10">
        <v>0</v>
      </c>
      <c r="I120" s="15">
        <v>46088</v>
      </c>
      <c r="J120" s="15">
        <v>46098</v>
      </c>
      <c r="K120" s="10">
        <v>10</v>
      </c>
      <c r="L120" s="15">
        <v>45892</v>
      </c>
      <c r="M120" s="10" t="s">
        <v>377</v>
      </c>
      <c r="N120" s="18">
        <v>2555.9499999999998</v>
      </c>
      <c r="O120" s="16" t="s">
        <v>176</v>
      </c>
      <c r="P120" s="8"/>
      <c r="Q120" s="9"/>
      <c r="R120" s="10"/>
      <c r="S120" s="10"/>
      <c r="T120" s="10"/>
      <c r="U120" s="11" t="str">
        <f t="shared" si="0"/>
        <v>AIRBNB</v>
      </c>
      <c r="V120" s="12">
        <f t="shared" si="1"/>
        <v>0</v>
      </c>
      <c r="W120" s="12" t="str">
        <f t="shared" si="2"/>
        <v>460884760 48th Ave</v>
      </c>
      <c r="X120" s="12" t="str">
        <f t="shared" si="3"/>
        <v>460984760 48th Ave</v>
      </c>
      <c r="Y120" s="13">
        <f t="shared" si="4"/>
        <v>0</v>
      </c>
      <c r="Z120" s="14" t="str">
        <f t="shared" si="5"/>
        <v/>
      </c>
      <c r="AB120" s="15"/>
      <c r="AC120" s="15"/>
    </row>
    <row r="121" spans="2:29" ht="14.25" customHeight="1">
      <c r="B121" s="14" t="s">
        <v>417</v>
      </c>
      <c r="C121" s="14" t="s">
        <v>50</v>
      </c>
      <c r="D121" s="14" t="s">
        <v>418</v>
      </c>
      <c r="E121" s="10" t="s">
        <v>419</v>
      </c>
      <c r="F121" s="10">
        <v>7</v>
      </c>
      <c r="G121" s="10">
        <v>0</v>
      </c>
      <c r="H121" s="10">
        <v>0</v>
      </c>
      <c r="I121" s="15">
        <v>46089</v>
      </c>
      <c r="J121" s="15">
        <v>46096</v>
      </c>
      <c r="K121" s="10">
        <v>7</v>
      </c>
      <c r="L121" s="15">
        <v>45842</v>
      </c>
      <c r="M121" s="10" t="s">
        <v>258</v>
      </c>
      <c r="N121" s="18">
        <v>1897.71</v>
      </c>
      <c r="O121" s="16" t="s">
        <v>259</v>
      </c>
      <c r="P121" s="8"/>
      <c r="Q121" s="9"/>
      <c r="R121" s="10"/>
      <c r="S121" s="10"/>
      <c r="T121" s="10"/>
      <c r="U121" s="11" t="str">
        <f t="shared" si="0"/>
        <v>AIRBNB</v>
      </c>
      <c r="V121" s="12">
        <f t="shared" si="1"/>
        <v>0</v>
      </c>
      <c r="W121" s="12" t="str">
        <f t="shared" si="2"/>
        <v>46089Brookside Dr</v>
      </c>
      <c r="X121" s="12" t="str">
        <f t="shared" si="3"/>
        <v>46096Brookside Dr</v>
      </c>
      <c r="Y121" s="13">
        <f t="shared" si="4"/>
        <v>0</v>
      </c>
      <c r="Z121" s="14" t="str">
        <f t="shared" si="5"/>
        <v/>
      </c>
      <c r="AB121" s="15"/>
      <c r="AC121" s="15"/>
    </row>
    <row r="122" spans="2:29" ht="14.25" customHeight="1">
      <c r="B122" s="14" t="s">
        <v>420</v>
      </c>
      <c r="C122" s="14" t="s">
        <v>50</v>
      </c>
      <c r="D122" s="14" t="s">
        <v>421</v>
      </c>
      <c r="E122" s="10" t="s">
        <v>422</v>
      </c>
      <c r="F122" s="10">
        <v>6</v>
      </c>
      <c r="G122" s="10">
        <v>2</v>
      </c>
      <c r="H122" s="10">
        <v>1</v>
      </c>
      <c r="I122" s="15">
        <v>46092</v>
      </c>
      <c r="J122" s="15">
        <v>46096</v>
      </c>
      <c r="K122" s="10">
        <v>4</v>
      </c>
      <c r="L122" s="15">
        <v>45799</v>
      </c>
      <c r="M122" s="10" t="s">
        <v>85</v>
      </c>
      <c r="N122" s="18">
        <v>1584.98</v>
      </c>
      <c r="O122" s="16" t="s">
        <v>86</v>
      </c>
      <c r="P122" s="8"/>
      <c r="Q122" s="9"/>
      <c r="R122" s="10"/>
      <c r="S122" s="10"/>
      <c r="T122" s="10"/>
      <c r="U122" s="11" t="str">
        <f t="shared" si="0"/>
        <v>AIRBNB</v>
      </c>
      <c r="V122" s="12">
        <f t="shared" si="1"/>
        <v>0</v>
      </c>
      <c r="W122" s="12" t="str">
        <f t="shared" si="2"/>
        <v>46092Lake Valencia</v>
      </c>
      <c r="X122" s="12" t="str">
        <f t="shared" si="3"/>
        <v>46096Lake Valencia</v>
      </c>
      <c r="Y122" s="13">
        <f t="shared" si="4"/>
        <v>0</v>
      </c>
      <c r="Z122" s="14" t="str">
        <f t="shared" si="5"/>
        <v/>
      </c>
      <c r="AB122" s="15"/>
      <c r="AC122" s="15"/>
    </row>
    <row r="123" spans="2:29" ht="14.25" customHeight="1">
      <c r="B123" s="14" t="s">
        <v>423</v>
      </c>
      <c r="C123" s="14" t="s">
        <v>10</v>
      </c>
      <c r="D123" s="14" t="s">
        <v>424</v>
      </c>
      <c r="E123" s="10"/>
      <c r="F123" s="10"/>
      <c r="G123" s="10"/>
      <c r="H123" s="10"/>
      <c r="I123" s="15">
        <v>46092</v>
      </c>
      <c r="J123" s="15">
        <v>46097</v>
      </c>
      <c r="K123" s="10"/>
      <c r="L123" s="15">
        <v>45828</v>
      </c>
      <c r="M123" s="10"/>
      <c r="N123" s="10"/>
      <c r="O123" s="16" t="s">
        <v>205</v>
      </c>
      <c r="P123" s="8"/>
      <c r="Q123" s="9"/>
      <c r="R123" s="10"/>
      <c r="S123" s="10"/>
      <c r="T123" s="10"/>
      <c r="U123" s="11" t="str">
        <f t="shared" si="0"/>
        <v>VRBO</v>
      </c>
      <c r="V123" s="12">
        <f t="shared" si="1"/>
        <v>0</v>
      </c>
      <c r="W123" s="12" t="str">
        <f t="shared" si="2"/>
        <v>4609260th St</v>
      </c>
      <c r="X123" s="12" t="str">
        <f t="shared" si="3"/>
        <v>4609760th St</v>
      </c>
      <c r="Y123" s="13">
        <f t="shared" si="4"/>
        <v>0</v>
      </c>
      <c r="Z123" s="14" t="str">
        <f t="shared" si="5"/>
        <v/>
      </c>
      <c r="AB123" s="15"/>
      <c r="AC123" s="15"/>
    </row>
    <row r="124" spans="2:29" ht="14.25" customHeight="1">
      <c r="B124" s="14" t="s">
        <v>425</v>
      </c>
      <c r="C124" s="14" t="s">
        <v>50</v>
      </c>
      <c r="D124" s="14" t="s">
        <v>426</v>
      </c>
      <c r="E124" s="10" t="s">
        <v>427</v>
      </c>
      <c r="F124" s="10">
        <v>9</v>
      </c>
      <c r="G124" s="10">
        <v>0</v>
      </c>
      <c r="H124" s="10">
        <v>0</v>
      </c>
      <c r="I124" s="15">
        <v>46093</v>
      </c>
      <c r="J124" s="15">
        <v>46096</v>
      </c>
      <c r="K124" s="10">
        <v>3</v>
      </c>
      <c r="L124" s="15">
        <v>45866</v>
      </c>
      <c r="M124" s="10" t="s">
        <v>93</v>
      </c>
      <c r="N124" s="18">
        <v>1091.25</v>
      </c>
      <c r="O124" s="16" t="s">
        <v>94</v>
      </c>
      <c r="P124" s="8"/>
      <c r="Q124" s="9"/>
      <c r="R124" s="10"/>
      <c r="S124" s="10"/>
      <c r="T124" s="10"/>
      <c r="U124" s="11" t="str">
        <f t="shared" si="0"/>
        <v>AIRBNB</v>
      </c>
      <c r="V124" s="12">
        <f t="shared" si="1"/>
        <v>0</v>
      </c>
      <c r="W124" s="12" t="str">
        <f t="shared" si="2"/>
        <v>4609366th Ave</v>
      </c>
      <c r="X124" s="12" t="str">
        <f t="shared" si="3"/>
        <v>4609666th Ave</v>
      </c>
      <c r="Y124" s="13">
        <f t="shared" si="4"/>
        <v>0</v>
      </c>
      <c r="Z124" s="14" t="str">
        <f t="shared" si="5"/>
        <v/>
      </c>
      <c r="AB124" s="15"/>
      <c r="AC124" s="15"/>
    </row>
    <row r="125" spans="2:29" ht="14.25" customHeight="1">
      <c r="B125" s="14" t="s">
        <v>428</v>
      </c>
      <c r="C125" s="14" t="s">
        <v>50</v>
      </c>
      <c r="D125" s="14" t="s">
        <v>429</v>
      </c>
      <c r="E125" s="10" t="s">
        <v>430</v>
      </c>
      <c r="F125" s="10">
        <v>9</v>
      </c>
      <c r="G125" s="10">
        <v>0</v>
      </c>
      <c r="H125" s="10">
        <v>0</v>
      </c>
      <c r="I125" s="15">
        <v>46093</v>
      </c>
      <c r="J125" s="15">
        <v>46096</v>
      </c>
      <c r="K125" s="10">
        <v>3</v>
      </c>
      <c r="L125" s="15">
        <v>45856</v>
      </c>
      <c r="M125" s="10" t="s">
        <v>140</v>
      </c>
      <c r="N125" s="18">
        <v>1876.95</v>
      </c>
      <c r="O125" s="16" t="s">
        <v>81</v>
      </c>
      <c r="P125" s="8"/>
      <c r="Q125" s="9"/>
      <c r="R125" s="10"/>
      <c r="S125" s="10"/>
      <c r="T125" s="10"/>
      <c r="U125" s="11" t="str">
        <f t="shared" si="0"/>
        <v>AIRBNB</v>
      </c>
      <c r="V125" s="12">
        <f t="shared" si="1"/>
        <v>0</v>
      </c>
      <c r="W125" s="12" t="str">
        <f t="shared" si="2"/>
        <v>460934801 48th</v>
      </c>
      <c r="X125" s="12" t="str">
        <f t="shared" si="3"/>
        <v>460964801 48th</v>
      </c>
      <c r="Y125" s="13">
        <f t="shared" si="4"/>
        <v>0</v>
      </c>
      <c r="Z125" s="14" t="str">
        <f t="shared" si="5"/>
        <v/>
      </c>
      <c r="AB125" s="15"/>
      <c r="AC125" s="15"/>
    </row>
    <row r="126" spans="2:29" ht="14.25" customHeight="1">
      <c r="B126" s="14" t="s">
        <v>431</v>
      </c>
      <c r="C126" s="14" t="s">
        <v>50</v>
      </c>
      <c r="D126" s="14" t="s">
        <v>432</v>
      </c>
      <c r="E126" s="10" t="s">
        <v>433</v>
      </c>
      <c r="F126" s="10">
        <v>8</v>
      </c>
      <c r="G126" s="10">
        <v>0</v>
      </c>
      <c r="H126" s="10">
        <v>0</v>
      </c>
      <c r="I126" s="15">
        <v>46093</v>
      </c>
      <c r="J126" s="15">
        <v>46097</v>
      </c>
      <c r="K126" s="10">
        <v>4</v>
      </c>
      <c r="L126" s="15">
        <v>45858</v>
      </c>
      <c r="M126" s="10" t="s">
        <v>270</v>
      </c>
      <c r="N126" s="18">
        <v>2099.08</v>
      </c>
      <c r="O126" s="16" t="s">
        <v>271</v>
      </c>
      <c r="P126" s="8"/>
      <c r="Q126" s="9"/>
      <c r="R126" s="10"/>
      <c r="S126" s="10"/>
      <c r="T126" s="10"/>
      <c r="U126" s="11" t="str">
        <f t="shared" si="0"/>
        <v>AIRBNB</v>
      </c>
      <c r="V126" s="12">
        <f t="shared" si="1"/>
        <v>0</v>
      </c>
      <c r="W126" s="12" t="str">
        <f t="shared" si="2"/>
        <v>4609352nd Ave</v>
      </c>
      <c r="X126" s="12" t="str">
        <f t="shared" si="3"/>
        <v>4609752nd Ave</v>
      </c>
      <c r="Y126" s="13">
        <f t="shared" si="4"/>
        <v>0</v>
      </c>
      <c r="Z126" s="14" t="str">
        <f t="shared" si="5"/>
        <v/>
      </c>
      <c r="AB126" s="15"/>
      <c r="AC126" s="15"/>
    </row>
    <row r="127" spans="2:29" ht="14.25" customHeight="1">
      <c r="B127" s="14" t="s">
        <v>434</v>
      </c>
      <c r="C127" s="14" t="s">
        <v>50</v>
      </c>
      <c r="D127" s="14" t="s">
        <v>435</v>
      </c>
      <c r="E127" s="10" t="s">
        <v>436</v>
      </c>
      <c r="F127" s="10">
        <v>4</v>
      </c>
      <c r="G127" s="10">
        <v>0</v>
      </c>
      <c r="H127" s="10">
        <v>0</v>
      </c>
      <c r="I127" s="15">
        <v>46093</v>
      </c>
      <c r="J127" s="15">
        <v>46098</v>
      </c>
      <c r="K127" s="10">
        <v>5</v>
      </c>
      <c r="L127" s="15">
        <v>45798</v>
      </c>
      <c r="M127" s="10" t="s">
        <v>68</v>
      </c>
      <c r="N127" s="18">
        <v>1562.67</v>
      </c>
      <c r="O127" s="16" t="s">
        <v>69</v>
      </c>
      <c r="P127" s="8"/>
      <c r="Q127" s="9"/>
      <c r="R127" s="10"/>
      <c r="S127" s="10"/>
      <c r="T127" s="10"/>
      <c r="U127" s="11" t="str">
        <f t="shared" si="0"/>
        <v>AIRBNB</v>
      </c>
      <c r="V127" s="12">
        <f t="shared" si="1"/>
        <v>0</v>
      </c>
      <c r="W127" s="12" t="str">
        <f t="shared" si="2"/>
        <v>4609364th Street</v>
      </c>
      <c r="X127" s="12" t="str">
        <f t="shared" si="3"/>
        <v>4609864th Street</v>
      </c>
      <c r="Y127" s="13">
        <f t="shared" si="4"/>
        <v>0</v>
      </c>
      <c r="Z127" s="14" t="str">
        <f t="shared" si="5"/>
        <v/>
      </c>
      <c r="AB127" s="15"/>
      <c r="AC127" s="15"/>
    </row>
    <row r="128" spans="2:29" ht="14.25" customHeight="1">
      <c r="B128" s="14" t="s">
        <v>437</v>
      </c>
      <c r="C128" s="14" t="s">
        <v>50</v>
      </c>
      <c r="D128" s="14" t="s">
        <v>438</v>
      </c>
      <c r="E128" s="10" t="s">
        <v>439</v>
      </c>
      <c r="F128" s="10">
        <v>3</v>
      </c>
      <c r="G128" s="10">
        <v>0</v>
      </c>
      <c r="H128" s="10">
        <v>0</v>
      </c>
      <c r="I128" s="15">
        <v>46094</v>
      </c>
      <c r="J128" s="15">
        <v>46097</v>
      </c>
      <c r="K128" s="10">
        <v>3</v>
      </c>
      <c r="L128" s="15">
        <v>45815</v>
      </c>
      <c r="M128" s="10" t="s">
        <v>163</v>
      </c>
      <c r="N128" s="18">
        <v>1121.32</v>
      </c>
      <c r="O128" s="16" t="s">
        <v>164</v>
      </c>
      <c r="P128" s="8"/>
      <c r="Q128" s="9"/>
      <c r="R128" s="10"/>
      <c r="S128" s="10"/>
      <c r="T128" s="10"/>
      <c r="U128" s="11" t="str">
        <f t="shared" si="0"/>
        <v>AIRBNB</v>
      </c>
      <c r="V128" s="12">
        <f t="shared" si="1"/>
        <v>0</v>
      </c>
      <c r="W128" s="12" t="str">
        <f t="shared" si="2"/>
        <v>4609473rd Ave</v>
      </c>
      <c r="X128" s="12" t="str">
        <f t="shared" si="3"/>
        <v>4609773rd Ave</v>
      </c>
      <c r="Y128" s="13">
        <f t="shared" si="4"/>
        <v>0</v>
      </c>
      <c r="Z128" s="14" t="str">
        <f t="shared" si="5"/>
        <v/>
      </c>
      <c r="AB128" s="15"/>
      <c r="AC128" s="15"/>
    </row>
    <row r="129" spans="2:29" ht="14.25" customHeight="1">
      <c r="B129" s="14" t="s">
        <v>440</v>
      </c>
      <c r="C129" s="14" t="s">
        <v>50</v>
      </c>
      <c r="D129" s="14" t="s">
        <v>441</v>
      </c>
      <c r="E129" s="10" t="s">
        <v>442</v>
      </c>
      <c r="F129" s="10">
        <v>6</v>
      </c>
      <c r="G129" s="10">
        <v>0</v>
      </c>
      <c r="H129" s="10">
        <v>0</v>
      </c>
      <c r="I129" s="15">
        <v>46094</v>
      </c>
      <c r="J129" s="15">
        <v>46098</v>
      </c>
      <c r="K129" s="10">
        <v>4</v>
      </c>
      <c r="L129" s="15">
        <v>45763</v>
      </c>
      <c r="M129" s="10" t="s">
        <v>226</v>
      </c>
      <c r="N129" s="18">
        <v>2376.5</v>
      </c>
      <c r="O129" s="16" t="s">
        <v>227</v>
      </c>
      <c r="P129" s="8"/>
      <c r="Q129" s="9"/>
      <c r="R129" s="10"/>
      <c r="S129" s="10"/>
      <c r="T129" s="10"/>
      <c r="U129" s="11" t="str">
        <f t="shared" si="0"/>
        <v>AIRBNB</v>
      </c>
      <c r="V129" s="12">
        <f t="shared" si="1"/>
        <v>0</v>
      </c>
      <c r="W129" s="12" t="str">
        <f t="shared" si="2"/>
        <v>460942137 Sandpiper</v>
      </c>
      <c r="X129" s="12" t="str">
        <f t="shared" si="3"/>
        <v>460982137 Sandpiper</v>
      </c>
      <c r="Y129" s="13">
        <f t="shared" si="4"/>
        <v>0</v>
      </c>
      <c r="Z129" s="14" t="str">
        <f t="shared" si="5"/>
        <v/>
      </c>
      <c r="AB129" s="15"/>
      <c r="AC129" s="15"/>
    </row>
    <row r="130" spans="2:29" ht="14.25" customHeight="1">
      <c r="B130" s="14" t="s">
        <v>443</v>
      </c>
      <c r="C130" s="14" t="s">
        <v>50</v>
      </c>
      <c r="D130" s="14" t="s">
        <v>444</v>
      </c>
      <c r="E130" s="10" t="s">
        <v>445</v>
      </c>
      <c r="F130" s="10">
        <v>4</v>
      </c>
      <c r="G130" s="10">
        <v>4</v>
      </c>
      <c r="H130" s="10">
        <v>0</v>
      </c>
      <c r="I130" s="15">
        <v>46095</v>
      </c>
      <c r="J130" s="15">
        <v>46102</v>
      </c>
      <c r="K130" s="10">
        <v>7</v>
      </c>
      <c r="L130" s="15">
        <v>45817</v>
      </c>
      <c r="M130" s="10" t="s">
        <v>63</v>
      </c>
      <c r="N130" s="18">
        <v>1881.8</v>
      </c>
      <c r="O130" s="16" t="s">
        <v>64</v>
      </c>
      <c r="P130" s="8"/>
      <c r="Q130" s="9"/>
      <c r="R130" s="10"/>
      <c r="S130" s="10"/>
      <c r="T130" s="10"/>
      <c r="U130" s="11" t="str">
        <f t="shared" si="0"/>
        <v>AIRBNB</v>
      </c>
      <c r="V130" s="12" t="str">
        <f t="shared" si="1"/>
        <v>Same day check in 1 houses</v>
      </c>
      <c r="W130" s="12" t="str">
        <f t="shared" si="2"/>
        <v>46095106th Ave</v>
      </c>
      <c r="X130" s="12" t="str">
        <f t="shared" si="3"/>
        <v>46102106th Ave</v>
      </c>
      <c r="Y130" s="13">
        <f t="shared" si="4"/>
        <v>0</v>
      </c>
      <c r="Z130" s="14" t="str">
        <f t="shared" si="5"/>
        <v/>
      </c>
      <c r="AB130" s="15"/>
      <c r="AC130" s="15"/>
    </row>
    <row r="131" spans="2:29" ht="14.25" customHeight="1">
      <c r="B131" s="14" t="s">
        <v>446</v>
      </c>
      <c r="C131" s="14" t="s">
        <v>10</v>
      </c>
      <c r="D131" s="14" t="s">
        <v>447</v>
      </c>
      <c r="E131" s="10"/>
      <c r="F131" s="10"/>
      <c r="G131" s="10"/>
      <c r="H131" s="10"/>
      <c r="I131" s="15">
        <v>46095</v>
      </c>
      <c r="J131" s="15">
        <v>46102</v>
      </c>
      <c r="K131" s="10"/>
      <c r="L131" s="15">
        <v>45712</v>
      </c>
      <c r="M131" s="10"/>
      <c r="N131" s="10"/>
      <c r="O131" s="16" t="s">
        <v>448</v>
      </c>
      <c r="P131" s="8"/>
      <c r="Q131" s="9"/>
      <c r="R131" s="10"/>
      <c r="S131" s="10"/>
      <c r="T131" s="10"/>
      <c r="U131" s="11" t="str">
        <f t="shared" si="0"/>
        <v>VRBO</v>
      </c>
      <c r="V131" s="12" t="str">
        <f t="shared" si="1"/>
        <v>Same day check in 1 houses</v>
      </c>
      <c r="W131" s="12" t="str">
        <f t="shared" si="2"/>
        <v>46095Misty Plateau</v>
      </c>
      <c r="X131" s="12" t="str">
        <f t="shared" si="3"/>
        <v>46102Misty Plateau</v>
      </c>
      <c r="Y131" s="13">
        <f t="shared" si="4"/>
        <v>0</v>
      </c>
      <c r="Z131" s="14" t="str">
        <f t="shared" si="5"/>
        <v/>
      </c>
      <c r="AB131" s="15"/>
      <c r="AC131" s="15"/>
    </row>
    <row r="132" spans="2:29" ht="14.25" customHeight="1">
      <c r="B132" s="14" t="s">
        <v>449</v>
      </c>
      <c r="C132" s="14" t="s">
        <v>10</v>
      </c>
      <c r="D132" s="14" t="s">
        <v>450</v>
      </c>
      <c r="E132" s="10"/>
      <c r="F132" s="10"/>
      <c r="G132" s="10"/>
      <c r="H132" s="10"/>
      <c r="I132" s="15">
        <v>46095</v>
      </c>
      <c r="J132" s="15">
        <v>46102</v>
      </c>
      <c r="K132" s="10"/>
      <c r="L132" s="15">
        <v>45806</v>
      </c>
      <c r="M132" s="10"/>
      <c r="N132" s="10"/>
      <c r="O132" s="16" t="s">
        <v>451</v>
      </c>
      <c r="P132" s="8"/>
      <c r="Q132" s="9"/>
      <c r="R132" s="10"/>
      <c r="S132" s="10"/>
      <c r="T132" s="10"/>
      <c r="U132" s="11" t="str">
        <f t="shared" si="0"/>
        <v>VRBO</v>
      </c>
      <c r="V132" s="12" t="str">
        <f t="shared" si="1"/>
        <v>Same day check in 1 houses</v>
      </c>
      <c r="W132" s="12" t="str">
        <f t="shared" si="2"/>
        <v>4609541st Bradenton</v>
      </c>
      <c r="X132" s="12" t="str">
        <f t="shared" si="3"/>
        <v>4610241st Bradenton</v>
      </c>
      <c r="Y132" s="13">
        <f t="shared" si="4"/>
        <v>0</v>
      </c>
      <c r="Z132" s="14" t="str">
        <f t="shared" si="5"/>
        <v/>
      </c>
      <c r="AB132" s="15"/>
      <c r="AC132" s="15"/>
    </row>
    <row r="133" spans="2:29" ht="14.25" customHeight="1">
      <c r="B133" s="14" t="s">
        <v>452</v>
      </c>
      <c r="C133" s="14" t="s">
        <v>50</v>
      </c>
      <c r="D133" s="14" t="s">
        <v>453</v>
      </c>
      <c r="E133" s="10" t="s">
        <v>454</v>
      </c>
      <c r="F133" s="10">
        <v>4</v>
      </c>
      <c r="G133" s="10">
        <v>0</v>
      </c>
      <c r="H133" s="10">
        <v>0</v>
      </c>
      <c r="I133" s="15">
        <v>46100</v>
      </c>
      <c r="J133" s="15">
        <v>46103</v>
      </c>
      <c r="K133" s="10">
        <v>3</v>
      </c>
      <c r="L133" s="15">
        <v>45862</v>
      </c>
      <c r="M133" s="10" t="s">
        <v>258</v>
      </c>
      <c r="N133" s="18">
        <v>1053.42</v>
      </c>
      <c r="O133" s="16" t="s">
        <v>259</v>
      </c>
      <c r="P133" s="8"/>
      <c r="Q133" s="9"/>
      <c r="R133" s="10"/>
      <c r="S133" s="10"/>
      <c r="T133" s="10"/>
      <c r="U133" s="11" t="str">
        <f t="shared" si="0"/>
        <v>AIRBNB</v>
      </c>
      <c r="V133" s="12" t="str">
        <f t="shared" si="1"/>
        <v>Same day check in 1 houses</v>
      </c>
      <c r="W133" s="12" t="str">
        <f t="shared" si="2"/>
        <v>46100Brookside Dr</v>
      </c>
      <c r="X133" s="12" t="str">
        <f t="shared" si="3"/>
        <v>46103Brookside Dr</v>
      </c>
      <c r="Y133" s="13">
        <f t="shared" si="4"/>
        <v>0</v>
      </c>
      <c r="Z133" s="14" t="str">
        <f t="shared" si="5"/>
        <v/>
      </c>
      <c r="AB133" s="15"/>
      <c r="AC133" s="15"/>
    </row>
    <row r="134" spans="2:29" ht="14.25" customHeight="1">
      <c r="B134" s="14" t="s">
        <v>455</v>
      </c>
      <c r="C134" s="14" t="s">
        <v>50</v>
      </c>
      <c r="D134" s="14" t="s">
        <v>456</v>
      </c>
      <c r="E134" s="10" t="s">
        <v>457</v>
      </c>
      <c r="F134" s="10">
        <v>2</v>
      </c>
      <c r="G134" s="10">
        <v>0</v>
      </c>
      <c r="H134" s="10">
        <v>0</v>
      </c>
      <c r="I134" s="15">
        <v>46100</v>
      </c>
      <c r="J134" s="15">
        <v>46104</v>
      </c>
      <c r="K134" s="10">
        <v>4</v>
      </c>
      <c r="L134" s="15">
        <v>45890</v>
      </c>
      <c r="M134" s="10" t="s">
        <v>313</v>
      </c>
      <c r="N134" s="18">
        <v>1843</v>
      </c>
      <c r="O134" s="16" t="s">
        <v>314</v>
      </c>
      <c r="P134" s="8"/>
      <c r="Q134" s="9"/>
      <c r="R134" s="10"/>
      <c r="S134" s="10"/>
      <c r="T134" s="10"/>
      <c r="U134" s="11" t="str">
        <f t="shared" si="0"/>
        <v>AIRBNB</v>
      </c>
      <c r="V134" s="12">
        <f t="shared" si="1"/>
        <v>0</v>
      </c>
      <c r="W134" s="12" t="str">
        <f t="shared" si="2"/>
        <v>46100Winfield</v>
      </c>
      <c r="X134" s="12" t="str">
        <f t="shared" si="3"/>
        <v>46104Winfield</v>
      </c>
      <c r="Y134" s="13">
        <f t="shared" si="4"/>
        <v>0</v>
      </c>
      <c r="Z134" s="14" t="str">
        <f t="shared" si="5"/>
        <v/>
      </c>
      <c r="AB134" s="15"/>
      <c r="AC134" s="15"/>
    </row>
    <row r="135" spans="2:29" ht="14.25" customHeight="1">
      <c r="B135" s="14" t="s">
        <v>458</v>
      </c>
      <c r="C135" s="14" t="s">
        <v>50</v>
      </c>
      <c r="D135" s="14" t="s">
        <v>459</v>
      </c>
      <c r="E135" s="10" t="s">
        <v>460</v>
      </c>
      <c r="F135" s="10">
        <v>10</v>
      </c>
      <c r="G135" s="10">
        <v>0</v>
      </c>
      <c r="H135" s="10">
        <v>0</v>
      </c>
      <c r="I135" s="15">
        <v>46100</v>
      </c>
      <c r="J135" s="15">
        <v>46104</v>
      </c>
      <c r="K135" s="10">
        <v>4</v>
      </c>
      <c r="L135" s="15">
        <v>45879</v>
      </c>
      <c r="M135" s="10" t="s">
        <v>204</v>
      </c>
      <c r="N135" s="18">
        <v>2716</v>
      </c>
      <c r="O135" s="16" t="s">
        <v>205</v>
      </c>
      <c r="P135" s="8"/>
      <c r="Q135" s="9"/>
      <c r="R135" s="10"/>
      <c r="S135" s="10"/>
      <c r="T135" s="10"/>
      <c r="U135" s="11" t="str">
        <f t="shared" si="0"/>
        <v>AIRBNB</v>
      </c>
      <c r="V135" s="12">
        <f t="shared" si="1"/>
        <v>0</v>
      </c>
      <c r="W135" s="12" t="str">
        <f t="shared" si="2"/>
        <v>4610060th St</v>
      </c>
      <c r="X135" s="12" t="str">
        <f t="shared" si="3"/>
        <v>4610460th St</v>
      </c>
      <c r="Y135" s="13">
        <f t="shared" si="4"/>
        <v>0</v>
      </c>
      <c r="Z135" s="14" t="str">
        <f t="shared" si="5"/>
        <v/>
      </c>
      <c r="AB135" s="15"/>
      <c r="AC135" s="15"/>
    </row>
    <row r="136" spans="2:29" ht="14.25" customHeight="1">
      <c r="B136" s="14" t="s">
        <v>461</v>
      </c>
      <c r="C136" s="14" t="s">
        <v>50</v>
      </c>
      <c r="D136" s="14" t="s">
        <v>462</v>
      </c>
      <c r="E136" s="10" t="s">
        <v>463</v>
      </c>
      <c r="F136" s="10">
        <v>8</v>
      </c>
      <c r="G136" s="10">
        <v>0</v>
      </c>
      <c r="H136" s="10">
        <v>1</v>
      </c>
      <c r="I136" s="15">
        <v>46100</v>
      </c>
      <c r="J136" s="15">
        <v>46104</v>
      </c>
      <c r="K136" s="10">
        <v>4</v>
      </c>
      <c r="L136" s="15">
        <v>45833</v>
      </c>
      <c r="M136" s="10" t="s">
        <v>140</v>
      </c>
      <c r="N136" s="18">
        <v>2357.1</v>
      </c>
      <c r="O136" s="16" t="s">
        <v>81</v>
      </c>
      <c r="P136" s="8"/>
      <c r="Q136" s="9"/>
      <c r="R136" s="10"/>
      <c r="S136" s="10"/>
      <c r="T136" s="10"/>
      <c r="U136" s="11" t="str">
        <f t="shared" si="0"/>
        <v>AIRBNB</v>
      </c>
      <c r="V136" s="12">
        <f t="shared" si="1"/>
        <v>0</v>
      </c>
      <c r="W136" s="12" t="str">
        <f t="shared" si="2"/>
        <v>461004801 48th</v>
      </c>
      <c r="X136" s="12" t="str">
        <f t="shared" si="3"/>
        <v>461044801 48th</v>
      </c>
      <c r="Y136" s="13">
        <f t="shared" si="4"/>
        <v>0</v>
      </c>
      <c r="Z136" s="14" t="str">
        <f t="shared" si="5"/>
        <v/>
      </c>
      <c r="AB136" s="15"/>
      <c r="AC136" s="15"/>
    </row>
    <row r="137" spans="2:29" ht="14.25" customHeight="1">
      <c r="B137" s="14" t="s">
        <v>464</v>
      </c>
      <c r="C137" s="14" t="s">
        <v>50</v>
      </c>
      <c r="D137" s="14" t="s">
        <v>465</v>
      </c>
      <c r="E137" s="10" t="s">
        <v>466</v>
      </c>
      <c r="F137" s="10">
        <v>7</v>
      </c>
      <c r="G137" s="10">
        <v>0</v>
      </c>
      <c r="H137" s="10">
        <v>0</v>
      </c>
      <c r="I137" s="15">
        <v>46101</v>
      </c>
      <c r="J137" s="15">
        <v>46104</v>
      </c>
      <c r="K137" s="10">
        <v>3</v>
      </c>
      <c r="L137" s="15">
        <v>45819</v>
      </c>
      <c r="M137" s="10" t="s">
        <v>73</v>
      </c>
      <c r="N137" s="18">
        <v>1844.94</v>
      </c>
      <c r="O137" s="16" t="s">
        <v>74</v>
      </c>
      <c r="P137" s="8"/>
      <c r="Q137" s="9"/>
      <c r="R137" s="10"/>
      <c r="S137" s="10"/>
      <c r="T137" s="10"/>
      <c r="U137" s="11" t="str">
        <f t="shared" si="0"/>
        <v>AIRBNB</v>
      </c>
      <c r="V137" s="12">
        <f t="shared" si="1"/>
        <v>0</v>
      </c>
      <c r="W137" s="12" t="str">
        <f t="shared" si="2"/>
        <v>46101Sunrise</v>
      </c>
      <c r="X137" s="12" t="str">
        <f t="shared" si="3"/>
        <v>46104Sunrise</v>
      </c>
      <c r="Y137" s="13">
        <f t="shared" si="4"/>
        <v>0</v>
      </c>
      <c r="Z137" s="14" t="str">
        <f t="shared" si="5"/>
        <v/>
      </c>
      <c r="AB137" s="15"/>
      <c r="AC137" s="15"/>
    </row>
    <row r="138" spans="2:29" ht="14.25" customHeight="1">
      <c r="B138" s="14" t="s">
        <v>467</v>
      </c>
      <c r="C138" s="14" t="s">
        <v>50</v>
      </c>
      <c r="D138" s="14" t="s">
        <v>468</v>
      </c>
      <c r="E138" s="10" t="s">
        <v>469</v>
      </c>
      <c r="F138" s="10">
        <v>1</v>
      </c>
      <c r="G138" s="10">
        <v>0</v>
      </c>
      <c r="H138" s="10">
        <v>0</v>
      </c>
      <c r="I138" s="15">
        <v>46101</v>
      </c>
      <c r="J138" s="15">
        <v>46108</v>
      </c>
      <c r="K138" s="10">
        <v>7</v>
      </c>
      <c r="L138" s="15">
        <v>45894</v>
      </c>
      <c r="M138" s="10" t="s">
        <v>226</v>
      </c>
      <c r="N138" s="18">
        <v>3482.3</v>
      </c>
      <c r="O138" s="16" t="s">
        <v>227</v>
      </c>
      <c r="P138" s="8"/>
      <c r="Q138" s="9"/>
      <c r="R138" s="10"/>
      <c r="S138" s="10"/>
      <c r="T138" s="10"/>
      <c r="U138" s="11" t="str">
        <f t="shared" si="0"/>
        <v>AIRBNB</v>
      </c>
      <c r="V138" s="12">
        <f t="shared" si="1"/>
        <v>0</v>
      </c>
      <c r="W138" s="12" t="str">
        <f t="shared" si="2"/>
        <v>461012137 Sandpiper</v>
      </c>
      <c r="X138" s="12" t="str">
        <f t="shared" si="3"/>
        <v>461082137 Sandpiper</v>
      </c>
      <c r="Y138" s="13">
        <f t="shared" si="4"/>
        <v>0</v>
      </c>
      <c r="Z138" s="14" t="str">
        <f t="shared" si="5"/>
        <v/>
      </c>
      <c r="AB138" s="15"/>
      <c r="AC138" s="15"/>
    </row>
    <row r="139" spans="2:29" ht="14.25" customHeight="1">
      <c r="B139" s="14" t="s">
        <v>470</v>
      </c>
      <c r="C139" s="14" t="s">
        <v>50</v>
      </c>
      <c r="D139" s="14" t="s">
        <v>471</v>
      </c>
      <c r="E139" s="10" t="s">
        <v>472</v>
      </c>
      <c r="F139" s="10">
        <v>4</v>
      </c>
      <c r="G139" s="10">
        <v>4</v>
      </c>
      <c r="H139" s="10">
        <v>0</v>
      </c>
      <c r="I139" s="15">
        <v>46102</v>
      </c>
      <c r="J139" s="15">
        <v>46109</v>
      </c>
      <c r="K139" s="10">
        <v>7</v>
      </c>
      <c r="L139" s="15">
        <v>45740</v>
      </c>
      <c r="M139" s="10" t="s">
        <v>68</v>
      </c>
      <c r="N139" s="18">
        <v>1849.5</v>
      </c>
      <c r="O139" s="16" t="s">
        <v>69</v>
      </c>
      <c r="P139" s="8"/>
      <c r="Q139" s="9"/>
      <c r="R139" s="10"/>
      <c r="S139" s="10"/>
      <c r="T139" s="10"/>
      <c r="U139" s="11" t="str">
        <f t="shared" si="0"/>
        <v>AIRBNB</v>
      </c>
      <c r="V139" s="12" t="str">
        <f t="shared" si="1"/>
        <v>Same day check in 4 houses</v>
      </c>
      <c r="W139" s="12" t="str">
        <f t="shared" si="2"/>
        <v>4610264th Street</v>
      </c>
      <c r="X139" s="12" t="str">
        <f t="shared" si="3"/>
        <v>4610964th Street</v>
      </c>
      <c r="Y139" s="13">
        <f t="shared" si="4"/>
        <v>0</v>
      </c>
      <c r="Z139" s="14" t="str">
        <f t="shared" si="5"/>
        <v/>
      </c>
      <c r="AB139" s="15"/>
      <c r="AC139" s="15"/>
    </row>
    <row r="140" spans="2:29" ht="14.25" customHeight="1">
      <c r="B140" s="14" t="s">
        <v>473</v>
      </c>
      <c r="C140" s="14" t="s">
        <v>50</v>
      </c>
      <c r="D140" s="14" t="s">
        <v>474</v>
      </c>
      <c r="E140" s="10" t="s">
        <v>475</v>
      </c>
      <c r="F140" s="10">
        <v>4</v>
      </c>
      <c r="G140" s="10">
        <v>4</v>
      </c>
      <c r="H140" s="10">
        <v>0</v>
      </c>
      <c r="I140" s="15">
        <v>46103</v>
      </c>
      <c r="J140" s="15">
        <v>46110</v>
      </c>
      <c r="K140" s="10">
        <v>7</v>
      </c>
      <c r="L140" s="15">
        <v>45834</v>
      </c>
      <c r="M140" s="10" t="s">
        <v>85</v>
      </c>
      <c r="N140" s="18">
        <v>2276.1999999999998</v>
      </c>
      <c r="O140" s="16" t="s">
        <v>86</v>
      </c>
      <c r="P140" s="8"/>
      <c r="Q140" s="9"/>
      <c r="R140" s="10"/>
      <c r="S140" s="10"/>
      <c r="T140" s="10"/>
      <c r="U140" s="11" t="str">
        <f t="shared" si="0"/>
        <v>AIRBNB</v>
      </c>
      <c r="V140" s="12" t="str">
        <f t="shared" si="1"/>
        <v>Same day check in 1 houses</v>
      </c>
      <c r="W140" s="12" t="str">
        <f t="shared" si="2"/>
        <v>46103Lake Valencia</v>
      </c>
      <c r="X140" s="12" t="str">
        <f t="shared" si="3"/>
        <v>46110Lake Valencia</v>
      </c>
      <c r="Y140" s="13">
        <f t="shared" si="4"/>
        <v>0</v>
      </c>
      <c r="Z140" s="14" t="str">
        <f t="shared" si="5"/>
        <v/>
      </c>
      <c r="AB140" s="15"/>
      <c r="AC140" s="15"/>
    </row>
    <row r="141" spans="2:29" ht="14.25" customHeight="1">
      <c r="B141" s="14" t="s">
        <v>476</v>
      </c>
      <c r="C141" s="14" t="s">
        <v>50</v>
      </c>
      <c r="D141" s="14" t="s">
        <v>477</v>
      </c>
      <c r="E141" s="10" t="s">
        <v>478</v>
      </c>
      <c r="F141" s="10">
        <v>10</v>
      </c>
      <c r="G141" s="10">
        <v>0</v>
      </c>
      <c r="H141" s="10">
        <v>0</v>
      </c>
      <c r="I141" s="15">
        <v>46107</v>
      </c>
      <c r="J141" s="15">
        <v>46110</v>
      </c>
      <c r="K141" s="10">
        <v>3</v>
      </c>
      <c r="L141" s="15">
        <v>45890</v>
      </c>
      <c r="M141" s="10" t="s">
        <v>204</v>
      </c>
      <c r="N141" s="18">
        <v>2231</v>
      </c>
      <c r="O141" s="16" t="s">
        <v>205</v>
      </c>
      <c r="P141" s="8"/>
      <c r="Q141" s="9"/>
      <c r="R141" s="10"/>
      <c r="S141" s="10"/>
      <c r="T141" s="10"/>
      <c r="U141" s="11" t="str">
        <f t="shared" si="0"/>
        <v>AIRBNB</v>
      </c>
      <c r="V141" s="12" t="str">
        <f t="shared" si="1"/>
        <v>Same day check in 1 houses</v>
      </c>
      <c r="W141" s="12" t="str">
        <f t="shared" si="2"/>
        <v>4610760th St</v>
      </c>
      <c r="X141" s="12" t="str">
        <f t="shared" si="3"/>
        <v>4611060th St</v>
      </c>
      <c r="Y141" s="13">
        <f t="shared" si="4"/>
        <v>0</v>
      </c>
      <c r="Z141" s="14" t="str">
        <f t="shared" si="5"/>
        <v/>
      </c>
      <c r="AB141" s="15"/>
      <c r="AC141" s="15"/>
    </row>
    <row r="142" spans="2:29" ht="14.25" customHeight="1">
      <c r="B142" s="14" t="s">
        <v>479</v>
      </c>
      <c r="C142" s="14" t="s">
        <v>50</v>
      </c>
      <c r="D142" s="14" t="s">
        <v>480</v>
      </c>
      <c r="E142" s="10" t="s">
        <v>481</v>
      </c>
      <c r="F142" s="10">
        <v>3</v>
      </c>
      <c r="G142" s="10">
        <v>4</v>
      </c>
      <c r="H142" s="10">
        <v>0</v>
      </c>
      <c r="I142" s="15">
        <v>46109</v>
      </c>
      <c r="J142" s="15">
        <v>46115</v>
      </c>
      <c r="K142" s="10">
        <v>6</v>
      </c>
      <c r="L142" s="15">
        <v>45826</v>
      </c>
      <c r="M142" s="10" t="s">
        <v>63</v>
      </c>
      <c r="N142" s="18">
        <v>1770.25</v>
      </c>
      <c r="O142" s="16" t="s">
        <v>64</v>
      </c>
      <c r="P142" s="8"/>
      <c r="Q142" s="9"/>
      <c r="R142" s="10"/>
      <c r="S142" s="10"/>
      <c r="T142" s="10"/>
      <c r="U142" s="11" t="str">
        <f t="shared" si="0"/>
        <v>AIRBNB</v>
      </c>
      <c r="V142" s="12" t="str">
        <f t="shared" si="1"/>
        <v>Same day check in 1 houses</v>
      </c>
      <c r="W142" s="12" t="str">
        <f t="shared" si="2"/>
        <v>46109106th Ave</v>
      </c>
      <c r="X142" s="12" t="str">
        <f t="shared" si="3"/>
        <v>46115106th Ave</v>
      </c>
      <c r="Y142" s="13">
        <f t="shared" si="4"/>
        <v>0</v>
      </c>
      <c r="Z142" s="14" t="str">
        <f t="shared" si="5"/>
        <v/>
      </c>
      <c r="AB142" s="15"/>
      <c r="AC142" s="15"/>
    </row>
    <row r="143" spans="2:29" ht="14.25" customHeight="1">
      <c r="B143" s="14" t="s">
        <v>482</v>
      </c>
      <c r="C143" s="14" t="s">
        <v>50</v>
      </c>
      <c r="D143" s="14" t="s">
        <v>483</v>
      </c>
      <c r="E143" s="10" t="s">
        <v>484</v>
      </c>
      <c r="F143" s="10">
        <v>9</v>
      </c>
      <c r="G143" s="10">
        <v>0</v>
      </c>
      <c r="H143" s="10">
        <v>0</v>
      </c>
      <c r="I143" s="15">
        <v>46109</v>
      </c>
      <c r="J143" s="15">
        <v>46116</v>
      </c>
      <c r="K143" s="10">
        <v>7</v>
      </c>
      <c r="L143" s="15">
        <v>45873</v>
      </c>
      <c r="M143" s="10" t="s">
        <v>270</v>
      </c>
      <c r="N143" s="18">
        <v>3095.17</v>
      </c>
      <c r="O143" s="16" t="s">
        <v>271</v>
      </c>
      <c r="P143" s="8"/>
      <c r="Q143" s="9"/>
      <c r="R143" s="10"/>
      <c r="S143" s="10"/>
      <c r="T143" s="10"/>
      <c r="U143" s="11" t="str">
        <f t="shared" si="0"/>
        <v>AIRBNB</v>
      </c>
      <c r="V143" s="12">
        <f t="shared" si="1"/>
        <v>0</v>
      </c>
      <c r="W143" s="12" t="str">
        <f t="shared" si="2"/>
        <v>4610952nd Ave</v>
      </c>
      <c r="X143" s="12" t="str">
        <f t="shared" si="3"/>
        <v>4611652nd Ave</v>
      </c>
      <c r="Y143" s="13">
        <f t="shared" si="4"/>
        <v>0</v>
      </c>
      <c r="Z143" s="14" t="str">
        <f t="shared" si="5"/>
        <v/>
      </c>
      <c r="AB143" s="15"/>
      <c r="AC143" s="15"/>
    </row>
    <row r="144" spans="2:29" ht="14.25" customHeight="1">
      <c r="B144" s="14" t="s">
        <v>485</v>
      </c>
      <c r="C144" s="14" t="s">
        <v>50</v>
      </c>
      <c r="D144" s="14" t="s">
        <v>486</v>
      </c>
      <c r="E144" s="10" t="s">
        <v>487</v>
      </c>
      <c r="F144" s="10">
        <v>2</v>
      </c>
      <c r="G144" s="10">
        <v>3</v>
      </c>
      <c r="H144" s="10">
        <v>0</v>
      </c>
      <c r="I144" s="15">
        <v>46109</v>
      </c>
      <c r="J144" s="15">
        <v>46116</v>
      </c>
      <c r="K144" s="10">
        <v>7</v>
      </c>
      <c r="L144" s="15">
        <v>45859</v>
      </c>
      <c r="M144" s="10" t="s">
        <v>73</v>
      </c>
      <c r="N144" s="18">
        <v>3565.67</v>
      </c>
      <c r="O144" s="16" t="s">
        <v>74</v>
      </c>
      <c r="P144" s="8"/>
      <c r="Q144" s="9"/>
      <c r="R144" s="10"/>
      <c r="S144" s="10"/>
      <c r="T144" s="10"/>
      <c r="U144" s="11" t="str">
        <f t="shared" si="0"/>
        <v>AIRBNB</v>
      </c>
      <c r="V144" s="12">
        <f t="shared" si="1"/>
        <v>0</v>
      </c>
      <c r="W144" s="12" t="str">
        <f t="shared" si="2"/>
        <v>46109Sunrise</v>
      </c>
      <c r="X144" s="12" t="str">
        <f t="shared" si="3"/>
        <v>46116Sunrise</v>
      </c>
      <c r="Y144" s="13">
        <f t="shared" si="4"/>
        <v>0</v>
      </c>
      <c r="Z144" s="14" t="str">
        <f t="shared" si="5"/>
        <v/>
      </c>
      <c r="AB144" s="15"/>
      <c r="AC144" s="15"/>
    </row>
    <row r="145" spans="2:29" ht="14.25" customHeight="1">
      <c r="B145" s="14" t="s">
        <v>488</v>
      </c>
      <c r="C145" s="14" t="s">
        <v>50</v>
      </c>
      <c r="D145" s="14" t="s">
        <v>489</v>
      </c>
      <c r="E145" s="10" t="s">
        <v>490</v>
      </c>
      <c r="F145" s="10">
        <v>6</v>
      </c>
      <c r="G145" s="10">
        <v>0</v>
      </c>
      <c r="H145" s="10">
        <v>0</v>
      </c>
      <c r="I145" s="15">
        <v>46109</v>
      </c>
      <c r="J145" s="15">
        <v>46123</v>
      </c>
      <c r="K145" s="10">
        <v>14</v>
      </c>
      <c r="L145" s="15">
        <v>45895</v>
      </c>
      <c r="M145" s="10" t="s">
        <v>258</v>
      </c>
      <c r="N145" s="18">
        <v>3603.55</v>
      </c>
      <c r="O145" s="16" t="s">
        <v>259</v>
      </c>
      <c r="P145" s="8"/>
      <c r="Q145" s="9"/>
      <c r="R145" s="10"/>
      <c r="S145" s="10"/>
      <c r="T145" s="10"/>
      <c r="U145" s="11" t="str">
        <f t="shared" si="0"/>
        <v>AIRBNB</v>
      </c>
      <c r="V145" s="12">
        <f t="shared" si="1"/>
        <v>0</v>
      </c>
      <c r="W145" s="12" t="str">
        <f t="shared" si="2"/>
        <v>46109Brookside Dr</v>
      </c>
      <c r="X145" s="12" t="str">
        <f t="shared" si="3"/>
        <v>46123Brookside Dr</v>
      </c>
      <c r="Y145" s="13">
        <f t="shared" si="4"/>
        <v>0</v>
      </c>
      <c r="Z145" s="14" t="str">
        <f t="shared" si="5"/>
        <v/>
      </c>
      <c r="AB145" s="15"/>
      <c r="AC145" s="15"/>
    </row>
    <row r="146" spans="2:29" ht="14.25" customHeight="1">
      <c r="B146" s="14" t="s">
        <v>491</v>
      </c>
      <c r="C146" s="14" t="s">
        <v>50</v>
      </c>
      <c r="D146" s="14" t="s">
        <v>492</v>
      </c>
      <c r="E146" s="10" t="s">
        <v>493</v>
      </c>
      <c r="F146" s="10">
        <v>2</v>
      </c>
      <c r="G146" s="10">
        <v>4</v>
      </c>
      <c r="H146" s="10">
        <v>0</v>
      </c>
      <c r="I146" s="15">
        <v>46110</v>
      </c>
      <c r="J146" s="15">
        <v>46117</v>
      </c>
      <c r="K146" s="10">
        <v>7</v>
      </c>
      <c r="L146" s="15">
        <v>45854</v>
      </c>
      <c r="M146" s="10" t="s">
        <v>78</v>
      </c>
      <c r="N146" s="18">
        <v>3120.93</v>
      </c>
      <c r="O146" s="16" t="s">
        <v>79</v>
      </c>
      <c r="P146" s="8"/>
      <c r="Q146" s="9"/>
      <c r="R146" s="10"/>
      <c r="S146" s="10"/>
      <c r="T146" s="10"/>
      <c r="U146" s="11" t="str">
        <f t="shared" si="0"/>
        <v>AIRBNB</v>
      </c>
      <c r="V146" s="12" t="str">
        <f t="shared" si="1"/>
        <v>Same day check in 1 houses</v>
      </c>
      <c r="W146" s="12" t="str">
        <f t="shared" si="2"/>
        <v>4611011523 48th</v>
      </c>
      <c r="X146" s="12" t="str">
        <f t="shared" si="3"/>
        <v>4611711523 48th</v>
      </c>
      <c r="Y146" s="13" t="str">
        <f t="shared" si="4"/>
        <v>Check in, check out on the same day of stay 11523 48th</v>
      </c>
      <c r="Z146" s="14" t="str">
        <f t="shared" si="5"/>
        <v/>
      </c>
      <c r="AB146" s="15"/>
      <c r="AC146" s="15"/>
    </row>
    <row r="147" spans="2:29" ht="14.25" customHeight="1">
      <c r="B147" s="14" t="s">
        <v>494</v>
      </c>
      <c r="C147" s="14" t="s">
        <v>50</v>
      </c>
      <c r="D147" s="14" t="s">
        <v>495</v>
      </c>
      <c r="E147" s="10" t="s">
        <v>496</v>
      </c>
      <c r="F147" s="10">
        <v>1</v>
      </c>
      <c r="G147" s="10">
        <v>0</v>
      </c>
      <c r="H147" s="10">
        <v>0</v>
      </c>
      <c r="I147" s="15">
        <v>46112</v>
      </c>
      <c r="J147" s="15">
        <v>46117</v>
      </c>
      <c r="K147" s="10">
        <v>5</v>
      </c>
      <c r="L147" s="15">
        <v>45808</v>
      </c>
      <c r="M147" s="10" t="s">
        <v>85</v>
      </c>
      <c r="N147" s="18">
        <v>1803.23</v>
      </c>
      <c r="O147" s="16" t="s">
        <v>86</v>
      </c>
      <c r="P147" s="8"/>
      <c r="Q147" s="9"/>
      <c r="R147" s="10"/>
      <c r="S147" s="10"/>
      <c r="T147" s="10"/>
      <c r="U147" s="11" t="str">
        <f t="shared" si="0"/>
        <v>AIRBNB</v>
      </c>
      <c r="V147" s="12" t="str">
        <f t="shared" si="1"/>
        <v>Same day check in 1 houses</v>
      </c>
      <c r="W147" s="12" t="str">
        <f t="shared" si="2"/>
        <v>46112Lake Valencia</v>
      </c>
      <c r="X147" s="12" t="str">
        <f t="shared" si="3"/>
        <v>46117Lake Valencia</v>
      </c>
      <c r="Y147" s="13">
        <f t="shared" si="4"/>
        <v>0</v>
      </c>
      <c r="Z147" s="14" t="str">
        <f t="shared" si="5"/>
        <v/>
      </c>
      <c r="AB147" s="15"/>
      <c r="AC147" s="15"/>
    </row>
    <row r="148" spans="2:29" ht="14.25" customHeight="1">
      <c r="B148" s="14" t="s">
        <v>497</v>
      </c>
      <c r="C148" s="14" t="s">
        <v>50</v>
      </c>
      <c r="D148" s="14" t="s">
        <v>498</v>
      </c>
      <c r="E148" s="10" t="s">
        <v>499</v>
      </c>
      <c r="F148" s="10">
        <v>6</v>
      </c>
      <c r="G148" s="10">
        <v>3</v>
      </c>
      <c r="H148" s="10">
        <v>0</v>
      </c>
      <c r="I148" s="15">
        <v>46114</v>
      </c>
      <c r="J148" s="15">
        <v>46121</v>
      </c>
      <c r="K148" s="10">
        <v>7</v>
      </c>
      <c r="L148" s="15">
        <v>45886</v>
      </c>
      <c r="M148" s="10" t="s">
        <v>288</v>
      </c>
      <c r="N148" s="18">
        <v>4151.6000000000004</v>
      </c>
      <c r="O148" s="16" t="s">
        <v>289</v>
      </c>
      <c r="P148" s="8"/>
      <c r="Q148" s="9"/>
      <c r="R148" s="10"/>
      <c r="S148" s="10"/>
      <c r="T148" s="10"/>
      <c r="U148" s="11" t="str">
        <f t="shared" si="0"/>
        <v>AIRBNB</v>
      </c>
      <c r="V148" s="12" t="str">
        <f t="shared" si="1"/>
        <v>Same day check in 1 houses</v>
      </c>
      <c r="W148" s="12" t="str">
        <f t="shared" si="2"/>
        <v>46114Harborwood Dr</v>
      </c>
      <c r="X148" s="12" t="str">
        <f t="shared" si="3"/>
        <v>46121Harborwood Dr</v>
      </c>
      <c r="Y148" s="13">
        <f t="shared" si="4"/>
        <v>0</v>
      </c>
      <c r="Z148" s="14" t="str">
        <f t="shared" si="5"/>
        <v/>
      </c>
      <c r="AB148" s="15"/>
      <c r="AC148" s="15"/>
    </row>
    <row r="149" spans="2:29" ht="14.25" customHeight="1">
      <c r="B149" s="14" t="s">
        <v>500</v>
      </c>
      <c r="C149" s="14" t="s">
        <v>50</v>
      </c>
      <c r="D149" s="14" t="s">
        <v>501</v>
      </c>
      <c r="E149" s="10" t="s">
        <v>502</v>
      </c>
      <c r="F149" s="10">
        <v>1</v>
      </c>
      <c r="G149" s="10">
        <v>0</v>
      </c>
      <c r="H149" s="10">
        <v>0</v>
      </c>
      <c r="I149" s="15">
        <v>46115</v>
      </c>
      <c r="J149" s="15">
        <v>46122</v>
      </c>
      <c r="K149" s="10">
        <v>7</v>
      </c>
      <c r="L149" s="15">
        <v>45824</v>
      </c>
      <c r="M149" s="10" t="s">
        <v>163</v>
      </c>
      <c r="N149" s="18">
        <v>2092.39</v>
      </c>
      <c r="O149" s="16" t="s">
        <v>164</v>
      </c>
      <c r="P149" s="8"/>
      <c r="Q149" s="9"/>
      <c r="R149" s="10"/>
      <c r="S149" s="10"/>
      <c r="T149" s="10"/>
      <c r="U149" s="11" t="str">
        <f t="shared" si="0"/>
        <v>AIRBNB</v>
      </c>
      <c r="V149" s="12" t="str">
        <f t="shared" si="1"/>
        <v>Same day check in 1 houses</v>
      </c>
      <c r="W149" s="12" t="str">
        <f t="shared" si="2"/>
        <v>4611573rd Ave</v>
      </c>
      <c r="X149" s="12" t="str">
        <f t="shared" si="3"/>
        <v>4612273rd Ave</v>
      </c>
      <c r="Y149" s="13">
        <f t="shared" si="4"/>
        <v>0</v>
      </c>
      <c r="Z149" s="14" t="str">
        <f t="shared" si="5"/>
        <v/>
      </c>
      <c r="AB149" s="15"/>
      <c r="AC149" s="15"/>
    </row>
    <row r="150" spans="2:29" ht="14.25" customHeight="1">
      <c r="B150" s="5" t="s">
        <v>20</v>
      </c>
      <c r="C150" s="5" t="s">
        <v>10</v>
      </c>
      <c r="D150" s="5" t="s">
        <v>503</v>
      </c>
      <c r="E150" s="10"/>
      <c r="F150" s="10"/>
      <c r="G150" s="10"/>
      <c r="H150" s="10"/>
      <c r="I150" s="6">
        <v>46117</v>
      </c>
      <c r="J150" s="6">
        <v>46124</v>
      </c>
      <c r="K150" s="10"/>
      <c r="L150" s="6"/>
      <c r="M150" s="10"/>
      <c r="N150" s="10"/>
      <c r="O150" s="7" t="s">
        <v>79</v>
      </c>
      <c r="P150" s="8"/>
      <c r="Q150" s="9"/>
      <c r="R150" s="10"/>
      <c r="S150" s="10"/>
      <c r="T150" s="10"/>
      <c r="U150" s="11" t="str">
        <f t="shared" si="0"/>
        <v>Directly</v>
      </c>
      <c r="V150" s="12">
        <f t="shared" si="1"/>
        <v>0</v>
      </c>
      <c r="W150" s="12" t="str">
        <f t="shared" si="2"/>
        <v>4611711523 48th</v>
      </c>
      <c r="X150" s="12" t="str">
        <f t="shared" si="3"/>
        <v>4612411523 48th</v>
      </c>
      <c r="Y150" s="13">
        <f t="shared" si="4"/>
        <v>0</v>
      </c>
      <c r="Z150" s="14" t="str">
        <f t="shared" si="5"/>
        <v/>
      </c>
      <c r="AB150" s="15"/>
      <c r="AC150" s="15"/>
    </row>
    <row r="151" spans="2:29" ht="14.25" customHeight="1">
      <c r="B151" s="14" t="s">
        <v>504</v>
      </c>
      <c r="C151" s="14" t="s">
        <v>10</v>
      </c>
      <c r="D151" s="14" t="s">
        <v>505</v>
      </c>
      <c r="E151" s="10"/>
      <c r="F151" s="10"/>
      <c r="G151" s="10"/>
      <c r="H151" s="10"/>
      <c r="I151" s="15">
        <v>46121</v>
      </c>
      <c r="J151" s="15">
        <v>46125</v>
      </c>
      <c r="K151" s="10"/>
      <c r="L151" s="15">
        <v>45884</v>
      </c>
      <c r="M151" s="10"/>
      <c r="N151" s="10"/>
      <c r="O151" s="16" t="s">
        <v>314</v>
      </c>
      <c r="P151" s="8"/>
      <c r="Q151" s="9"/>
      <c r="R151" s="10"/>
      <c r="S151" s="10"/>
      <c r="T151" s="10"/>
      <c r="U151" s="11" t="str">
        <f t="shared" si="0"/>
        <v>VRBO</v>
      </c>
      <c r="V151" s="12">
        <f t="shared" si="1"/>
        <v>0</v>
      </c>
      <c r="W151" s="12" t="str">
        <f t="shared" si="2"/>
        <v>46121Winfield</v>
      </c>
      <c r="X151" s="12" t="str">
        <f t="shared" si="3"/>
        <v>46125Winfield</v>
      </c>
      <c r="Y151" s="13">
        <f t="shared" si="4"/>
        <v>0</v>
      </c>
      <c r="Z151" s="14" t="str">
        <f t="shared" si="5"/>
        <v/>
      </c>
      <c r="AB151" s="15"/>
      <c r="AC151" s="15"/>
    </row>
    <row r="152" spans="2:29" ht="14.25" customHeight="1">
      <c r="B152" s="14" t="s">
        <v>506</v>
      </c>
      <c r="C152" s="14" t="s">
        <v>50</v>
      </c>
      <c r="D152" s="14" t="s">
        <v>507</v>
      </c>
      <c r="E152" s="10" t="s">
        <v>508</v>
      </c>
      <c r="F152" s="10">
        <v>7</v>
      </c>
      <c r="G152" s="10">
        <v>0</v>
      </c>
      <c r="H152" s="10">
        <v>1</v>
      </c>
      <c r="I152" s="15">
        <v>46122</v>
      </c>
      <c r="J152" s="15">
        <v>46131</v>
      </c>
      <c r="K152" s="10">
        <v>9</v>
      </c>
      <c r="L152" s="15">
        <v>45817</v>
      </c>
      <c r="M152" s="10" t="s">
        <v>85</v>
      </c>
      <c r="N152" s="18">
        <v>2593.9699999999998</v>
      </c>
      <c r="O152" s="16" t="s">
        <v>86</v>
      </c>
      <c r="P152" s="8"/>
      <c r="Q152" s="9"/>
      <c r="R152" s="10"/>
      <c r="S152" s="10"/>
      <c r="T152" s="10"/>
      <c r="U152" s="11" t="str">
        <f t="shared" si="0"/>
        <v>AIRBNB</v>
      </c>
      <c r="V152" s="12">
        <f t="shared" si="1"/>
        <v>0</v>
      </c>
      <c r="W152" s="12" t="str">
        <f t="shared" si="2"/>
        <v>46122Lake Valencia</v>
      </c>
      <c r="X152" s="12" t="str">
        <f t="shared" si="3"/>
        <v>46131Lake Valencia</v>
      </c>
      <c r="Y152" s="13">
        <f t="shared" si="4"/>
        <v>0</v>
      </c>
      <c r="Z152" s="14" t="str">
        <f t="shared" si="5"/>
        <v/>
      </c>
      <c r="AB152" s="15"/>
      <c r="AC152" s="15"/>
    </row>
    <row r="153" spans="2:29" ht="14.25" customHeight="1">
      <c r="B153" s="14" t="s">
        <v>509</v>
      </c>
      <c r="C153" s="14" t="s">
        <v>50</v>
      </c>
      <c r="D153" s="14" t="s">
        <v>510</v>
      </c>
      <c r="E153" s="10" t="s">
        <v>511</v>
      </c>
      <c r="F153" s="10">
        <v>7</v>
      </c>
      <c r="G153" s="10">
        <v>5</v>
      </c>
      <c r="H153" s="10">
        <v>0</v>
      </c>
      <c r="I153" s="15">
        <v>46128</v>
      </c>
      <c r="J153" s="15">
        <v>46132</v>
      </c>
      <c r="K153" s="10">
        <v>4</v>
      </c>
      <c r="L153" s="15">
        <v>45862</v>
      </c>
      <c r="M153" s="10" t="s">
        <v>140</v>
      </c>
      <c r="N153" s="18">
        <v>2357.1</v>
      </c>
      <c r="O153" s="16" t="s">
        <v>81</v>
      </c>
      <c r="P153" s="8"/>
      <c r="Q153" s="9"/>
      <c r="R153" s="10"/>
      <c r="S153" s="10"/>
      <c r="T153" s="10"/>
      <c r="U153" s="11" t="str">
        <f t="shared" si="0"/>
        <v>AIRBNB</v>
      </c>
      <c r="V153" s="12">
        <f t="shared" si="1"/>
        <v>0</v>
      </c>
      <c r="W153" s="12" t="str">
        <f t="shared" si="2"/>
        <v>461284801 48th</v>
      </c>
      <c r="X153" s="12" t="str">
        <f t="shared" si="3"/>
        <v>461324801 48th</v>
      </c>
      <c r="Y153" s="13">
        <f t="shared" si="4"/>
        <v>0</v>
      </c>
      <c r="Z153" s="14" t="str">
        <f t="shared" si="5"/>
        <v/>
      </c>
      <c r="AB153" s="15"/>
      <c r="AC153" s="15"/>
    </row>
    <row r="154" spans="2:29" ht="14.25" customHeight="1">
      <c r="B154" s="14" t="s">
        <v>512</v>
      </c>
      <c r="C154" s="14" t="s">
        <v>10</v>
      </c>
      <c r="D154" s="14" t="s">
        <v>513</v>
      </c>
      <c r="E154" s="10"/>
      <c r="F154" s="10"/>
      <c r="G154" s="10"/>
      <c r="H154" s="10"/>
      <c r="I154" s="15">
        <v>46130</v>
      </c>
      <c r="J154" s="15">
        <v>46137</v>
      </c>
      <c r="K154" s="10"/>
      <c r="L154" s="15">
        <v>45866</v>
      </c>
      <c r="M154" s="10"/>
      <c r="N154" s="10"/>
      <c r="O154" s="16" t="s">
        <v>227</v>
      </c>
      <c r="P154" s="8"/>
      <c r="Q154" s="9"/>
      <c r="R154" s="10"/>
      <c r="S154" s="10"/>
      <c r="T154" s="10"/>
      <c r="U154" s="11" t="str">
        <f t="shared" si="0"/>
        <v>VRBO</v>
      </c>
      <c r="V154" s="12">
        <f t="shared" si="1"/>
        <v>0</v>
      </c>
      <c r="W154" s="12" t="str">
        <f t="shared" si="2"/>
        <v>461302137 Sandpiper</v>
      </c>
      <c r="X154" s="12" t="str">
        <f t="shared" si="3"/>
        <v>461372137 Sandpiper</v>
      </c>
      <c r="Y154" s="13">
        <f t="shared" si="4"/>
        <v>0</v>
      </c>
      <c r="Z154" s="14" t="str">
        <f t="shared" si="5"/>
        <v/>
      </c>
      <c r="AB154" s="15"/>
      <c r="AC154" s="15"/>
    </row>
    <row r="155" spans="2:29" ht="14.25" customHeight="1">
      <c r="B155" s="14" t="s">
        <v>514</v>
      </c>
      <c r="C155" s="14" t="s">
        <v>50</v>
      </c>
      <c r="D155" s="14" t="s">
        <v>515</v>
      </c>
      <c r="E155" s="10" t="s">
        <v>516</v>
      </c>
      <c r="F155" s="10">
        <v>8</v>
      </c>
      <c r="G155" s="10">
        <v>0</v>
      </c>
      <c r="H155" s="10">
        <v>0</v>
      </c>
      <c r="I155" s="15">
        <v>46135</v>
      </c>
      <c r="J155" s="15">
        <v>46138</v>
      </c>
      <c r="K155" s="10">
        <v>3</v>
      </c>
      <c r="L155" s="15">
        <v>45858</v>
      </c>
      <c r="M155" s="10" t="s">
        <v>78</v>
      </c>
      <c r="N155" s="18">
        <v>1854.64</v>
      </c>
      <c r="O155" s="16" t="s">
        <v>79</v>
      </c>
      <c r="P155" s="8"/>
      <c r="Q155" s="9"/>
      <c r="R155" s="10"/>
      <c r="S155" s="10"/>
      <c r="T155" s="10"/>
      <c r="U155" s="11" t="str">
        <f t="shared" si="0"/>
        <v>AIRBNB</v>
      </c>
      <c r="V155" s="12" t="str">
        <f t="shared" si="1"/>
        <v>Same day check in 1 houses</v>
      </c>
      <c r="W155" s="12" t="str">
        <f t="shared" si="2"/>
        <v>4613511523 48th</v>
      </c>
      <c r="X155" s="12" t="str">
        <f t="shared" si="3"/>
        <v>4613811523 48th</v>
      </c>
      <c r="Y155" s="13">
        <f t="shared" si="4"/>
        <v>0</v>
      </c>
      <c r="Z155" s="14" t="str">
        <f t="shared" si="5"/>
        <v/>
      </c>
      <c r="AB155" s="15"/>
      <c r="AC155" s="15"/>
    </row>
    <row r="156" spans="2:29" ht="14.25" customHeight="1">
      <c r="B156" s="14" t="s">
        <v>517</v>
      </c>
      <c r="C156" s="14" t="s">
        <v>50</v>
      </c>
      <c r="D156" s="14" t="s">
        <v>518</v>
      </c>
      <c r="E156" s="10" t="s">
        <v>519</v>
      </c>
      <c r="F156" s="10">
        <v>10</v>
      </c>
      <c r="G156" s="10">
        <v>0</v>
      </c>
      <c r="H156" s="10">
        <v>0</v>
      </c>
      <c r="I156" s="15">
        <v>46135</v>
      </c>
      <c r="J156" s="15">
        <v>46138</v>
      </c>
      <c r="K156" s="10">
        <v>3</v>
      </c>
      <c r="L156" s="15">
        <v>45844</v>
      </c>
      <c r="M156" s="10" t="s">
        <v>204</v>
      </c>
      <c r="N156" s="18">
        <v>2231</v>
      </c>
      <c r="O156" s="16" t="s">
        <v>205</v>
      </c>
      <c r="P156" s="8"/>
      <c r="Q156" s="9"/>
      <c r="R156" s="10"/>
      <c r="S156" s="10"/>
      <c r="T156" s="10"/>
      <c r="U156" s="11" t="str">
        <f t="shared" si="0"/>
        <v>AIRBNB</v>
      </c>
      <c r="V156" s="12" t="str">
        <f t="shared" si="1"/>
        <v>Same day check in 1 houses</v>
      </c>
      <c r="W156" s="12" t="str">
        <f t="shared" si="2"/>
        <v>4613560th St</v>
      </c>
      <c r="X156" s="12" t="str">
        <f t="shared" si="3"/>
        <v>4613860th St</v>
      </c>
      <c r="Y156" s="13">
        <f t="shared" si="4"/>
        <v>0</v>
      </c>
      <c r="Z156" s="14" t="str">
        <f t="shared" si="5"/>
        <v/>
      </c>
      <c r="AB156" s="15"/>
      <c r="AC156" s="15"/>
    </row>
    <row r="157" spans="2:29" ht="14.25" customHeight="1">
      <c r="B157" s="5" t="s">
        <v>520</v>
      </c>
      <c r="C157" s="5" t="s">
        <v>50</v>
      </c>
      <c r="D157" s="5" t="s">
        <v>521</v>
      </c>
      <c r="E157" s="10" t="s">
        <v>522</v>
      </c>
      <c r="F157" s="10">
        <v>4</v>
      </c>
      <c r="G157" s="10">
        <v>1</v>
      </c>
      <c r="H157" s="10">
        <v>1</v>
      </c>
      <c r="I157" s="15">
        <v>46138</v>
      </c>
      <c r="J157" s="15">
        <v>46145</v>
      </c>
      <c r="K157" s="10">
        <v>7</v>
      </c>
      <c r="L157" s="15">
        <v>45828</v>
      </c>
      <c r="M157" s="10" t="s">
        <v>68</v>
      </c>
      <c r="N157" s="18">
        <v>1759.58</v>
      </c>
      <c r="O157" s="16" t="s">
        <v>69</v>
      </c>
      <c r="P157" s="8"/>
      <c r="Q157" s="9"/>
      <c r="R157" s="10"/>
      <c r="S157" s="10"/>
      <c r="T157" s="10"/>
      <c r="U157" s="11" t="str">
        <f t="shared" si="0"/>
        <v>AIRBNB</v>
      </c>
      <c r="V157" s="12">
        <f t="shared" si="1"/>
        <v>0</v>
      </c>
      <c r="W157" s="12" t="str">
        <f t="shared" si="2"/>
        <v>4613864th Street</v>
      </c>
      <c r="X157" s="12" t="str">
        <f t="shared" si="3"/>
        <v>4614564th Street</v>
      </c>
      <c r="Y157" s="13">
        <f t="shared" si="4"/>
        <v>0</v>
      </c>
      <c r="Z157" s="14" t="str">
        <f t="shared" si="5"/>
        <v/>
      </c>
      <c r="AB157" s="15"/>
      <c r="AC157" s="15"/>
    </row>
    <row r="158" spans="2:29" ht="14.25" customHeight="1">
      <c r="B158" s="10" t="s">
        <v>523</v>
      </c>
      <c r="C158" s="10" t="s">
        <v>50</v>
      </c>
      <c r="D158" s="10" t="s">
        <v>524</v>
      </c>
      <c r="E158" s="10" t="s">
        <v>525</v>
      </c>
      <c r="F158" s="10">
        <v>11</v>
      </c>
      <c r="G158" s="10">
        <v>0</v>
      </c>
      <c r="H158" s="10">
        <v>0</v>
      </c>
      <c r="I158" s="19">
        <v>46142</v>
      </c>
      <c r="J158" s="19">
        <v>46145</v>
      </c>
      <c r="K158" s="10">
        <v>3</v>
      </c>
      <c r="L158" s="19">
        <v>45819</v>
      </c>
      <c r="M158" s="10" t="s">
        <v>140</v>
      </c>
      <c r="N158" s="18">
        <v>1876.95</v>
      </c>
      <c r="O158" s="20" t="s">
        <v>81</v>
      </c>
      <c r="P158" s="8"/>
      <c r="Q158" s="9"/>
      <c r="R158" s="10"/>
      <c r="S158" s="10"/>
      <c r="T158" s="10"/>
      <c r="U158" s="11" t="str">
        <f t="shared" si="0"/>
        <v>AIRBNB</v>
      </c>
      <c r="V158" s="12">
        <f t="shared" si="1"/>
        <v>0</v>
      </c>
      <c r="W158" s="12" t="str">
        <f t="shared" si="2"/>
        <v>461424801 48th</v>
      </c>
      <c r="X158" s="12" t="str">
        <f t="shared" si="3"/>
        <v>461454801 48th</v>
      </c>
      <c r="Y158" s="13">
        <f t="shared" si="4"/>
        <v>0</v>
      </c>
      <c r="Z158" s="14" t="str">
        <f t="shared" si="5"/>
        <v/>
      </c>
      <c r="AB158" s="15"/>
      <c r="AC158" s="15"/>
    </row>
    <row r="159" spans="2:29" ht="14.25" customHeight="1">
      <c r="B159" s="10" t="s">
        <v>526</v>
      </c>
      <c r="C159" s="10" t="s">
        <v>50</v>
      </c>
      <c r="D159" s="10" t="s">
        <v>527</v>
      </c>
      <c r="E159" s="10" t="s">
        <v>528</v>
      </c>
      <c r="F159" s="10">
        <v>4</v>
      </c>
      <c r="G159" s="10">
        <v>0</v>
      </c>
      <c r="H159" s="10">
        <v>0</v>
      </c>
      <c r="I159" s="19">
        <v>46142</v>
      </c>
      <c r="J159" s="19">
        <v>46148</v>
      </c>
      <c r="K159" s="10">
        <v>6</v>
      </c>
      <c r="L159" s="19">
        <v>45803</v>
      </c>
      <c r="M159" s="10" t="s">
        <v>78</v>
      </c>
      <c r="N159" s="18">
        <v>2653.92</v>
      </c>
      <c r="O159" s="20" t="s">
        <v>79</v>
      </c>
      <c r="P159" s="8"/>
      <c r="Q159" s="9"/>
      <c r="R159" s="10"/>
      <c r="S159" s="10"/>
      <c r="T159" s="10"/>
      <c r="U159" s="11" t="str">
        <f t="shared" si="0"/>
        <v>AIRBNB</v>
      </c>
      <c r="V159" s="12">
        <f t="shared" si="1"/>
        <v>0</v>
      </c>
      <c r="W159" s="12" t="str">
        <f t="shared" si="2"/>
        <v>4614211523 48th</v>
      </c>
      <c r="X159" s="12" t="str">
        <f t="shared" si="3"/>
        <v>4614811523 48th</v>
      </c>
      <c r="Y159" s="13">
        <f t="shared" si="4"/>
        <v>0</v>
      </c>
      <c r="Z159" s="14" t="str">
        <f t="shared" si="5"/>
        <v/>
      </c>
      <c r="AB159" s="15"/>
      <c r="AC159" s="15"/>
    </row>
    <row r="160" spans="2:29" ht="14.25" customHeight="1">
      <c r="B160" s="10" t="s">
        <v>529</v>
      </c>
      <c r="C160" s="10" t="s">
        <v>10</v>
      </c>
      <c r="D160" s="10" t="s">
        <v>530</v>
      </c>
      <c r="E160" s="10"/>
      <c r="F160" s="10"/>
      <c r="G160" s="10"/>
      <c r="H160" s="10"/>
      <c r="I160" s="19">
        <v>46150</v>
      </c>
      <c r="J160" s="19">
        <v>46167</v>
      </c>
      <c r="K160" s="10"/>
      <c r="L160" s="19">
        <v>45764</v>
      </c>
      <c r="M160" s="10"/>
      <c r="N160" s="10"/>
      <c r="O160" s="20" t="s">
        <v>22</v>
      </c>
      <c r="P160" s="8"/>
      <c r="Q160" s="9"/>
      <c r="R160" s="10"/>
      <c r="S160" s="10"/>
      <c r="T160" s="10"/>
      <c r="U160" s="11" t="str">
        <f t="shared" si="0"/>
        <v>VRBO</v>
      </c>
      <c r="V160" s="12">
        <f t="shared" si="1"/>
        <v>0</v>
      </c>
      <c r="W160" s="12" t="str">
        <f t="shared" si="2"/>
        <v>4615065th Terr</v>
      </c>
      <c r="X160" s="12" t="str">
        <f t="shared" si="3"/>
        <v>4616765th Terr</v>
      </c>
      <c r="Y160" s="13">
        <f t="shared" si="4"/>
        <v>0</v>
      </c>
      <c r="Z160" s="14" t="str">
        <f t="shared" si="5"/>
        <v/>
      </c>
      <c r="AB160" s="15"/>
      <c r="AC160" s="15"/>
    </row>
    <row r="161" spans="2:29" ht="14.25" customHeight="1">
      <c r="B161" s="10" t="s">
        <v>531</v>
      </c>
      <c r="C161" s="10" t="s">
        <v>50</v>
      </c>
      <c r="D161" s="10" t="s">
        <v>532</v>
      </c>
      <c r="E161" s="10" t="s">
        <v>533</v>
      </c>
      <c r="F161" s="10">
        <v>4</v>
      </c>
      <c r="G161" s="10">
        <v>0</v>
      </c>
      <c r="H161" s="10">
        <v>2</v>
      </c>
      <c r="I161" s="19">
        <v>46163</v>
      </c>
      <c r="J161" s="19">
        <v>46167</v>
      </c>
      <c r="K161" s="10">
        <v>4</v>
      </c>
      <c r="L161" s="19">
        <v>45887</v>
      </c>
      <c r="M161" s="10" t="s">
        <v>45</v>
      </c>
      <c r="N161" s="18">
        <v>1830.39</v>
      </c>
      <c r="O161" s="20" t="s">
        <v>46</v>
      </c>
      <c r="P161" s="8"/>
      <c r="Q161" s="9"/>
      <c r="R161" s="10"/>
      <c r="S161" s="10"/>
      <c r="T161" s="10"/>
      <c r="U161" s="11" t="str">
        <f t="shared" si="0"/>
        <v>AIRBNB</v>
      </c>
      <c r="V161" s="12">
        <f t="shared" si="1"/>
        <v>0</v>
      </c>
      <c r="W161" s="12" t="str">
        <f t="shared" si="2"/>
        <v>46163Toucan</v>
      </c>
      <c r="X161" s="12" t="str">
        <f t="shared" si="3"/>
        <v>46167Toucan</v>
      </c>
      <c r="Y161" s="13">
        <f t="shared" si="4"/>
        <v>0</v>
      </c>
      <c r="Z161" s="14" t="str">
        <f t="shared" si="5"/>
        <v/>
      </c>
      <c r="AB161" s="15"/>
      <c r="AC161" s="15"/>
    </row>
    <row r="162" spans="2:29" ht="14.25" customHeight="1">
      <c r="B162" s="10" t="s">
        <v>534</v>
      </c>
      <c r="C162" s="10" t="s">
        <v>50</v>
      </c>
      <c r="D162" s="10" t="s">
        <v>535</v>
      </c>
      <c r="E162" s="10" t="s">
        <v>536</v>
      </c>
      <c r="F162" s="10">
        <v>4</v>
      </c>
      <c r="G162" s="10">
        <v>2</v>
      </c>
      <c r="H162" s="10">
        <v>0</v>
      </c>
      <c r="I162" s="19">
        <v>46195</v>
      </c>
      <c r="J162" s="19">
        <v>46201</v>
      </c>
      <c r="K162" s="10">
        <v>6</v>
      </c>
      <c r="L162" s="19">
        <v>45868</v>
      </c>
      <c r="M162" s="10" t="s">
        <v>78</v>
      </c>
      <c r="N162" s="18">
        <v>2689.81</v>
      </c>
      <c r="O162" s="20" t="s">
        <v>79</v>
      </c>
      <c r="P162" s="8"/>
      <c r="Q162" s="9"/>
      <c r="R162" s="10"/>
      <c r="S162" s="10"/>
      <c r="T162" s="10"/>
      <c r="U162" s="11" t="str">
        <f t="shared" si="0"/>
        <v>AIRBNB</v>
      </c>
      <c r="V162" s="12">
        <f t="shared" si="1"/>
        <v>0</v>
      </c>
      <c r="W162" s="12" t="str">
        <f t="shared" si="2"/>
        <v>4619511523 48th</v>
      </c>
      <c r="X162" s="12" t="str">
        <f t="shared" si="3"/>
        <v>4620111523 48th</v>
      </c>
      <c r="Y162" s="13">
        <f t="shared" si="4"/>
        <v>0</v>
      </c>
      <c r="Z162" s="14" t="str">
        <f t="shared" si="5"/>
        <v/>
      </c>
      <c r="AB162" s="15"/>
      <c r="AC162" s="15"/>
    </row>
    <row r="163" spans="2:29" ht="14.25" customHeight="1">
      <c r="B163" s="10" t="s">
        <v>537</v>
      </c>
      <c r="C163" s="10" t="s">
        <v>50</v>
      </c>
      <c r="D163" s="10" t="s">
        <v>538</v>
      </c>
      <c r="E163" s="10" t="s">
        <v>539</v>
      </c>
      <c r="F163" s="10">
        <v>7</v>
      </c>
      <c r="G163" s="10">
        <v>2</v>
      </c>
      <c r="H163" s="10">
        <v>0</v>
      </c>
      <c r="I163" s="19">
        <v>46204</v>
      </c>
      <c r="J163" s="19">
        <v>46209</v>
      </c>
      <c r="K163" s="10">
        <v>5</v>
      </c>
      <c r="L163" s="19">
        <v>45882</v>
      </c>
      <c r="M163" s="10" t="s">
        <v>63</v>
      </c>
      <c r="N163" s="18">
        <v>1576.25</v>
      </c>
      <c r="O163" s="20" t="s">
        <v>64</v>
      </c>
      <c r="P163" s="8"/>
      <c r="Q163" s="9"/>
      <c r="R163" s="10"/>
      <c r="S163" s="10"/>
      <c r="T163" s="10"/>
      <c r="U163" s="11" t="str">
        <f t="shared" si="0"/>
        <v>AIRBNB</v>
      </c>
      <c r="V163" s="12">
        <f t="shared" si="1"/>
        <v>0</v>
      </c>
      <c r="W163" s="12" t="str">
        <f t="shared" si="2"/>
        <v>46204106th Ave</v>
      </c>
      <c r="X163" s="12" t="str">
        <f t="shared" si="3"/>
        <v>46209106th Ave</v>
      </c>
      <c r="Y163" s="13">
        <f t="shared" si="4"/>
        <v>0</v>
      </c>
      <c r="Z163" s="14" t="str">
        <f t="shared" si="5"/>
        <v/>
      </c>
      <c r="AB163" s="15"/>
      <c r="AC163" s="15"/>
    </row>
    <row r="164" spans="2:29" ht="14.25" customHeight="1">
      <c r="B164" s="10" t="s">
        <v>540</v>
      </c>
      <c r="C164" s="10" t="s">
        <v>50</v>
      </c>
      <c r="D164" s="10" t="s">
        <v>541</v>
      </c>
      <c r="E164" s="10" t="s">
        <v>542</v>
      </c>
      <c r="F164" s="10">
        <v>11</v>
      </c>
      <c r="G164" s="10">
        <v>0</v>
      </c>
      <c r="H164" s="10">
        <v>0</v>
      </c>
      <c r="I164" s="19">
        <v>46206</v>
      </c>
      <c r="J164" s="19">
        <v>46209</v>
      </c>
      <c r="K164" s="10">
        <v>3</v>
      </c>
      <c r="L164" s="19">
        <v>45843</v>
      </c>
      <c r="M164" s="10" t="s">
        <v>204</v>
      </c>
      <c r="N164" s="18">
        <v>2231</v>
      </c>
      <c r="O164" s="20" t="s">
        <v>205</v>
      </c>
      <c r="P164" s="8"/>
      <c r="Q164" s="9"/>
      <c r="R164" s="10"/>
      <c r="S164" s="10"/>
      <c r="T164" s="10"/>
      <c r="U164" s="11" t="str">
        <f t="shared" si="0"/>
        <v>AIRBNB</v>
      </c>
      <c r="V164" s="12">
        <f t="shared" si="1"/>
        <v>0</v>
      </c>
      <c r="W164" s="12" t="str">
        <f t="shared" si="2"/>
        <v>4620660th St</v>
      </c>
      <c r="X164" s="12" t="str">
        <f t="shared" si="3"/>
        <v>4620960th St</v>
      </c>
      <c r="Y164" s="13">
        <f t="shared" si="4"/>
        <v>0</v>
      </c>
      <c r="Z164" s="14" t="str">
        <f t="shared" si="5"/>
        <v/>
      </c>
      <c r="AB164" s="15"/>
      <c r="AC164" s="15"/>
    </row>
    <row r="165" spans="2:29" ht="14.25" customHeight="1">
      <c r="B165" s="10" t="s">
        <v>543</v>
      </c>
      <c r="C165" s="10" t="s">
        <v>50</v>
      </c>
      <c r="D165" s="10" t="s">
        <v>544</v>
      </c>
      <c r="E165" s="10" t="s">
        <v>545</v>
      </c>
      <c r="F165" s="10">
        <v>6</v>
      </c>
      <c r="G165" s="10">
        <v>0</v>
      </c>
      <c r="H165" s="10">
        <v>0</v>
      </c>
      <c r="I165" s="19">
        <v>46222</v>
      </c>
      <c r="J165" s="19">
        <v>46228</v>
      </c>
      <c r="K165" s="10">
        <v>6</v>
      </c>
      <c r="L165" s="19">
        <v>45868</v>
      </c>
      <c r="M165" s="10" t="s">
        <v>73</v>
      </c>
      <c r="N165" s="18">
        <v>3020.58</v>
      </c>
      <c r="O165" s="20" t="s">
        <v>74</v>
      </c>
      <c r="P165" s="8"/>
      <c r="Q165" s="9"/>
      <c r="R165" s="10"/>
      <c r="S165" s="10"/>
      <c r="T165" s="10"/>
      <c r="U165" s="11" t="str">
        <f t="shared" si="0"/>
        <v>AIRBNB</v>
      </c>
      <c r="V165" s="12">
        <f t="shared" si="1"/>
        <v>0</v>
      </c>
      <c r="W165" s="12" t="str">
        <f t="shared" si="2"/>
        <v>46222Sunrise</v>
      </c>
      <c r="X165" s="12" t="str">
        <f t="shared" si="3"/>
        <v>46228Sunrise</v>
      </c>
      <c r="Y165" s="13">
        <f t="shared" si="4"/>
        <v>0</v>
      </c>
      <c r="Z165" s="14" t="str">
        <f t="shared" si="5"/>
        <v/>
      </c>
      <c r="AB165" s="15"/>
      <c r="AC165" s="15"/>
    </row>
    <row r="166" spans="2:29" ht="14.25" customHeight="1">
      <c r="B166" s="10" t="s">
        <v>546</v>
      </c>
      <c r="C166" s="10" t="s">
        <v>50</v>
      </c>
      <c r="D166" s="10" t="s">
        <v>547</v>
      </c>
      <c r="E166" s="10" t="s">
        <v>548</v>
      </c>
      <c r="F166" s="10">
        <v>5</v>
      </c>
      <c r="G166" s="10">
        <v>0</v>
      </c>
      <c r="H166" s="10">
        <v>0</v>
      </c>
      <c r="I166" s="19">
        <v>46329</v>
      </c>
      <c r="J166" s="19">
        <v>46334</v>
      </c>
      <c r="K166" s="10">
        <v>5</v>
      </c>
      <c r="L166" s="19">
        <v>45894</v>
      </c>
      <c r="M166" s="10" t="s">
        <v>140</v>
      </c>
      <c r="N166" s="18">
        <v>2837.25</v>
      </c>
      <c r="O166" s="20" t="s">
        <v>81</v>
      </c>
      <c r="P166" s="8"/>
      <c r="Q166" s="9"/>
      <c r="R166" s="10"/>
      <c r="S166" s="10"/>
      <c r="T166" s="10"/>
      <c r="U166" s="11" t="str">
        <f t="shared" si="0"/>
        <v>AIRBNB</v>
      </c>
      <c r="V166" s="12">
        <f t="shared" si="1"/>
        <v>0</v>
      </c>
      <c r="W166" s="12" t="str">
        <f t="shared" si="2"/>
        <v>463294801 48th</v>
      </c>
      <c r="X166" s="12" t="str">
        <f t="shared" si="3"/>
        <v>463344801 48th</v>
      </c>
      <c r="Y166" s="13">
        <f t="shared" si="4"/>
        <v>0</v>
      </c>
      <c r="Z166" s="14" t="str">
        <f t="shared" si="5"/>
        <v/>
      </c>
      <c r="AB166" s="15"/>
      <c r="AC166" s="15"/>
    </row>
    <row r="167" spans="2:29" ht="14.25" customHeight="1">
      <c r="E167" s="10"/>
      <c r="F167" s="10"/>
      <c r="G167" s="10"/>
      <c r="H167" s="10"/>
      <c r="I167" s="15"/>
      <c r="J167" s="15"/>
      <c r="K167" s="10"/>
      <c r="L167" s="15"/>
      <c r="M167" s="10"/>
      <c r="N167" s="10"/>
      <c r="O167" s="16"/>
      <c r="P167" s="8"/>
      <c r="Q167" s="9"/>
      <c r="R167" s="10"/>
      <c r="S167" s="10"/>
      <c r="T167" s="10"/>
      <c r="U167" s="11"/>
      <c r="V167" s="12"/>
      <c r="W167" s="12"/>
      <c r="X167" s="12"/>
      <c r="Y167" s="13"/>
      <c r="AB167" s="15"/>
      <c r="AC167" s="15"/>
    </row>
    <row r="168" spans="2:29" ht="14.25" customHeight="1">
      <c r="E168" s="10"/>
      <c r="F168" s="10"/>
      <c r="G168" s="10"/>
      <c r="H168" s="10"/>
      <c r="I168" s="15"/>
      <c r="J168" s="15"/>
      <c r="K168" s="10"/>
      <c r="L168" s="15"/>
      <c r="M168" s="10"/>
      <c r="N168" s="10"/>
      <c r="O168" s="16"/>
      <c r="P168" s="8"/>
      <c r="Q168" s="9"/>
      <c r="R168" s="10"/>
      <c r="S168" s="10"/>
      <c r="T168" s="10"/>
      <c r="U168" s="11"/>
      <c r="V168" s="12"/>
      <c r="W168" s="12"/>
      <c r="X168" s="12"/>
      <c r="Y168" s="13"/>
      <c r="AB168" s="15"/>
      <c r="AC168" s="15"/>
    </row>
    <row r="169" spans="2:29" ht="14.25" customHeight="1">
      <c r="E169" s="10"/>
      <c r="F169" s="10"/>
      <c r="G169" s="10"/>
      <c r="H169" s="10"/>
      <c r="I169" s="15"/>
      <c r="J169" s="15"/>
      <c r="K169" s="10"/>
      <c r="L169" s="15"/>
      <c r="M169" s="10"/>
      <c r="N169" s="10"/>
      <c r="O169" s="16"/>
      <c r="P169" s="8"/>
      <c r="Q169" s="9"/>
      <c r="R169" s="10"/>
      <c r="S169" s="10"/>
      <c r="T169" s="10"/>
      <c r="U169" s="11"/>
      <c r="V169" s="12"/>
      <c r="W169" s="12"/>
      <c r="X169" s="12"/>
      <c r="Y169" s="13"/>
      <c r="AB169" s="15"/>
      <c r="AC169" s="15"/>
    </row>
    <row r="170" spans="2:29" ht="14.25" customHeight="1">
      <c r="E170" s="10"/>
      <c r="F170" s="10"/>
      <c r="G170" s="10"/>
      <c r="H170" s="10"/>
      <c r="I170" s="15"/>
      <c r="J170" s="15"/>
      <c r="K170" s="10"/>
      <c r="L170" s="15"/>
      <c r="M170" s="10"/>
      <c r="N170" s="10"/>
      <c r="O170" s="16"/>
      <c r="P170" s="8"/>
      <c r="Q170" s="9"/>
      <c r="R170" s="10"/>
      <c r="S170" s="10"/>
      <c r="T170" s="10"/>
      <c r="U170" s="11"/>
      <c r="V170" s="12"/>
      <c r="W170" s="12"/>
      <c r="X170" s="12"/>
      <c r="Y170" s="13"/>
      <c r="AB170" s="15"/>
      <c r="AC170" s="15"/>
    </row>
    <row r="171" spans="2:29" ht="14.25" customHeight="1">
      <c r="E171" s="10"/>
      <c r="F171" s="10"/>
      <c r="G171" s="10"/>
      <c r="H171" s="10"/>
      <c r="I171" s="15"/>
      <c r="J171" s="15"/>
      <c r="K171" s="8"/>
      <c r="L171" s="15"/>
      <c r="M171" s="10"/>
      <c r="N171" s="10"/>
      <c r="O171" s="16"/>
      <c r="P171" s="8"/>
      <c r="Q171" s="9"/>
      <c r="R171" s="10"/>
      <c r="S171" s="10"/>
      <c r="T171" s="10"/>
      <c r="U171" s="11"/>
      <c r="V171" s="12"/>
      <c r="W171" s="12"/>
      <c r="X171" s="12"/>
      <c r="Y171" s="13"/>
      <c r="AB171" s="15"/>
      <c r="AC171" s="15"/>
    </row>
    <row r="172" spans="2:29" ht="14.25" customHeight="1">
      <c r="E172" s="10"/>
      <c r="F172" s="10"/>
      <c r="G172" s="10"/>
      <c r="H172" s="10"/>
      <c r="I172" s="15"/>
      <c r="J172" s="15"/>
      <c r="K172" s="10"/>
      <c r="L172" s="15"/>
      <c r="M172" s="10"/>
      <c r="N172" s="10"/>
      <c r="O172" s="16"/>
      <c r="P172" s="8"/>
      <c r="Q172" s="9"/>
      <c r="R172" s="10"/>
      <c r="S172" s="10"/>
      <c r="T172" s="10"/>
      <c r="U172" s="11"/>
      <c r="V172" s="12"/>
      <c r="W172" s="12"/>
      <c r="X172" s="12"/>
      <c r="Y172" s="13"/>
      <c r="AB172" s="15"/>
      <c r="AC172" s="15"/>
    </row>
    <row r="173" spans="2:29" ht="14.25" customHeight="1">
      <c r="E173" s="10"/>
      <c r="F173" s="10"/>
      <c r="G173" s="10"/>
      <c r="H173" s="10"/>
      <c r="I173" s="15"/>
      <c r="J173" s="15"/>
      <c r="K173" s="10"/>
      <c r="L173" s="15"/>
      <c r="M173" s="10"/>
      <c r="N173" s="10"/>
      <c r="O173" s="16"/>
      <c r="P173" s="8"/>
      <c r="Q173" s="9"/>
      <c r="R173" s="10"/>
      <c r="S173" s="10"/>
      <c r="T173" s="10"/>
      <c r="U173" s="11"/>
      <c r="V173" s="12"/>
      <c r="W173" s="12"/>
      <c r="X173" s="12"/>
      <c r="Y173" s="13"/>
      <c r="AB173" s="15"/>
      <c r="AC173" s="15"/>
    </row>
    <row r="174" spans="2:29" ht="14.25" customHeight="1">
      <c r="E174" s="10"/>
      <c r="F174" s="10"/>
      <c r="G174" s="10"/>
      <c r="H174" s="10"/>
      <c r="I174" s="15"/>
      <c r="J174" s="15"/>
      <c r="K174" s="10"/>
      <c r="L174" s="15"/>
      <c r="M174" s="10"/>
      <c r="N174" s="10"/>
      <c r="O174" s="16"/>
      <c r="P174" s="8"/>
      <c r="Q174" s="9"/>
      <c r="R174" s="10"/>
      <c r="S174" s="10"/>
      <c r="T174" s="10"/>
      <c r="U174" s="11"/>
      <c r="V174" s="12"/>
      <c r="W174" s="12"/>
      <c r="X174" s="12"/>
      <c r="Y174" s="13"/>
      <c r="AB174" s="15"/>
      <c r="AC174" s="15"/>
    </row>
    <row r="175" spans="2:29" ht="14.25" customHeight="1">
      <c r="E175" s="10"/>
      <c r="F175" s="10"/>
      <c r="G175" s="10"/>
      <c r="H175" s="10"/>
      <c r="I175" s="15"/>
      <c r="J175" s="15"/>
      <c r="K175" s="10"/>
      <c r="L175" s="15"/>
      <c r="M175" s="10"/>
      <c r="N175" s="10"/>
      <c r="O175" s="16"/>
      <c r="P175" s="8"/>
      <c r="Q175" s="9"/>
      <c r="R175" s="10"/>
      <c r="S175" s="10"/>
      <c r="T175" s="10"/>
      <c r="U175" s="11"/>
      <c r="V175" s="12"/>
      <c r="W175" s="12"/>
      <c r="X175" s="12"/>
      <c r="Y175" s="13"/>
      <c r="AB175" s="15"/>
      <c r="AC175" s="15"/>
    </row>
    <row r="176" spans="2:29" ht="14.25" customHeight="1">
      <c r="E176" s="10"/>
      <c r="F176" s="10"/>
      <c r="G176" s="10"/>
      <c r="H176" s="10"/>
      <c r="I176" s="15"/>
      <c r="J176" s="15"/>
      <c r="K176" s="10"/>
      <c r="L176" s="15"/>
      <c r="M176" s="10"/>
      <c r="N176" s="10"/>
      <c r="O176" s="16"/>
      <c r="P176" s="8"/>
      <c r="Q176" s="9"/>
      <c r="R176" s="10"/>
      <c r="S176" s="10"/>
      <c r="T176" s="10"/>
      <c r="U176" s="11"/>
      <c r="V176" s="12"/>
      <c r="W176" s="12"/>
      <c r="X176" s="12"/>
      <c r="Y176" s="13"/>
      <c r="AB176" s="15"/>
      <c r="AC176" s="15"/>
    </row>
    <row r="177" spans="5:29" ht="14.25" customHeight="1">
      <c r="E177" s="10"/>
      <c r="F177" s="10"/>
      <c r="G177" s="10"/>
      <c r="H177" s="10"/>
      <c r="I177" s="15"/>
      <c r="J177" s="15"/>
      <c r="K177" s="8"/>
      <c r="L177" s="15"/>
      <c r="M177" s="10"/>
      <c r="N177" s="10"/>
      <c r="O177" s="16"/>
      <c r="P177" s="8"/>
      <c r="Q177" s="9"/>
      <c r="R177" s="10"/>
      <c r="S177" s="10"/>
      <c r="T177" s="10"/>
      <c r="U177" s="11"/>
      <c r="V177" s="12"/>
      <c r="W177" s="12"/>
      <c r="X177" s="12"/>
      <c r="Y177" s="13"/>
      <c r="AB177" s="15"/>
      <c r="AC177" s="15"/>
    </row>
    <row r="178" spans="5:29" ht="14.25" customHeight="1">
      <c r="E178" s="10"/>
      <c r="F178" s="10"/>
      <c r="G178" s="10"/>
      <c r="H178" s="10"/>
      <c r="I178" s="15"/>
      <c r="J178" s="15"/>
      <c r="K178" s="10"/>
      <c r="L178" s="15"/>
      <c r="M178" s="10"/>
      <c r="N178" s="10"/>
      <c r="O178" s="16"/>
      <c r="P178" s="8"/>
      <c r="Q178" s="9"/>
      <c r="R178" s="10"/>
      <c r="S178" s="10"/>
      <c r="T178" s="10"/>
      <c r="U178" s="11"/>
      <c r="V178" s="12"/>
      <c r="W178" s="12"/>
      <c r="X178" s="12"/>
      <c r="Y178" s="13"/>
      <c r="AB178" s="15"/>
      <c r="AC178" s="15"/>
    </row>
    <row r="179" spans="5:29" ht="14.25" customHeight="1">
      <c r="E179" s="10"/>
      <c r="F179" s="10"/>
      <c r="G179" s="10"/>
      <c r="H179" s="10"/>
      <c r="I179" s="15"/>
      <c r="J179" s="15"/>
      <c r="K179" s="10"/>
      <c r="L179" s="15"/>
      <c r="M179" s="10"/>
      <c r="N179" s="10"/>
      <c r="O179" s="16"/>
      <c r="P179" s="8"/>
      <c r="Q179" s="9"/>
      <c r="R179" s="10"/>
      <c r="S179" s="10"/>
      <c r="T179" s="10"/>
      <c r="U179" s="11"/>
      <c r="V179" s="12"/>
      <c r="W179" s="12"/>
      <c r="X179" s="12"/>
      <c r="Y179" s="13"/>
      <c r="AB179" s="15"/>
      <c r="AC179" s="15"/>
    </row>
    <row r="180" spans="5:29" ht="14.25" customHeight="1">
      <c r="E180" s="10"/>
      <c r="F180" s="10"/>
      <c r="G180" s="10"/>
      <c r="H180" s="10"/>
      <c r="I180" s="15"/>
      <c r="J180" s="15"/>
      <c r="K180" s="10"/>
      <c r="L180" s="15"/>
      <c r="M180" s="10"/>
      <c r="N180" s="10"/>
      <c r="O180" s="16"/>
      <c r="P180" s="8"/>
      <c r="Q180" s="9"/>
      <c r="R180" s="10"/>
      <c r="S180" s="10"/>
      <c r="T180" s="10"/>
      <c r="U180" s="11"/>
      <c r="V180" s="12"/>
      <c r="W180" s="12"/>
      <c r="X180" s="12"/>
      <c r="Y180" s="13"/>
      <c r="AB180" s="15"/>
      <c r="AC180" s="15"/>
    </row>
    <row r="181" spans="5:29" ht="14.25" customHeight="1">
      <c r="E181" s="10"/>
      <c r="F181" s="10"/>
      <c r="G181" s="10"/>
      <c r="H181" s="10"/>
      <c r="I181" s="15"/>
      <c r="J181" s="15"/>
      <c r="K181" s="10"/>
      <c r="L181" s="15"/>
      <c r="M181" s="10"/>
      <c r="N181" s="10"/>
      <c r="O181" s="16"/>
      <c r="P181" s="8"/>
      <c r="Q181" s="9"/>
      <c r="R181" s="10"/>
      <c r="S181" s="10"/>
      <c r="T181" s="10"/>
      <c r="U181" s="11"/>
      <c r="V181" s="12"/>
      <c r="W181" s="12"/>
      <c r="X181" s="12"/>
      <c r="Y181" s="13"/>
      <c r="AB181" s="15"/>
      <c r="AC181" s="15"/>
    </row>
    <row r="182" spans="5:29" ht="14.25" customHeight="1">
      <c r="E182" s="10"/>
      <c r="F182" s="10"/>
      <c r="G182" s="10"/>
      <c r="H182" s="10"/>
      <c r="I182" s="15"/>
      <c r="J182" s="15"/>
      <c r="K182" s="10"/>
      <c r="L182" s="15"/>
      <c r="M182" s="10"/>
      <c r="N182" s="10"/>
      <c r="O182" s="16"/>
      <c r="P182" s="8"/>
      <c r="Q182" s="9"/>
      <c r="R182" s="10"/>
      <c r="S182" s="10"/>
      <c r="T182" s="10"/>
      <c r="U182" s="11"/>
      <c r="V182" s="12"/>
      <c r="W182" s="12"/>
      <c r="X182" s="12"/>
      <c r="Y182" s="13"/>
      <c r="AB182" s="15"/>
      <c r="AC182" s="15"/>
    </row>
    <row r="183" spans="5:29" ht="14.25" customHeight="1">
      <c r="E183" s="10"/>
      <c r="F183" s="10"/>
      <c r="G183" s="10"/>
      <c r="H183" s="10"/>
      <c r="I183" s="15"/>
      <c r="J183" s="15"/>
      <c r="K183" s="10"/>
      <c r="L183" s="15"/>
      <c r="M183" s="10"/>
      <c r="N183" s="10"/>
      <c r="O183" s="16"/>
      <c r="P183" s="8"/>
      <c r="Q183" s="9"/>
      <c r="R183" s="10"/>
      <c r="S183" s="10"/>
      <c r="T183" s="10"/>
      <c r="U183" s="11"/>
      <c r="V183" s="12"/>
      <c r="W183" s="12"/>
      <c r="X183" s="12"/>
      <c r="Y183" s="13"/>
      <c r="AB183" s="15"/>
      <c r="AC183" s="15"/>
    </row>
    <row r="184" spans="5:29" ht="14.25" customHeight="1">
      <c r="E184" s="10"/>
      <c r="F184" s="10"/>
      <c r="G184" s="10"/>
      <c r="H184" s="10"/>
      <c r="I184" s="15"/>
      <c r="J184" s="15"/>
      <c r="K184" s="10"/>
      <c r="L184" s="15"/>
      <c r="M184" s="10"/>
      <c r="N184" s="10"/>
      <c r="O184" s="16"/>
      <c r="P184" s="8"/>
      <c r="Q184" s="9"/>
      <c r="R184" s="10"/>
      <c r="S184" s="10"/>
      <c r="T184" s="10"/>
      <c r="U184" s="11"/>
      <c r="V184" s="12"/>
      <c r="W184" s="12"/>
      <c r="X184" s="12"/>
      <c r="Y184" s="13"/>
      <c r="AB184" s="15"/>
      <c r="AC184" s="15"/>
    </row>
    <row r="185" spans="5:29" ht="14.25" customHeight="1">
      <c r="E185" s="10"/>
      <c r="F185" s="10"/>
      <c r="G185" s="10"/>
      <c r="H185" s="10"/>
      <c r="I185" s="15"/>
      <c r="J185" s="15"/>
      <c r="K185" s="10"/>
      <c r="L185" s="15"/>
      <c r="M185" s="10"/>
      <c r="N185" s="10"/>
      <c r="O185" s="16"/>
      <c r="P185" s="8"/>
      <c r="Q185" s="9"/>
      <c r="R185" s="10"/>
      <c r="S185" s="10"/>
      <c r="T185" s="10"/>
      <c r="U185" s="11"/>
      <c r="V185" s="12"/>
      <c r="W185" s="12"/>
      <c r="X185" s="12"/>
      <c r="Y185" s="13"/>
      <c r="AB185" s="15"/>
      <c r="AC185" s="15"/>
    </row>
    <row r="186" spans="5:29" ht="14.25" customHeight="1">
      <c r="E186" s="10"/>
      <c r="F186" s="10"/>
      <c r="G186" s="10"/>
      <c r="H186" s="10"/>
      <c r="I186" s="15"/>
      <c r="J186" s="15"/>
      <c r="K186" s="8"/>
      <c r="L186" s="15"/>
      <c r="M186" s="10"/>
      <c r="N186" s="10"/>
      <c r="O186" s="16"/>
      <c r="P186" s="8"/>
      <c r="Q186" s="9"/>
      <c r="R186" s="10"/>
      <c r="S186" s="10"/>
      <c r="T186" s="10"/>
      <c r="U186" s="11"/>
      <c r="V186" s="12"/>
      <c r="W186" s="12"/>
      <c r="X186" s="12"/>
      <c r="Y186" s="13"/>
      <c r="AB186" s="15"/>
      <c r="AC186" s="15"/>
    </row>
    <row r="187" spans="5:29" ht="14.25" customHeight="1">
      <c r="E187" s="10"/>
      <c r="F187" s="10"/>
      <c r="G187" s="10"/>
      <c r="H187" s="10"/>
      <c r="I187" s="15"/>
      <c r="J187" s="15"/>
      <c r="K187" s="10"/>
      <c r="L187" s="15"/>
      <c r="M187" s="10"/>
      <c r="N187" s="10"/>
      <c r="O187" s="16"/>
      <c r="P187" s="8"/>
      <c r="Q187" s="9"/>
      <c r="R187" s="10"/>
      <c r="S187" s="10"/>
      <c r="T187" s="10"/>
      <c r="U187" s="11"/>
      <c r="V187" s="12"/>
      <c r="W187" s="12"/>
      <c r="X187" s="12"/>
      <c r="Y187" s="13"/>
      <c r="AB187" s="15"/>
      <c r="AC187" s="15"/>
    </row>
    <row r="188" spans="5:29" ht="14.25" customHeight="1">
      <c r="E188" s="10"/>
      <c r="F188" s="10"/>
      <c r="G188" s="10"/>
      <c r="H188" s="10"/>
      <c r="I188" s="15"/>
      <c r="J188" s="15"/>
      <c r="K188" s="10"/>
      <c r="L188" s="15"/>
      <c r="M188" s="10"/>
      <c r="N188" s="10"/>
      <c r="O188" s="16"/>
      <c r="P188" s="8"/>
      <c r="Q188" s="9"/>
      <c r="R188" s="10"/>
      <c r="S188" s="10"/>
      <c r="T188" s="10"/>
      <c r="U188" s="11"/>
      <c r="V188" s="12"/>
      <c r="W188" s="12"/>
      <c r="X188" s="12"/>
      <c r="Y188" s="13"/>
      <c r="AB188" s="15"/>
      <c r="AC188" s="15"/>
    </row>
    <row r="189" spans="5:29" ht="14.25" customHeight="1">
      <c r="E189" s="10"/>
      <c r="F189" s="10"/>
      <c r="G189" s="10"/>
      <c r="H189" s="10"/>
      <c r="I189" s="15"/>
      <c r="J189" s="15"/>
      <c r="K189" s="10"/>
      <c r="L189" s="15"/>
      <c r="M189" s="10"/>
      <c r="N189" s="10"/>
      <c r="O189" s="16"/>
      <c r="P189" s="8"/>
      <c r="Q189" s="9"/>
      <c r="R189" s="10"/>
      <c r="S189" s="10"/>
      <c r="T189" s="10"/>
      <c r="U189" s="11"/>
      <c r="V189" s="12"/>
      <c r="W189" s="12"/>
      <c r="X189" s="12"/>
      <c r="Y189" s="13"/>
      <c r="AB189" s="15"/>
      <c r="AC189" s="15"/>
    </row>
    <row r="190" spans="5:29" ht="14.25" customHeight="1">
      <c r="E190" s="10"/>
      <c r="F190" s="10"/>
      <c r="G190" s="10"/>
      <c r="H190" s="10"/>
      <c r="I190" s="15"/>
      <c r="J190" s="15"/>
      <c r="K190" s="10"/>
      <c r="L190" s="15"/>
      <c r="M190" s="10"/>
      <c r="N190" s="10"/>
      <c r="O190" s="16"/>
      <c r="P190" s="8"/>
      <c r="Q190" s="9"/>
      <c r="R190" s="10"/>
      <c r="S190" s="10"/>
      <c r="T190" s="10"/>
      <c r="U190" s="11"/>
      <c r="V190" s="12"/>
      <c r="W190" s="12"/>
      <c r="X190" s="12"/>
      <c r="Y190" s="13"/>
      <c r="AB190" s="15"/>
      <c r="AC190" s="15"/>
    </row>
    <row r="191" spans="5:29" ht="14.25" customHeight="1">
      <c r="E191" s="10"/>
      <c r="F191" s="10"/>
      <c r="G191" s="10"/>
      <c r="H191" s="10"/>
      <c r="I191" s="15"/>
      <c r="J191" s="15"/>
      <c r="K191" s="10"/>
      <c r="L191" s="15"/>
      <c r="M191" s="10"/>
      <c r="N191" s="10"/>
      <c r="O191" s="16"/>
      <c r="P191" s="8"/>
      <c r="Q191" s="9"/>
      <c r="R191" s="10"/>
      <c r="S191" s="10"/>
      <c r="T191" s="10"/>
      <c r="U191" s="11"/>
      <c r="V191" s="12"/>
      <c r="W191" s="12"/>
      <c r="X191" s="12"/>
      <c r="Y191" s="13"/>
      <c r="AB191" s="15"/>
      <c r="AC191" s="15"/>
    </row>
    <row r="192" spans="5:29" ht="14.25" customHeight="1">
      <c r="E192" s="10"/>
      <c r="F192" s="10"/>
      <c r="G192" s="10"/>
      <c r="H192" s="10"/>
      <c r="I192" s="15"/>
      <c r="J192" s="15"/>
      <c r="K192" s="10"/>
      <c r="L192" s="15"/>
      <c r="M192" s="10"/>
      <c r="N192" s="10"/>
      <c r="O192" s="16"/>
      <c r="P192" s="8"/>
      <c r="Q192" s="9"/>
      <c r="R192" s="10"/>
      <c r="S192" s="10"/>
      <c r="T192" s="10"/>
      <c r="U192" s="11"/>
      <c r="V192" s="12"/>
      <c r="W192" s="12"/>
      <c r="X192" s="12"/>
      <c r="Y192" s="13"/>
      <c r="AB192" s="15"/>
      <c r="AC192" s="15"/>
    </row>
    <row r="193" spans="2:29" ht="14.25" customHeight="1">
      <c r="E193" s="10"/>
      <c r="F193" s="10"/>
      <c r="G193" s="10"/>
      <c r="H193" s="10"/>
      <c r="I193" s="15"/>
      <c r="J193" s="15"/>
      <c r="K193" s="10"/>
      <c r="L193" s="15"/>
      <c r="M193" s="10"/>
      <c r="N193" s="10"/>
      <c r="O193" s="16"/>
      <c r="P193" s="8"/>
      <c r="Q193" s="9"/>
      <c r="R193" s="10"/>
      <c r="S193" s="10"/>
      <c r="T193" s="10"/>
      <c r="U193" s="11"/>
      <c r="V193" s="12"/>
      <c r="W193" s="12"/>
      <c r="X193" s="12"/>
      <c r="Y193" s="13"/>
      <c r="AB193" s="15"/>
      <c r="AC193" s="15"/>
    </row>
    <row r="194" spans="2:29" ht="14.25" customHeight="1">
      <c r="E194" s="10"/>
      <c r="F194" s="10"/>
      <c r="G194" s="10"/>
      <c r="H194" s="10"/>
      <c r="I194" s="15"/>
      <c r="J194" s="15"/>
      <c r="K194" s="10"/>
      <c r="L194" s="15"/>
      <c r="M194" s="10"/>
      <c r="N194" s="10"/>
      <c r="O194" s="16"/>
      <c r="P194" s="8"/>
      <c r="Q194" s="9"/>
      <c r="R194" s="10"/>
      <c r="S194" s="10"/>
      <c r="T194" s="10"/>
      <c r="U194" s="11"/>
      <c r="V194" s="12"/>
      <c r="W194" s="12"/>
      <c r="X194" s="12"/>
      <c r="Y194" s="13"/>
      <c r="AB194" s="15"/>
      <c r="AC194" s="15"/>
    </row>
    <row r="195" spans="2:29" ht="14.25" customHeight="1">
      <c r="E195" s="10"/>
      <c r="F195" s="10"/>
      <c r="G195" s="10"/>
      <c r="H195" s="10"/>
      <c r="I195" s="15"/>
      <c r="J195" s="15"/>
      <c r="K195" s="10"/>
      <c r="L195" s="15"/>
      <c r="M195" s="10"/>
      <c r="N195" s="10"/>
      <c r="O195" s="16"/>
      <c r="P195" s="8"/>
      <c r="Q195" s="9"/>
      <c r="R195" s="10"/>
      <c r="S195" s="10"/>
      <c r="T195" s="10"/>
      <c r="U195" s="11"/>
      <c r="V195" s="12"/>
      <c r="W195" s="12"/>
      <c r="X195" s="12"/>
      <c r="Y195" s="13"/>
      <c r="AB195" s="15"/>
      <c r="AC195" s="15"/>
    </row>
    <row r="196" spans="2:29" ht="14.25" customHeight="1">
      <c r="E196" s="10"/>
      <c r="F196" s="10"/>
      <c r="G196" s="10"/>
      <c r="H196" s="10"/>
      <c r="I196" s="15"/>
      <c r="J196" s="15"/>
      <c r="K196" s="10"/>
      <c r="L196" s="15"/>
      <c r="M196" s="10"/>
      <c r="N196" s="10"/>
      <c r="O196" s="16"/>
      <c r="P196" s="8"/>
      <c r="Q196" s="9"/>
      <c r="R196" s="10"/>
      <c r="S196" s="10"/>
      <c r="T196" s="10"/>
      <c r="U196" s="11"/>
      <c r="V196" s="12"/>
      <c r="W196" s="12"/>
      <c r="X196" s="12"/>
      <c r="Y196" s="13"/>
      <c r="AB196" s="15"/>
      <c r="AC196" s="15"/>
    </row>
    <row r="197" spans="2:29" ht="14.25" customHeight="1">
      <c r="E197" s="10"/>
      <c r="F197" s="10"/>
      <c r="G197" s="10"/>
      <c r="H197" s="10"/>
      <c r="I197" s="15"/>
      <c r="J197" s="15"/>
      <c r="K197" s="10"/>
      <c r="L197" s="15"/>
      <c r="M197" s="10"/>
      <c r="N197" s="10"/>
      <c r="O197" s="16"/>
      <c r="P197" s="8"/>
      <c r="Q197" s="9"/>
      <c r="R197" s="10"/>
      <c r="S197" s="10"/>
      <c r="T197" s="10"/>
      <c r="U197" s="11"/>
      <c r="V197" s="12"/>
      <c r="W197" s="12"/>
      <c r="X197" s="12"/>
      <c r="Y197" s="13"/>
      <c r="AB197" s="15"/>
      <c r="AC197" s="15"/>
    </row>
    <row r="198" spans="2:29" ht="14.25" customHeight="1">
      <c r="E198" s="10"/>
      <c r="F198" s="10"/>
      <c r="G198" s="10"/>
      <c r="H198" s="10"/>
      <c r="I198" s="15"/>
      <c r="J198" s="15"/>
      <c r="K198" s="10"/>
      <c r="L198" s="15"/>
      <c r="M198" s="10"/>
      <c r="N198" s="10"/>
      <c r="O198" s="16"/>
      <c r="P198" s="8"/>
      <c r="Q198" s="9"/>
      <c r="R198" s="10"/>
      <c r="S198" s="10"/>
      <c r="T198" s="10"/>
      <c r="U198" s="11"/>
      <c r="V198" s="12"/>
      <c r="W198" s="12"/>
      <c r="X198" s="12"/>
      <c r="Y198" s="13"/>
      <c r="AB198" s="15"/>
      <c r="AC198" s="15"/>
    </row>
    <row r="199" spans="2:29" ht="14.25" customHeight="1">
      <c r="E199" s="10"/>
      <c r="F199" s="10"/>
      <c r="G199" s="10"/>
      <c r="H199" s="10"/>
      <c r="I199" s="15"/>
      <c r="J199" s="15"/>
      <c r="K199" s="8"/>
      <c r="L199" s="15"/>
      <c r="M199" s="10"/>
      <c r="N199" s="10"/>
      <c r="O199" s="16"/>
      <c r="P199" s="8"/>
      <c r="Q199" s="9"/>
      <c r="R199" s="10"/>
      <c r="S199" s="10"/>
      <c r="T199" s="10"/>
      <c r="U199" s="11"/>
      <c r="V199" s="12"/>
      <c r="W199" s="12"/>
      <c r="X199" s="12"/>
      <c r="Y199" s="13"/>
      <c r="AB199" s="15"/>
      <c r="AC199" s="15"/>
    </row>
    <row r="200" spans="2:29" ht="14.25" customHeight="1">
      <c r="E200" s="10"/>
      <c r="F200" s="10"/>
      <c r="G200" s="10"/>
      <c r="H200" s="10"/>
      <c r="I200" s="15"/>
      <c r="J200" s="15"/>
      <c r="K200" s="10"/>
      <c r="L200" s="15"/>
      <c r="M200" s="10"/>
      <c r="N200" s="10"/>
      <c r="O200" s="16"/>
      <c r="P200" s="8"/>
      <c r="Q200" s="9"/>
      <c r="R200" s="10"/>
      <c r="S200" s="10"/>
      <c r="T200" s="10"/>
      <c r="U200" s="11"/>
      <c r="V200" s="12"/>
      <c r="W200" s="12"/>
      <c r="X200" s="12"/>
      <c r="Y200" s="13"/>
      <c r="AB200" s="15"/>
      <c r="AC200" s="15"/>
    </row>
    <row r="201" spans="2:29" ht="14.25" customHeight="1">
      <c r="E201" s="10"/>
      <c r="F201" s="10"/>
      <c r="G201" s="10"/>
      <c r="H201" s="10"/>
      <c r="I201" s="15"/>
      <c r="J201" s="15"/>
      <c r="K201" s="10"/>
      <c r="L201" s="15"/>
      <c r="M201" s="10"/>
      <c r="N201" s="10"/>
      <c r="O201" s="16"/>
      <c r="P201" s="8"/>
      <c r="Q201" s="9"/>
      <c r="R201" s="10"/>
      <c r="S201" s="10"/>
      <c r="T201" s="10"/>
      <c r="U201" s="11"/>
      <c r="V201" s="12"/>
      <c r="W201" s="12"/>
      <c r="X201" s="12"/>
      <c r="Y201" s="13"/>
      <c r="AB201" s="15"/>
      <c r="AC201" s="15"/>
    </row>
    <row r="202" spans="2:29" ht="14.25" customHeight="1">
      <c r="E202" s="10"/>
      <c r="F202" s="10"/>
      <c r="G202" s="10"/>
      <c r="H202" s="10"/>
      <c r="I202" s="15"/>
      <c r="J202" s="15"/>
      <c r="K202" s="10"/>
      <c r="L202" s="15"/>
      <c r="M202" s="10"/>
      <c r="N202" s="10"/>
      <c r="O202" s="16"/>
      <c r="P202" s="8"/>
      <c r="Q202" s="9"/>
      <c r="R202" s="10"/>
      <c r="S202" s="10"/>
      <c r="T202" s="10"/>
      <c r="U202" s="11"/>
      <c r="V202" s="12"/>
      <c r="W202" s="12"/>
      <c r="X202" s="12"/>
      <c r="Y202" s="13"/>
      <c r="AB202" s="15"/>
      <c r="AC202" s="15"/>
    </row>
    <row r="203" spans="2:29" ht="14.25" customHeight="1">
      <c r="E203" s="10"/>
      <c r="F203" s="10"/>
      <c r="G203" s="10"/>
      <c r="H203" s="10"/>
      <c r="I203" s="15"/>
      <c r="J203" s="15"/>
      <c r="K203" s="10"/>
      <c r="L203" s="15"/>
      <c r="M203" s="10"/>
      <c r="N203" s="10"/>
      <c r="O203" s="16"/>
      <c r="P203" s="8"/>
      <c r="Q203" s="9"/>
      <c r="R203" s="10"/>
      <c r="S203" s="10"/>
      <c r="T203" s="10"/>
      <c r="U203" s="11"/>
      <c r="V203" s="12"/>
      <c r="W203" s="12"/>
      <c r="X203" s="12"/>
      <c r="Y203" s="13"/>
      <c r="AB203" s="15"/>
      <c r="AC203" s="15"/>
    </row>
    <row r="204" spans="2:29" ht="14.25" customHeight="1">
      <c r="E204" s="10"/>
      <c r="F204" s="10"/>
      <c r="G204" s="10"/>
      <c r="H204" s="10"/>
      <c r="I204" s="15"/>
      <c r="J204" s="15"/>
      <c r="K204" s="10"/>
      <c r="L204" s="15"/>
      <c r="M204" s="10"/>
      <c r="N204" s="10"/>
      <c r="O204" s="16"/>
      <c r="P204" s="8"/>
      <c r="Q204" s="9"/>
      <c r="R204" s="10"/>
      <c r="S204" s="10"/>
      <c r="T204" s="10"/>
      <c r="U204" s="11"/>
      <c r="V204" s="12"/>
      <c r="W204" s="12"/>
      <c r="X204" s="12"/>
      <c r="Y204" s="13"/>
      <c r="AB204" s="15"/>
      <c r="AC204" s="15"/>
    </row>
    <row r="205" spans="2:29" ht="14.25" customHeight="1">
      <c r="E205" s="10"/>
      <c r="F205" s="10"/>
      <c r="G205" s="10"/>
      <c r="H205" s="10"/>
      <c r="I205" s="15"/>
      <c r="J205" s="15"/>
      <c r="K205" s="10"/>
      <c r="L205" s="15"/>
      <c r="M205" s="10"/>
      <c r="N205" s="10"/>
      <c r="O205" s="16"/>
      <c r="P205" s="8"/>
      <c r="Q205" s="9"/>
      <c r="R205" s="10"/>
      <c r="S205" s="10"/>
      <c r="T205" s="10"/>
      <c r="U205" s="11"/>
      <c r="V205" s="12"/>
      <c r="W205" s="12"/>
      <c r="X205" s="12"/>
      <c r="Y205" s="13"/>
      <c r="AB205" s="15"/>
      <c r="AC205" s="15"/>
    </row>
    <row r="206" spans="2:29" ht="14.25" customHeight="1">
      <c r="E206" s="10"/>
      <c r="F206" s="10"/>
      <c r="G206" s="10"/>
      <c r="H206" s="10"/>
      <c r="I206" s="15"/>
      <c r="J206" s="15"/>
      <c r="K206" s="10"/>
      <c r="L206" s="15"/>
      <c r="M206" s="10"/>
      <c r="N206" s="10"/>
      <c r="O206" s="16"/>
      <c r="P206" s="8"/>
      <c r="Q206" s="9"/>
      <c r="R206" s="10"/>
      <c r="S206" s="10"/>
      <c r="T206" s="10"/>
      <c r="U206" s="11"/>
      <c r="V206" s="12"/>
      <c r="W206" s="12"/>
      <c r="X206" s="12"/>
      <c r="Y206" s="13"/>
      <c r="AB206" s="15"/>
      <c r="AC206" s="15"/>
    </row>
    <row r="207" spans="2:29" ht="14.25" customHeight="1">
      <c r="B207" s="10"/>
      <c r="C207" s="10"/>
      <c r="D207" s="10"/>
      <c r="E207" s="10"/>
      <c r="F207" s="10"/>
      <c r="G207" s="10"/>
      <c r="H207" s="10"/>
      <c r="I207" s="21"/>
      <c r="J207" s="21"/>
      <c r="K207" s="10"/>
      <c r="L207" s="21"/>
      <c r="M207" s="10"/>
      <c r="N207" s="10"/>
      <c r="O207" s="16"/>
      <c r="P207" s="10"/>
      <c r="Q207" s="10"/>
      <c r="R207" s="10"/>
      <c r="S207" s="10"/>
      <c r="T207" s="10"/>
      <c r="U207" s="11"/>
      <c r="V207" s="12"/>
      <c r="W207" s="12"/>
      <c r="X207" s="12"/>
      <c r="Y207" s="13"/>
      <c r="AB207" s="21"/>
      <c r="AC207" s="21"/>
    </row>
    <row r="208" spans="2:29" ht="14.25" customHeight="1">
      <c r="B208" s="10"/>
      <c r="C208" s="10"/>
      <c r="D208" s="10"/>
      <c r="E208" s="10"/>
      <c r="F208" s="10"/>
      <c r="G208" s="10"/>
      <c r="H208" s="10"/>
      <c r="I208" s="21"/>
      <c r="J208" s="21"/>
      <c r="K208" s="10"/>
      <c r="L208" s="21"/>
      <c r="M208" s="10"/>
      <c r="N208" s="10"/>
      <c r="O208" s="16"/>
      <c r="P208" s="10"/>
      <c r="Q208" s="10"/>
      <c r="R208" s="10"/>
      <c r="S208" s="10"/>
      <c r="T208" s="10"/>
      <c r="U208" s="11"/>
      <c r="V208" s="12"/>
      <c r="W208" s="12"/>
      <c r="X208" s="12"/>
      <c r="Y208" s="13"/>
      <c r="AB208" s="21"/>
      <c r="AC208" s="21"/>
    </row>
    <row r="209" spans="2:29" ht="14.25" customHeight="1">
      <c r="B209" s="10"/>
      <c r="C209" s="10"/>
      <c r="D209" s="10"/>
      <c r="E209" s="10"/>
      <c r="F209" s="10"/>
      <c r="G209" s="10"/>
      <c r="H209" s="10"/>
      <c r="I209" s="21"/>
      <c r="J209" s="21"/>
      <c r="K209" s="10"/>
      <c r="L209" s="21"/>
      <c r="M209" s="10"/>
      <c r="N209" s="10"/>
      <c r="O209" s="16"/>
      <c r="P209" s="10"/>
      <c r="Q209" s="10"/>
      <c r="R209" s="10"/>
      <c r="S209" s="10"/>
      <c r="T209" s="10"/>
      <c r="U209" s="11"/>
      <c r="V209" s="12"/>
      <c r="W209" s="12"/>
      <c r="X209" s="12"/>
      <c r="Y209" s="13"/>
      <c r="AB209" s="21"/>
      <c r="AC209" s="21"/>
    </row>
    <row r="210" spans="2:29" ht="14.25" customHeight="1">
      <c r="B210" s="10"/>
      <c r="C210" s="10"/>
      <c r="D210" s="10"/>
      <c r="E210" s="10"/>
      <c r="F210" s="10"/>
      <c r="G210" s="10"/>
      <c r="H210" s="10"/>
      <c r="I210" s="21"/>
      <c r="J210" s="21"/>
      <c r="K210" s="10"/>
      <c r="L210" s="21"/>
      <c r="M210" s="10"/>
      <c r="N210" s="10"/>
      <c r="O210" s="16"/>
      <c r="P210" s="10"/>
      <c r="Q210" s="10"/>
      <c r="R210" s="10"/>
      <c r="S210" s="10"/>
      <c r="T210" s="10"/>
      <c r="U210" s="11"/>
      <c r="V210" s="12"/>
      <c r="W210" s="12"/>
      <c r="X210" s="12"/>
      <c r="Y210" s="13"/>
      <c r="AB210" s="21"/>
      <c r="AC210" s="21"/>
    </row>
    <row r="211" spans="2:29" ht="14.25" customHeight="1">
      <c r="B211" s="10"/>
      <c r="C211" s="10"/>
      <c r="D211" s="10"/>
      <c r="E211" s="10"/>
      <c r="F211" s="10"/>
      <c r="G211" s="10"/>
      <c r="H211" s="10"/>
      <c r="I211" s="21"/>
      <c r="J211" s="21"/>
      <c r="K211" s="10"/>
      <c r="L211" s="21"/>
      <c r="M211" s="10"/>
      <c r="N211" s="10"/>
      <c r="O211" s="16"/>
      <c r="P211" s="10"/>
      <c r="Q211" s="10"/>
      <c r="R211" s="10"/>
      <c r="S211" s="10"/>
      <c r="T211" s="10"/>
      <c r="U211" s="11"/>
      <c r="V211" s="12"/>
      <c r="W211" s="12"/>
      <c r="X211" s="12"/>
      <c r="Y211" s="13"/>
      <c r="AB211" s="21"/>
      <c r="AC211" s="21"/>
    </row>
    <row r="212" spans="2:29" ht="14.25" customHeight="1">
      <c r="B212" s="10"/>
      <c r="C212" s="10"/>
      <c r="D212" s="10"/>
      <c r="E212" s="10"/>
      <c r="F212" s="10"/>
      <c r="G212" s="10"/>
      <c r="H212" s="10"/>
      <c r="I212" s="21"/>
      <c r="J212" s="21"/>
      <c r="K212" s="10"/>
      <c r="L212" s="21"/>
      <c r="M212" s="10"/>
      <c r="N212" s="10"/>
      <c r="O212" s="16"/>
      <c r="P212" s="10"/>
      <c r="Q212" s="10"/>
      <c r="R212" s="10"/>
      <c r="S212" s="10"/>
      <c r="T212" s="10"/>
      <c r="U212" s="11"/>
      <c r="V212" s="12"/>
      <c r="W212" s="12"/>
      <c r="X212" s="12"/>
      <c r="Y212" s="13"/>
      <c r="AB212" s="21"/>
      <c r="AC212" s="21"/>
    </row>
    <row r="213" spans="2:29" ht="14.25" customHeight="1">
      <c r="B213" s="10"/>
      <c r="C213" s="10"/>
      <c r="D213" s="10"/>
      <c r="E213" s="10"/>
      <c r="F213" s="10"/>
      <c r="G213" s="10"/>
      <c r="H213" s="10"/>
      <c r="I213" s="21"/>
      <c r="J213" s="21"/>
      <c r="K213" s="10"/>
      <c r="L213" s="21"/>
      <c r="M213" s="10"/>
      <c r="N213" s="10"/>
      <c r="O213" s="16"/>
      <c r="P213" s="10"/>
      <c r="Q213" s="10"/>
      <c r="R213" s="10"/>
      <c r="S213" s="10"/>
      <c r="T213" s="10"/>
      <c r="U213" s="11"/>
      <c r="V213" s="12"/>
      <c r="W213" s="12"/>
      <c r="X213" s="12"/>
      <c r="Y213" s="13"/>
      <c r="AB213" s="21"/>
      <c r="AC213" s="21"/>
    </row>
    <row r="214" spans="2:29" ht="14.25" customHeight="1">
      <c r="B214" s="10"/>
      <c r="C214" s="10"/>
      <c r="D214" s="10"/>
      <c r="E214" s="10"/>
      <c r="F214" s="10"/>
      <c r="G214" s="10"/>
      <c r="H214" s="10"/>
      <c r="I214" s="21"/>
      <c r="J214" s="21"/>
      <c r="K214" s="10"/>
      <c r="L214" s="21"/>
      <c r="M214" s="10"/>
      <c r="N214" s="10"/>
      <c r="O214" s="16"/>
      <c r="P214" s="10"/>
      <c r="Q214" s="10"/>
      <c r="R214" s="10"/>
      <c r="S214" s="10"/>
      <c r="T214" s="10"/>
      <c r="U214" s="11"/>
      <c r="V214" s="12"/>
      <c r="W214" s="12"/>
      <c r="X214" s="12"/>
      <c r="Y214" s="13"/>
      <c r="AB214" s="21"/>
      <c r="AC214" s="21"/>
    </row>
    <row r="215" spans="2:29" ht="14.25" customHeight="1">
      <c r="B215" s="10"/>
      <c r="C215" s="10"/>
      <c r="D215" s="10"/>
      <c r="E215" s="10"/>
      <c r="F215" s="10"/>
      <c r="G215" s="10"/>
      <c r="H215" s="10"/>
      <c r="I215" s="21"/>
      <c r="J215" s="21"/>
      <c r="K215" s="10"/>
      <c r="L215" s="21"/>
      <c r="M215" s="10"/>
      <c r="N215" s="10"/>
      <c r="O215" s="16"/>
      <c r="P215" s="10"/>
      <c r="Q215" s="10"/>
      <c r="R215" s="10"/>
      <c r="S215" s="10"/>
      <c r="T215" s="10"/>
      <c r="U215" s="11"/>
      <c r="V215" s="12"/>
      <c r="W215" s="12"/>
      <c r="X215" s="12"/>
      <c r="Y215" s="13"/>
      <c r="AB215" s="21"/>
      <c r="AC215" s="21"/>
    </row>
    <row r="216" spans="2:29" ht="14.25" customHeight="1">
      <c r="B216" s="10"/>
      <c r="C216" s="10"/>
      <c r="D216" s="10"/>
      <c r="E216" s="10"/>
      <c r="F216" s="10"/>
      <c r="G216" s="10"/>
      <c r="H216" s="10"/>
      <c r="I216" s="21"/>
      <c r="J216" s="21"/>
      <c r="K216" s="10"/>
      <c r="L216" s="21"/>
      <c r="M216" s="10"/>
      <c r="N216" s="10"/>
      <c r="O216" s="16"/>
      <c r="P216" s="10"/>
      <c r="Q216" s="10"/>
      <c r="R216" s="10"/>
      <c r="S216" s="10"/>
      <c r="T216" s="10"/>
      <c r="U216" s="11"/>
      <c r="V216" s="12"/>
      <c r="W216" s="12"/>
      <c r="X216" s="12"/>
      <c r="Y216" s="13"/>
      <c r="AB216" s="21"/>
      <c r="AC216" s="21"/>
    </row>
    <row r="217" spans="2:29" ht="14.25" customHeight="1">
      <c r="B217" s="10"/>
      <c r="C217" s="10"/>
      <c r="D217" s="10"/>
      <c r="E217" s="10"/>
      <c r="F217" s="10"/>
      <c r="G217" s="10"/>
      <c r="H217" s="10"/>
      <c r="I217" s="21"/>
      <c r="J217" s="21"/>
      <c r="K217" s="10"/>
      <c r="L217" s="21"/>
      <c r="M217" s="10"/>
      <c r="N217" s="10"/>
      <c r="O217" s="16"/>
      <c r="P217" s="10"/>
      <c r="Q217" s="10"/>
      <c r="R217" s="10"/>
      <c r="S217" s="10"/>
      <c r="T217" s="10"/>
      <c r="U217" s="11"/>
      <c r="V217" s="12"/>
      <c r="W217" s="12"/>
      <c r="X217" s="12"/>
      <c r="Y217" s="13"/>
      <c r="AB217" s="21"/>
      <c r="AC217" s="21"/>
    </row>
    <row r="218" spans="2:29" ht="14.25" customHeight="1">
      <c r="B218" s="10"/>
      <c r="C218" s="10"/>
      <c r="D218" s="10"/>
      <c r="E218" s="10"/>
      <c r="F218" s="10"/>
      <c r="G218" s="10"/>
      <c r="H218" s="10"/>
      <c r="I218" s="21"/>
      <c r="J218" s="21"/>
      <c r="K218" s="10"/>
      <c r="L218" s="21"/>
      <c r="M218" s="10"/>
      <c r="N218" s="10"/>
      <c r="O218" s="16"/>
      <c r="P218" s="10"/>
      <c r="Q218" s="10"/>
      <c r="R218" s="10"/>
      <c r="S218" s="10"/>
      <c r="T218" s="10"/>
      <c r="U218" s="11"/>
      <c r="V218" s="12"/>
      <c r="W218" s="12"/>
      <c r="X218" s="12"/>
      <c r="Y218" s="13"/>
      <c r="AB218" s="21"/>
      <c r="AC218" s="21"/>
    </row>
    <row r="219" spans="2:29" ht="14.25" customHeight="1">
      <c r="B219" s="10"/>
      <c r="C219" s="10"/>
      <c r="D219" s="10"/>
      <c r="E219" s="10"/>
      <c r="F219" s="10"/>
      <c r="G219" s="10"/>
      <c r="H219" s="10"/>
      <c r="I219" s="21"/>
      <c r="J219" s="21"/>
      <c r="K219" s="10"/>
      <c r="L219" s="21"/>
      <c r="M219" s="10"/>
      <c r="N219" s="10"/>
      <c r="O219" s="16"/>
      <c r="P219" s="10"/>
      <c r="Q219" s="10"/>
      <c r="R219" s="10"/>
      <c r="S219" s="10"/>
      <c r="T219" s="10"/>
      <c r="U219" s="11"/>
      <c r="V219" s="12"/>
      <c r="W219" s="12"/>
      <c r="X219" s="12"/>
      <c r="Y219" s="13"/>
      <c r="AB219" s="21"/>
      <c r="AC219" s="21"/>
    </row>
    <row r="220" spans="2:29" ht="14.25" customHeight="1">
      <c r="B220" s="10"/>
      <c r="C220" s="10"/>
      <c r="D220" s="10"/>
      <c r="E220" s="10"/>
      <c r="F220" s="10"/>
      <c r="G220" s="10"/>
      <c r="H220" s="10"/>
      <c r="I220" s="21"/>
      <c r="J220" s="21"/>
      <c r="K220" s="10"/>
      <c r="L220" s="21"/>
      <c r="M220" s="10"/>
      <c r="N220" s="10"/>
      <c r="O220" s="16"/>
      <c r="P220" s="10"/>
      <c r="Q220" s="10"/>
      <c r="R220" s="10"/>
      <c r="S220" s="10"/>
      <c r="T220" s="10"/>
      <c r="U220" s="11"/>
      <c r="V220" s="12"/>
      <c r="W220" s="12"/>
      <c r="X220" s="12"/>
      <c r="Y220" s="13"/>
      <c r="AB220" s="21"/>
      <c r="AC220" s="21"/>
    </row>
    <row r="221" spans="2:29" ht="14.25" customHeight="1">
      <c r="B221" s="10"/>
      <c r="C221" s="10"/>
      <c r="D221" s="10"/>
      <c r="E221" s="10"/>
      <c r="F221" s="10"/>
      <c r="G221" s="10"/>
      <c r="H221" s="10"/>
      <c r="I221" s="21"/>
      <c r="J221" s="21"/>
      <c r="K221" s="10"/>
      <c r="L221" s="21"/>
      <c r="M221" s="10"/>
      <c r="N221" s="10"/>
      <c r="O221" s="16"/>
      <c r="P221" s="10"/>
      <c r="Q221" s="10"/>
      <c r="R221" s="10"/>
      <c r="S221" s="10"/>
      <c r="T221" s="10"/>
      <c r="U221" s="11"/>
      <c r="V221" s="12"/>
      <c r="W221" s="12"/>
      <c r="X221" s="12"/>
      <c r="Y221" s="13"/>
      <c r="AB221" s="21"/>
      <c r="AC221" s="21"/>
    </row>
    <row r="222" spans="2:29" ht="14.25" customHeight="1">
      <c r="B222" s="10"/>
      <c r="C222" s="10"/>
      <c r="D222" s="10"/>
      <c r="E222" s="10"/>
      <c r="F222" s="10"/>
      <c r="G222" s="10"/>
      <c r="H222" s="10"/>
      <c r="I222" s="21"/>
      <c r="J222" s="21"/>
      <c r="K222" s="10"/>
      <c r="L222" s="21"/>
      <c r="M222" s="10"/>
      <c r="N222" s="10"/>
      <c r="O222" s="16"/>
      <c r="P222" s="10"/>
      <c r="Q222" s="10"/>
      <c r="R222" s="10"/>
      <c r="S222" s="10"/>
      <c r="T222" s="10"/>
      <c r="U222" s="11"/>
      <c r="V222" s="12"/>
      <c r="W222" s="12"/>
      <c r="X222" s="12"/>
      <c r="Y222" s="13"/>
      <c r="AB222" s="21"/>
      <c r="AC222" s="21"/>
    </row>
    <row r="223" spans="2:29" ht="14.25" customHeight="1">
      <c r="B223" s="10"/>
      <c r="C223" s="10"/>
      <c r="D223" s="10"/>
      <c r="E223" s="10"/>
      <c r="F223" s="10"/>
      <c r="G223" s="10"/>
      <c r="H223" s="10"/>
      <c r="I223" s="21"/>
      <c r="J223" s="21"/>
      <c r="K223" s="10"/>
      <c r="L223" s="21"/>
      <c r="M223" s="10"/>
      <c r="N223" s="10"/>
      <c r="O223" s="16"/>
      <c r="P223" s="10"/>
      <c r="Q223" s="10"/>
      <c r="R223" s="10"/>
      <c r="S223" s="10"/>
      <c r="T223" s="10"/>
      <c r="U223" s="11"/>
      <c r="V223" s="12"/>
      <c r="W223" s="12"/>
      <c r="X223" s="12"/>
      <c r="Y223" s="13"/>
      <c r="AB223" s="21"/>
      <c r="AC223" s="21"/>
    </row>
    <row r="224" spans="2:29" ht="14.25" customHeight="1">
      <c r="B224" s="10"/>
      <c r="C224" s="10"/>
      <c r="D224" s="10"/>
      <c r="E224" s="10"/>
      <c r="F224" s="10"/>
      <c r="G224" s="10"/>
      <c r="H224" s="10"/>
      <c r="I224" s="21"/>
      <c r="J224" s="21"/>
      <c r="K224" s="10"/>
      <c r="L224" s="21"/>
      <c r="M224" s="10"/>
      <c r="N224" s="10"/>
      <c r="O224" s="16"/>
      <c r="P224" s="10"/>
      <c r="Q224" s="10"/>
      <c r="R224" s="10"/>
      <c r="S224" s="10"/>
      <c r="T224" s="10"/>
      <c r="U224" s="11"/>
      <c r="V224" s="12"/>
      <c r="W224" s="12"/>
      <c r="X224" s="12"/>
      <c r="Y224" s="13"/>
      <c r="AB224" s="21"/>
      <c r="AC224" s="21"/>
    </row>
    <row r="225" spans="2:29" ht="14.25" customHeight="1">
      <c r="B225" s="10"/>
      <c r="C225" s="10"/>
      <c r="D225" s="10"/>
      <c r="E225" s="10"/>
      <c r="F225" s="10"/>
      <c r="G225" s="10"/>
      <c r="H225" s="10"/>
      <c r="I225" s="21"/>
      <c r="J225" s="21"/>
      <c r="K225" s="10"/>
      <c r="L225" s="21"/>
      <c r="M225" s="10"/>
      <c r="N225" s="10"/>
      <c r="O225" s="16"/>
      <c r="P225" s="10"/>
      <c r="Q225" s="10"/>
      <c r="R225" s="10"/>
      <c r="S225" s="10"/>
      <c r="T225" s="10"/>
      <c r="U225" s="11"/>
      <c r="V225" s="12"/>
      <c r="W225" s="12"/>
      <c r="X225" s="12"/>
      <c r="Y225" s="13"/>
      <c r="AB225" s="21"/>
      <c r="AC225" s="21"/>
    </row>
    <row r="226" spans="2:29" ht="14.25" customHeight="1">
      <c r="B226" s="10"/>
      <c r="C226" s="10"/>
      <c r="D226" s="10"/>
      <c r="E226" s="10"/>
      <c r="F226" s="10"/>
      <c r="G226" s="10"/>
      <c r="H226" s="10"/>
      <c r="I226" s="21"/>
      <c r="J226" s="21"/>
      <c r="K226" s="10"/>
      <c r="L226" s="21"/>
      <c r="M226" s="10"/>
      <c r="N226" s="10"/>
      <c r="O226" s="16"/>
      <c r="P226" s="10"/>
      <c r="Q226" s="10"/>
      <c r="R226" s="10"/>
      <c r="S226" s="10"/>
      <c r="T226" s="10"/>
      <c r="U226" s="11"/>
      <c r="V226" s="12"/>
      <c r="W226" s="12"/>
      <c r="X226" s="12"/>
      <c r="Y226" s="13"/>
      <c r="AB226" s="21"/>
      <c r="AC226" s="21"/>
    </row>
    <row r="227" spans="2:29" ht="14.25" customHeight="1">
      <c r="B227" s="10"/>
      <c r="C227" s="10"/>
      <c r="D227" s="10"/>
      <c r="E227" s="10"/>
      <c r="F227" s="10"/>
      <c r="G227" s="10"/>
      <c r="H227" s="10"/>
      <c r="I227" s="21"/>
      <c r="J227" s="21"/>
      <c r="K227" s="10"/>
      <c r="L227" s="21"/>
      <c r="M227" s="10"/>
      <c r="N227" s="10"/>
      <c r="O227" s="16"/>
      <c r="P227" s="10"/>
      <c r="Q227" s="10"/>
      <c r="R227" s="10"/>
      <c r="S227" s="10"/>
      <c r="T227" s="10"/>
      <c r="U227" s="11"/>
      <c r="V227" s="12"/>
      <c r="W227" s="12"/>
      <c r="X227" s="12"/>
      <c r="Y227" s="13"/>
      <c r="AB227" s="21"/>
      <c r="AC227" s="21"/>
    </row>
    <row r="228" spans="2:29" ht="14.25" customHeight="1">
      <c r="B228" s="10"/>
      <c r="C228" s="10"/>
      <c r="D228" s="10"/>
      <c r="E228" s="10"/>
      <c r="F228" s="10"/>
      <c r="G228" s="10"/>
      <c r="H228" s="10"/>
      <c r="I228" s="21"/>
      <c r="J228" s="21"/>
      <c r="K228" s="10"/>
      <c r="L228" s="21"/>
      <c r="M228" s="10"/>
      <c r="N228" s="10"/>
      <c r="O228" s="16"/>
      <c r="P228" s="10"/>
      <c r="Q228" s="10"/>
      <c r="R228" s="10"/>
      <c r="S228" s="10"/>
      <c r="T228" s="10"/>
      <c r="U228" s="11"/>
      <c r="V228" s="12"/>
      <c r="W228" s="12"/>
      <c r="X228" s="12"/>
      <c r="Y228" s="13"/>
      <c r="AB228" s="21"/>
      <c r="AC228" s="21"/>
    </row>
    <row r="229" spans="2:29" ht="14.25" customHeight="1">
      <c r="B229" s="10"/>
      <c r="C229" s="10"/>
      <c r="D229" s="10"/>
      <c r="E229" s="10"/>
      <c r="F229" s="10"/>
      <c r="G229" s="10"/>
      <c r="H229" s="10"/>
      <c r="I229" s="21"/>
      <c r="J229" s="21"/>
      <c r="K229" s="10"/>
      <c r="L229" s="21"/>
      <c r="M229" s="10"/>
      <c r="N229" s="10"/>
      <c r="O229" s="16"/>
      <c r="P229" s="10"/>
      <c r="Q229" s="10"/>
      <c r="R229" s="10"/>
      <c r="S229" s="10"/>
      <c r="T229" s="10"/>
      <c r="U229" s="11"/>
      <c r="V229" s="12"/>
      <c r="W229" s="12"/>
      <c r="X229" s="12"/>
      <c r="Y229" s="13"/>
      <c r="AB229" s="21"/>
      <c r="AC229" s="21"/>
    </row>
    <row r="230" spans="2:29" ht="14.25" customHeight="1">
      <c r="B230" s="10"/>
      <c r="C230" s="10"/>
      <c r="D230" s="10"/>
      <c r="E230" s="10"/>
      <c r="F230" s="10"/>
      <c r="G230" s="10"/>
      <c r="H230" s="10"/>
      <c r="I230" s="21"/>
      <c r="J230" s="21"/>
      <c r="K230" s="10"/>
      <c r="L230" s="21"/>
      <c r="M230" s="10"/>
      <c r="N230" s="10"/>
      <c r="O230" s="16"/>
      <c r="P230" s="10"/>
      <c r="Q230" s="10"/>
      <c r="R230" s="10"/>
      <c r="S230" s="10"/>
      <c r="T230" s="10"/>
      <c r="U230" s="11"/>
      <c r="V230" s="12"/>
      <c r="W230" s="12"/>
      <c r="X230" s="12"/>
      <c r="Y230" s="13"/>
      <c r="AB230" s="21"/>
      <c r="AC230" s="21"/>
    </row>
    <row r="231" spans="2:29" ht="14.25" customHeight="1">
      <c r="B231" s="10"/>
      <c r="C231" s="10"/>
      <c r="D231" s="10"/>
      <c r="E231" s="10"/>
      <c r="F231" s="10"/>
      <c r="G231" s="10"/>
      <c r="H231" s="10"/>
      <c r="I231" s="21"/>
      <c r="J231" s="21"/>
      <c r="K231" s="10"/>
      <c r="L231" s="21"/>
      <c r="M231" s="10"/>
      <c r="N231" s="10"/>
      <c r="O231" s="16"/>
      <c r="P231" s="10"/>
      <c r="Q231" s="10"/>
      <c r="R231" s="10"/>
      <c r="S231" s="10"/>
      <c r="T231" s="10"/>
      <c r="U231" s="11"/>
      <c r="V231" s="12"/>
      <c r="W231" s="12"/>
      <c r="X231" s="12"/>
      <c r="Y231" s="13"/>
      <c r="AB231" s="21"/>
      <c r="AC231" s="21"/>
    </row>
    <row r="232" spans="2:29" ht="14.25" customHeight="1">
      <c r="B232" s="10"/>
      <c r="C232" s="10"/>
      <c r="D232" s="10"/>
      <c r="E232" s="10"/>
      <c r="F232" s="10"/>
      <c r="G232" s="10"/>
      <c r="H232" s="10"/>
      <c r="I232" s="21"/>
      <c r="J232" s="21"/>
      <c r="K232" s="10"/>
      <c r="L232" s="21"/>
      <c r="M232" s="10"/>
      <c r="N232" s="10"/>
      <c r="O232" s="16"/>
      <c r="P232" s="10"/>
      <c r="Q232" s="10"/>
      <c r="R232" s="10"/>
      <c r="S232" s="10"/>
      <c r="T232" s="10"/>
      <c r="U232" s="11"/>
      <c r="V232" s="12"/>
      <c r="W232" s="12"/>
      <c r="X232" s="12"/>
      <c r="Y232" s="13"/>
      <c r="AB232" s="21"/>
      <c r="AC232" s="21"/>
    </row>
    <row r="233" spans="2:29" ht="14.25" customHeight="1">
      <c r="B233" s="10"/>
      <c r="C233" s="10"/>
      <c r="D233" s="10"/>
      <c r="E233" s="10"/>
      <c r="F233" s="10"/>
      <c r="G233" s="10"/>
      <c r="H233" s="10"/>
      <c r="I233" s="21"/>
      <c r="J233" s="21"/>
      <c r="K233" s="10"/>
      <c r="L233" s="21"/>
      <c r="M233" s="10"/>
      <c r="N233" s="10"/>
      <c r="O233" s="16"/>
      <c r="P233" s="10"/>
      <c r="Q233" s="10"/>
      <c r="R233" s="10"/>
      <c r="S233" s="10"/>
      <c r="T233" s="10"/>
      <c r="U233" s="11"/>
      <c r="V233" s="12"/>
      <c r="W233" s="12"/>
      <c r="X233" s="12"/>
      <c r="Y233" s="13"/>
      <c r="AB233" s="21"/>
      <c r="AC233" s="21"/>
    </row>
    <row r="234" spans="2:29" ht="14.25" customHeight="1">
      <c r="B234" s="10"/>
      <c r="C234" s="10"/>
      <c r="D234" s="10"/>
      <c r="E234" s="10"/>
      <c r="F234" s="10"/>
      <c r="G234" s="10"/>
      <c r="H234" s="10"/>
      <c r="I234" s="21"/>
      <c r="J234" s="21"/>
      <c r="K234" s="10"/>
      <c r="L234" s="21"/>
      <c r="M234" s="10"/>
      <c r="N234" s="10"/>
      <c r="O234" s="16"/>
      <c r="P234" s="10"/>
      <c r="Q234" s="10"/>
      <c r="R234" s="10"/>
      <c r="S234" s="10"/>
      <c r="T234" s="10"/>
      <c r="U234" s="11"/>
      <c r="V234" s="12"/>
      <c r="W234" s="12"/>
      <c r="X234" s="12"/>
      <c r="Y234" s="13"/>
      <c r="AB234" s="21"/>
      <c r="AC234" s="21"/>
    </row>
    <row r="235" spans="2:29" ht="14.25" customHeight="1">
      <c r="B235" s="10"/>
      <c r="C235" s="10"/>
      <c r="D235" s="10"/>
      <c r="E235" s="10"/>
      <c r="F235" s="10"/>
      <c r="G235" s="10"/>
      <c r="H235" s="10"/>
      <c r="I235" s="21"/>
      <c r="J235" s="21"/>
      <c r="K235" s="10"/>
      <c r="L235" s="21"/>
      <c r="M235" s="10"/>
      <c r="N235" s="10"/>
      <c r="O235" s="16"/>
      <c r="P235" s="10"/>
      <c r="Q235" s="10"/>
      <c r="R235" s="10"/>
      <c r="S235" s="10"/>
      <c r="T235" s="10"/>
      <c r="U235" s="11"/>
      <c r="V235" s="12"/>
      <c r="W235" s="12"/>
      <c r="X235" s="12"/>
      <c r="Y235" s="13"/>
      <c r="AB235" s="21"/>
      <c r="AC235" s="21"/>
    </row>
    <row r="236" spans="2:29" ht="14.25" customHeight="1">
      <c r="B236" s="10"/>
      <c r="C236" s="10"/>
      <c r="D236" s="10"/>
      <c r="E236" s="10"/>
      <c r="F236" s="10"/>
      <c r="G236" s="10"/>
      <c r="H236" s="10"/>
      <c r="I236" s="21"/>
      <c r="J236" s="21"/>
      <c r="K236" s="10"/>
      <c r="L236" s="21"/>
      <c r="M236" s="10"/>
      <c r="N236" s="10"/>
      <c r="O236" s="16"/>
      <c r="P236" s="10"/>
      <c r="Q236" s="10"/>
      <c r="R236" s="10"/>
      <c r="S236" s="10"/>
      <c r="T236" s="10"/>
      <c r="U236" s="11"/>
      <c r="V236" s="12"/>
      <c r="W236" s="12"/>
      <c r="X236" s="12"/>
      <c r="Y236" s="13"/>
      <c r="AB236" s="21"/>
      <c r="AC236" s="21"/>
    </row>
    <row r="237" spans="2:29" ht="14.25" customHeight="1">
      <c r="B237" s="10"/>
      <c r="C237" s="10"/>
      <c r="D237" s="10"/>
      <c r="E237" s="10"/>
      <c r="F237" s="10"/>
      <c r="G237" s="10"/>
      <c r="H237" s="10"/>
      <c r="I237" s="21"/>
      <c r="J237" s="21"/>
      <c r="K237" s="10"/>
      <c r="L237" s="21"/>
      <c r="M237" s="10"/>
      <c r="N237" s="10"/>
      <c r="O237" s="16"/>
      <c r="P237" s="10"/>
      <c r="Q237" s="10"/>
      <c r="R237" s="10"/>
      <c r="S237" s="10"/>
      <c r="T237" s="10"/>
      <c r="U237" s="11"/>
      <c r="V237" s="12"/>
      <c r="W237" s="12"/>
      <c r="X237" s="12"/>
      <c r="Y237" s="13"/>
      <c r="AB237" s="21"/>
      <c r="AC237" s="21"/>
    </row>
    <row r="238" spans="2:29" ht="14.25" customHeight="1">
      <c r="B238" s="10"/>
      <c r="C238" s="10"/>
      <c r="D238" s="10"/>
      <c r="E238" s="10"/>
      <c r="F238" s="10"/>
      <c r="G238" s="10"/>
      <c r="H238" s="10"/>
      <c r="I238" s="21"/>
      <c r="J238" s="21"/>
      <c r="K238" s="10"/>
      <c r="L238" s="21"/>
      <c r="M238" s="10"/>
      <c r="N238" s="10"/>
      <c r="O238" s="16"/>
      <c r="P238" s="10"/>
      <c r="Q238" s="10"/>
      <c r="R238" s="10"/>
      <c r="S238" s="10"/>
      <c r="T238" s="10"/>
      <c r="U238" s="11"/>
      <c r="V238" s="12"/>
      <c r="W238" s="12"/>
      <c r="X238" s="12"/>
      <c r="Y238" s="13"/>
      <c r="AB238" s="21"/>
      <c r="AC238" s="21"/>
    </row>
    <row r="239" spans="2:29" ht="14.25" customHeight="1">
      <c r="B239" s="10"/>
      <c r="C239" s="10"/>
      <c r="D239" s="10"/>
      <c r="E239" s="10"/>
      <c r="F239" s="10"/>
      <c r="G239" s="10"/>
      <c r="H239" s="10"/>
      <c r="I239" s="21"/>
      <c r="J239" s="21"/>
      <c r="K239" s="10"/>
      <c r="L239" s="21"/>
      <c r="M239" s="10"/>
      <c r="N239" s="10"/>
      <c r="O239" s="16"/>
      <c r="P239" s="10"/>
      <c r="Q239" s="10"/>
      <c r="R239" s="10"/>
      <c r="S239" s="10"/>
      <c r="T239" s="10"/>
      <c r="U239" s="11"/>
      <c r="V239" s="12"/>
      <c r="W239" s="12"/>
      <c r="X239" s="12"/>
      <c r="Y239" s="13"/>
      <c r="AB239" s="21"/>
      <c r="AC239" s="21"/>
    </row>
    <row r="240" spans="2:29" ht="14.25" customHeight="1">
      <c r="B240" s="10"/>
      <c r="C240" s="10"/>
      <c r="D240" s="10"/>
      <c r="E240" s="10"/>
      <c r="F240" s="10"/>
      <c r="G240" s="10"/>
      <c r="H240" s="10"/>
      <c r="I240" s="21"/>
      <c r="J240" s="21"/>
      <c r="K240" s="10"/>
      <c r="L240" s="21"/>
      <c r="M240" s="10"/>
      <c r="N240" s="10"/>
      <c r="O240" s="16"/>
      <c r="P240" s="10"/>
      <c r="Q240" s="10"/>
      <c r="R240" s="10"/>
      <c r="S240" s="10"/>
      <c r="T240" s="10"/>
      <c r="U240" s="11"/>
      <c r="V240" s="12"/>
      <c r="W240" s="12"/>
      <c r="X240" s="12"/>
      <c r="Y240" s="13"/>
      <c r="AB240" s="21"/>
      <c r="AC240" s="21"/>
    </row>
    <row r="241" spans="2:29" ht="14.25" customHeight="1">
      <c r="B241" s="10"/>
      <c r="C241" s="10"/>
      <c r="D241" s="10"/>
      <c r="E241" s="10"/>
      <c r="F241" s="10"/>
      <c r="G241" s="10"/>
      <c r="H241" s="10"/>
      <c r="I241" s="21"/>
      <c r="J241" s="21"/>
      <c r="K241" s="10"/>
      <c r="L241" s="21"/>
      <c r="M241" s="10"/>
      <c r="N241" s="10"/>
      <c r="O241" s="16"/>
      <c r="P241" s="10"/>
      <c r="Q241" s="10"/>
      <c r="R241" s="10"/>
      <c r="S241" s="10"/>
      <c r="T241" s="10"/>
      <c r="U241" s="11"/>
      <c r="V241" s="12"/>
      <c r="W241" s="12"/>
      <c r="X241" s="12"/>
      <c r="Y241" s="13"/>
      <c r="AB241" s="21"/>
      <c r="AC241" s="21"/>
    </row>
    <row r="242" spans="2:29" ht="14.25" customHeight="1">
      <c r="B242" s="10"/>
      <c r="C242" s="10"/>
      <c r="D242" s="10"/>
      <c r="E242" s="10"/>
      <c r="F242" s="10"/>
      <c r="G242" s="10"/>
      <c r="H242" s="10"/>
      <c r="I242" s="21"/>
      <c r="J242" s="21"/>
      <c r="K242" s="10"/>
      <c r="L242" s="21"/>
      <c r="M242" s="10"/>
      <c r="N242" s="10"/>
      <c r="O242" s="16"/>
      <c r="P242" s="10"/>
      <c r="Q242" s="10"/>
      <c r="R242" s="10"/>
      <c r="S242" s="10"/>
      <c r="T242" s="10"/>
      <c r="U242" s="11"/>
      <c r="V242" s="12"/>
      <c r="W242" s="12"/>
      <c r="X242" s="12"/>
      <c r="Y242" s="13"/>
      <c r="AB242" s="21"/>
      <c r="AC242" s="21"/>
    </row>
    <row r="243" spans="2:29" ht="14.25" customHeight="1">
      <c r="B243" s="10"/>
      <c r="C243" s="10"/>
      <c r="D243" s="10"/>
      <c r="E243" s="10"/>
      <c r="F243" s="10"/>
      <c r="G243" s="10"/>
      <c r="H243" s="10"/>
      <c r="I243" s="21"/>
      <c r="J243" s="21"/>
      <c r="K243" s="10"/>
      <c r="L243" s="21"/>
      <c r="M243" s="10"/>
      <c r="N243" s="10"/>
      <c r="O243" s="22"/>
      <c r="P243" s="10"/>
      <c r="Q243" s="10"/>
      <c r="R243" s="10"/>
      <c r="S243" s="10"/>
      <c r="T243" s="10"/>
      <c r="U243" s="11"/>
      <c r="V243" s="12"/>
      <c r="W243" s="12"/>
      <c r="X243" s="12"/>
      <c r="Y243" s="13"/>
      <c r="AB243" s="21"/>
      <c r="AC243" s="21"/>
    </row>
    <row r="244" spans="2:29" ht="14.25" customHeight="1">
      <c r="B244" s="10"/>
      <c r="C244" s="10"/>
      <c r="D244" s="10"/>
      <c r="E244" s="10"/>
      <c r="F244" s="10"/>
      <c r="G244" s="10"/>
      <c r="H244" s="10"/>
      <c r="I244" s="21"/>
      <c r="J244" s="21"/>
      <c r="K244" s="10"/>
      <c r="L244" s="21"/>
      <c r="M244" s="10"/>
      <c r="N244" s="10"/>
      <c r="O244" s="22"/>
      <c r="P244" s="10"/>
      <c r="Q244" s="10"/>
      <c r="R244" s="10"/>
      <c r="S244" s="10"/>
      <c r="T244" s="10"/>
      <c r="U244" s="11"/>
      <c r="V244" s="12"/>
      <c r="W244" s="12"/>
      <c r="X244" s="12"/>
      <c r="Y244" s="13"/>
      <c r="AB244" s="21"/>
      <c r="AC244" s="21"/>
    </row>
    <row r="245" spans="2:29" ht="14.25" customHeight="1">
      <c r="B245" s="10"/>
      <c r="C245" s="10"/>
      <c r="D245" s="10"/>
      <c r="E245" s="10"/>
      <c r="F245" s="10"/>
      <c r="G245" s="10"/>
      <c r="H245" s="10"/>
      <c r="I245" s="21"/>
      <c r="J245" s="21"/>
      <c r="K245" s="10"/>
      <c r="L245" s="21"/>
      <c r="M245" s="10"/>
      <c r="N245" s="10"/>
      <c r="O245" s="22"/>
      <c r="P245" s="10"/>
      <c r="Q245" s="10"/>
      <c r="R245" s="10"/>
      <c r="S245" s="10"/>
      <c r="T245" s="10"/>
      <c r="U245" s="11"/>
      <c r="V245" s="12"/>
      <c r="W245" s="12"/>
      <c r="X245" s="12"/>
      <c r="Y245" s="13"/>
      <c r="AB245" s="21"/>
      <c r="AC245" s="21"/>
    </row>
    <row r="246" spans="2:29" ht="14.25" customHeight="1">
      <c r="B246" s="10"/>
      <c r="C246" s="10"/>
      <c r="D246" s="10"/>
      <c r="E246" s="10"/>
      <c r="F246" s="10"/>
      <c r="G246" s="10"/>
      <c r="H246" s="10"/>
      <c r="I246" s="21"/>
      <c r="J246" s="21"/>
      <c r="K246" s="10"/>
      <c r="L246" s="21"/>
      <c r="M246" s="10"/>
      <c r="N246" s="10"/>
      <c r="O246" s="22"/>
      <c r="P246" s="10"/>
      <c r="Q246" s="10"/>
      <c r="R246" s="10"/>
      <c r="S246" s="10"/>
      <c r="T246" s="10"/>
      <c r="U246" s="11"/>
      <c r="V246" s="12"/>
      <c r="W246" s="12"/>
      <c r="X246" s="12"/>
      <c r="Y246" s="13"/>
      <c r="AB246" s="21"/>
      <c r="AC246" s="21"/>
    </row>
    <row r="247" spans="2:29" ht="14.25" customHeight="1">
      <c r="B247" s="10"/>
      <c r="C247" s="10"/>
      <c r="D247" s="10"/>
      <c r="E247" s="10"/>
      <c r="F247" s="10"/>
      <c r="G247" s="10"/>
      <c r="H247" s="10"/>
      <c r="I247" s="21"/>
      <c r="J247" s="21"/>
      <c r="K247" s="10"/>
      <c r="L247" s="21"/>
      <c r="M247" s="10"/>
      <c r="N247" s="10"/>
      <c r="O247" s="22"/>
      <c r="P247" s="10"/>
      <c r="Q247" s="10"/>
      <c r="R247" s="10"/>
      <c r="S247" s="10"/>
      <c r="T247" s="10"/>
      <c r="U247" s="11"/>
      <c r="V247" s="12"/>
      <c r="W247" s="12"/>
      <c r="X247" s="12"/>
      <c r="Y247" s="13"/>
      <c r="AB247" s="21"/>
      <c r="AC247" s="21"/>
    </row>
    <row r="248" spans="2:29" ht="14.25" customHeight="1">
      <c r="B248" s="10"/>
      <c r="C248" s="10"/>
      <c r="D248" s="10"/>
      <c r="E248" s="10"/>
      <c r="F248" s="10"/>
      <c r="G248" s="10"/>
      <c r="H248" s="10"/>
      <c r="I248" s="21"/>
      <c r="J248" s="21"/>
      <c r="K248" s="10"/>
      <c r="L248" s="21"/>
      <c r="M248" s="10"/>
      <c r="N248" s="10"/>
      <c r="O248" s="22"/>
      <c r="P248" s="10"/>
      <c r="Q248" s="10"/>
      <c r="R248" s="10"/>
      <c r="S248" s="10"/>
      <c r="T248" s="10"/>
      <c r="U248" s="11"/>
      <c r="V248" s="12"/>
      <c r="W248" s="12"/>
      <c r="X248" s="12"/>
      <c r="Y248" s="13"/>
      <c r="AB248" s="21"/>
      <c r="AC248" s="21"/>
    </row>
    <row r="249" spans="2:29" ht="14.25" customHeight="1">
      <c r="B249" s="10"/>
      <c r="C249" s="10"/>
      <c r="D249" s="10"/>
      <c r="E249" s="10"/>
      <c r="F249" s="10"/>
      <c r="G249" s="10"/>
      <c r="H249" s="10"/>
      <c r="I249" s="21"/>
      <c r="J249" s="21"/>
      <c r="K249" s="10"/>
      <c r="L249" s="21"/>
      <c r="M249" s="10"/>
      <c r="N249" s="10"/>
      <c r="O249" s="22"/>
      <c r="P249" s="10"/>
      <c r="Q249" s="10"/>
      <c r="R249" s="10"/>
      <c r="S249" s="10"/>
      <c r="T249" s="10"/>
      <c r="U249" s="11"/>
      <c r="V249" s="12"/>
      <c r="W249" s="12"/>
      <c r="X249" s="12"/>
      <c r="Y249" s="13"/>
      <c r="AB249" s="21"/>
      <c r="AC249" s="21"/>
    </row>
    <row r="250" spans="2:29" ht="14.25" customHeight="1">
      <c r="B250" s="10"/>
      <c r="C250" s="10"/>
      <c r="D250" s="10"/>
      <c r="E250" s="10"/>
      <c r="F250" s="10"/>
      <c r="G250" s="10"/>
      <c r="H250" s="10"/>
      <c r="I250" s="21"/>
      <c r="J250" s="21"/>
      <c r="K250" s="10"/>
      <c r="L250" s="21"/>
      <c r="M250" s="10"/>
      <c r="N250" s="10"/>
      <c r="O250" s="22"/>
      <c r="P250" s="10"/>
      <c r="Q250" s="10"/>
      <c r="R250" s="10"/>
      <c r="S250" s="10"/>
      <c r="T250" s="10"/>
      <c r="U250" s="11"/>
      <c r="V250" s="12"/>
      <c r="W250" s="12"/>
      <c r="X250" s="12"/>
      <c r="Y250" s="13"/>
      <c r="AB250" s="21"/>
      <c r="AC250" s="21"/>
    </row>
    <row r="251" spans="2:29" ht="14.25" customHeight="1">
      <c r="B251" s="10"/>
      <c r="C251" s="10"/>
      <c r="D251" s="10"/>
      <c r="E251" s="10"/>
      <c r="F251" s="10"/>
      <c r="G251" s="10"/>
      <c r="H251" s="10"/>
      <c r="I251" s="21"/>
      <c r="J251" s="21"/>
      <c r="K251" s="10"/>
      <c r="L251" s="21"/>
      <c r="M251" s="10"/>
      <c r="N251" s="10"/>
      <c r="O251" s="22"/>
      <c r="P251" s="10"/>
      <c r="Q251" s="10"/>
      <c r="R251" s="10"/>
      <c r="S251" s="10"/>
      <c r="T251" s="10"/>
      <c r="U251" s="11"/>
      <c r="V251" s="12"/>
      <c r="W251" s="12"/>
      <c r="X251" s="12"/>
      <c r="Y251" s="13"/>
      <c r="AB251" s="21"/>
      <c r="AC251" s="21"/>
    </row>
    <row r="252" spans="2:29" ht="14.25" customHeight="1">
      <c r="B252" s="10"/>
      <c r="C252" s="10"/>
      <c r="D252" s="10"/>
      <c r="E252" s="10"/>
      <c r="F252" s="10"/>
      <c r="G252" s="10"/>
      <c r="H252" s="10"/>
      <c r="I252" s="21"/>
      <c r="J252" s="21"/>
      <c r="K252" s="10"/>
      <c r="L252" s="21"/>
      <c r="M252" s="10"/>
      <c r="N252" s="10"/>
      <c r="O252" s="22"/>
      <c r="P252" s="10"/>
      <c r="Q252" s="10"/>
      <c r="R252" s="10"/>
      <c r="S252" s="10"/>
      <c r="T252" s="10"/>
      <c r="U252" s="11"/>
      <c r="V252" s="12"/>
      <c r="W252" s="12"/>
      <c r="X252" s="12"/>
      <c r="Y252" s="13"/>
      <c r="AB252" s="21"/>
      <c r="AC252" s="21"/>
    </row>
    <row r="253" spans="2:29" ht="14.25" customHeight="1">
      <c r="B253" s="10"/>
      <c r="C253" s="10"/>
      <c r="D253" s="10"/>
      <c r="E253" s="10"/>
      <c r="F253" s="10"/>
      <c r="G253" s="10"/>
      <c r="H253" s="10"/>
      <c r="I253" s="21"/>
      <c r="J253" s="21"/>
      <c r="K253" s="10"/>
      <c r="L253" s="21"/>
      <c r="M253" s="10"/>
      <c r="N253" s="10"/>
      <c r="O253" s="22"/>
      <c r="P253" s="10"/>
      <c r="Q253" s="10"/>
      <c r="R253" s="10"/>
      <c r="S253" s="10"/>
      <c r="T253" s="10"/>
      <c r="U253" s="11"/>
      <c r="V253" s="12"/>
      <c r="W253" s="12"/>
      <c r="X253" s="12"/>
      <c r="Y253" s="13"/>
      <c r="AB253" s="21"/>
      <c r="AC253" s="21"/>
    </row>
    <row r="254" spans="2:29" ht="14.25" customHeight="1">
      <c r="B254" s="10"/>
      <c r="C254" s="10"/>
      <c r="D254" s="10"/>
      <c r="E254" s="10"/>
      <c r="F254" s="10"/>
      <c r="G254" s="10"/>
      <c r="H254" s="10"/>
      <c r="I254" s="21"/>
      <c r="J254" s="21"/>
      <c r="K254" s="10"/>
      <c r="L254" s="21"/>
      <c r="M254" s="10"/>
      <c r="N254" s="10"/>
      <c r="O254" s="22"/>
      <c r="P254" s="10"/>
      <c r="Q254" s="10"/>
      <c r="R254" s="10"/>
      <c r="S254" s="10"/>
      <c r="T254" s="10"/>
      <c r="U254" s="11"/>
      <c r="V254" s="12"/>
      <c r="W254" s="12"/>
      <c r="X254" s="12"/>
      <c r="Y254" s="13"/>
      <c r="AB254" s="21"/>
      <c r="AC254" s="21"/>
    </row>
    <row r="255" spans="2:29" ht="14.25" customHeight="1">
      <c r="B255" s="10"/>
      <c r="C255" s="10"/>
      <c r="D255" s="10"/>
      <c r="E255" s="10"/>
      <c r="F255" s="10"/>
      <c r="G255" s="10"/>
      <c r="H255" s="10"/>
      <c r="I255" s="21"/>
      <c r="J255" s="21"/>
      <c r="K255" s="10"/>
      <c r="L255" s="21"/>
      <c r="M255" s="10"/>
      <c r="N255" s="10"/>
      <c r="O255" s="22"/>
      <c r="P255" s="10"/>
      <c r="Q255" s="10"/>
      <c r="R255" s="10"/>
      <c r="S255" s="10"/>
      <c r="T255" s="10"/>
      <c r="U255" s="11"/>
      <c r="V255" s="12"/>
      <c r="W255" s="12"/>
      <c r="X255" s="12"/>
      <c r="Y255" s="13"/>
      <c r="AB255" s="21"/>
      <c r="AC255" s="21"/>
    </row>
    <row r="256" spans="2:29" ht="14.25" customHeight="1">
      <c r="B256" s="10"/>
      <c r="C256" s="10"/>
      <c r="D256" s="10"/>
      <c r="E256" s="10"/>
      <c r="F256" s="10"/>
      <c r="G256" s="10"/>
      <c r="H256" s="10"/>
      <c r="I256" s="21"/>
      <c r="J256" s="21"/>
      <c r="K256" s="10"/>
      <c r="L256" s="21"/>
      <c r="M256" s="10"/>
      <c r="N256" s="10"/>
      <c r="O256" s="22"/>
      <c r="P256" s="10"/>
      <c r="Q256" s="10"/>
      <c r="R256" s="10"/>
      <c r="S256" s="10"/>
      <c r="T256" s="10"/>
      <c r="U256" s="11"/>
      <c r="V256" s="12"/>
      <c r="W256" s="12"/>
      <c r="X256" s="12"/>
      <c r="Y256" s="13"/>
      <c r="AB256" s="21"/>
      <c r="AC256" s="21"/>
    </row>
    <row r="257" spans="2:29" ht="14.25" customHeight="1">
      <c r="B257" s="10"/>
      <c r="C257" s="10"/>
      <c r="D257" s="10"/>
      <c r="E257" s="10"/>
      <c r="F257" s="10"/>
      <c r="G257" s="10"/>
      <c r="H257" s="10"/>
      <c r="I257" s="21"/>
      <c r="J257" s="21"/>
      <c r="K257" s="10"/>
      <c r="L257" s="21"/>
      <c r="M257" s="10"/>
      <c r="N257" s="10"/>
      <c r="O257" s="22"/>
      <c r="P257" s="10"/>
      <c r="Q257" s="10"/>
      <c r="R257" s="10"/>
      <c r="S257" s="10"/>
      <c r="T257" s="10"/>
      <c r="U257" s="11"/>
      <c r="V257" s="12"/>
      <c r="W257" s="12"/>
      <c r="X257" s="12"/>
      <c r="Y257" s="13"/>
      <c r="AB257" s="21"/>
      <c r="AC257" s="21"/>
    </row>
    <row r="258" spans="2:29" ht="14.25" customHeight="1">
      <c r="B258" s="10"/>
      <c r="C258" s="10"/>
      <c r="D258" s="10"/>
      <c r="E258" s="10"/>
      <c r="F258" s="10"/>
      <c r="G258" s="10"/>
      <c r="H258" s="10"/>
      <c r="I258" s="21"/>
      <c r="J258" s="21"/>
      <c r="K258" s="10"/>
      <c r="L258" s="21"/>
      <c r="M258" s="10"/>
      <c r="N258" s="10"/>
      <c r="O258" s="22"/>
      <c r="P258" s="10"/>
      <c r="Q258" s="10"/>
      <c r="R258" s="10"/>
      <c r="S258" s="10"/>
      <c r="T258" s="10"/>
      <c r="U258" s="11"/>
      <c r="V258" s="12"/>
      <c r="W258" s="12"/>
      <c r="X258" s="12"/>
      <c r="Y258" s="13"/>
      <c r="AB258" s="21"/>
      <c r="AC258" s="21"/>
    </row>
    <row r="259" spans="2:29" ht="14.25" customHeight="1">
      <c r="B259" s="10"/>
      <c r="C259" s="10"/>
      <c r="D259" s="10"/>
      <c r="E259" s="10"/>
      <c r="F259" s="10"/>
      <c r="G259" s="10"/>
      <c r="H259" s="10"/>
      <c r="I259" s="21"/>
      <c r="J259" s="21"/>
      <c r="K259" s="10"/>
      <c r="L259" s="21"/>
      <c r="M259" s="10"/>
      <c r="N259" s="10"/>
      <c r="O259" s="22"/>
      <c r="P259" s="10"/>
      <c r="Q259" s="10"/>
      <c r="R259" s="10"/>
      <c r="S259" s="10"/>
      <c r="T259" s="10"/>
      <c r="U259" s="11"/>
      <c r="V259" s="12"/>
      <c r="W259" s="12"/>
      <c r="X259" s="12"/>
      <c r="Y259" s="13"/>
      <c r="AB259" s="21"/>
      <c r="AC259" s="21"/>
    </row>
    <row r="260" spans="2:29" ht="14.25" customHeight="1">
      <c r="B260" s="10"/>
      <c r="C260" s="10"/>
      <c r="D260" s="10"/>
      <c r="E260" s="10"/>
      <c r="F260" s="10"/>
      <c r="G260" s="10"/>
      <c r="H260" s="10"/>
      <c r="I260" s="21"/>
      <c r="J260" s="21"/>
      <c r="K260" s="10"/>
      <c r="L260" s="21"/>
      <c r="M260" s="10"/>
      <c r="N260" s="10"/>
      <c r="O260" s="22"/>
      <c r="P260" s="10"/>
      <c r="Q260" s="10"/>
      <c r="R260" s="10"/>
      <c r="S260" s="10"/>
      <c r="T260" s="10"/>
      <c r="U260" s="11"/>
      <c r="V260" s="12"/>
      <c r="W260" s="12"/>
      <c r="X260" s="12"/>
      <c r="Y260" s="13"/>
      <c r="AB260" s="21"/>
      <c r="AC260" s="21"/>
    </row>
    <row r="261" spans="2:29" ht="14.25" customHeight="1">
      <c r="B261" s="10"/>
      <c r="C261" s="10"/>
      <c r="D261" s="10"/>
      <c r="E261" s="10"/>
      <c r="F261" s="10"/>
      <c r="G261" s="10"/>
      <c r="H261" s="10"/>
      <c r="I261" s="21"/>
      <c r="J261" s="21"/>
      <c r="K261" s="10"/>
      <c r="L261" s="21"/>
      <c r="M261" s="10"/>
      <c r="N261" s="10"/>
      <c r="O261" s="22"/>
      <c r="P261" s="10"/>
      <c r="Q261" s="10"/>
      <c r="R261" s="10"/>
      <c r="S261" s="10"/>
      <c r="T261" s="10"/>
      <c r="U261" s="11"/>
      <c r="V261" s="12"/>
      <c r="W261" s="12"/>
      <c r="X261" s="12"/>
      <c r="Y261" s="13"/>
      <c r="AB261" s="21"/>
      <c r="AC261" s="21"/>
    </row>
    <row r="262" spans="2:29" ht="14.25" customHeight="1">
      <c r="B262" s="10"/>
      <c r="C262" s="10"/>
      <c r="D262" s="10"/>
      <c r="E262" s="10"/>
      <c r="F262" s="10"/>
      <c r="G262" s="10"/>
      <c r="H262" s="10"/>
      <c r="I262" s="21"/>
      <c r="J262" s="21"/>
      <c r="K262" s="10"/>
      <c r="L262" s="21"/>
      <c r="M262" s="10"/>
      <c r="N262" s="10"/>
      <c r="O262" s="22"/>
      <c r="P262" s="10"/>
      <c r="Q262" s="10"/>
      <c r="R262" s="10"/>
      <c r="S262" s="10"/>
      <c r="T262" s="10"/>
      <c r="U262" s="11"/>
      <c r="V262" s="12"/>
      <c r="W262" s="12"/>
      <c r="X262" s="12"/>
      <c r="Y262" s="13"/>
      <c r="AB262" s="21"/>
      <c r="AC262" s="21"/>
    </row>
    <row r="263" spans="2:29" ht="14.25" customHeight="1">
      <c r="B263" s="10"/>
      <c r="C263" s="10"/>
      <c r="D263" s="10"/>
      <c r="E263" s="10"/>
      <c r="F263" s="10"/>
      <c r="G263" s="10"/>
      <c r="H263" s="10"/>
      <c r="I263" s="21"/>
      <c r="J263" s="21"/>
      <c r="K263" s="10"/>
      <c r="L263" s="21"/>
      <c r="M263" s="10"/>
      <c r="N263" s="10"/>
      <c r="O263" s="22"/>
      <c r="P263" s="10"/>
      <c r="Q263" s="10"/>
      <c r="R263" s="10"/>
      <c r="S263" s="10"/>
      <c r="T263" s="10"/>
      <c r="U263" s="11"/>
      <c r="V263" s="12"/>
      <c r="W263" s="12"/>
      <c r="X263" s="12"/>
      <c r="Y263" s="13"/>
      <c r="AB263" s="21"/>
      <c r="AC263" s="21"/>
    </row>
    <row r="264" spans="2:29" ht="14.25" customHeight="1">
      <c r="B264" s="10"/>
      <c r="C264" s="10"/>
      <c r="D264" s="10"/>
      <c r="E264" s="10"/>
      <c r="F264" s="10"/>
      <c r="G264" s="10"/>
      <c r="H264" s="10"/>
      <c r="I264" s="21"/>
      <c r="J264" s="21"/>
      <c r="K264" s="10"/>
      <c r="L264" s="21"/>
      <c r="M264" s="10"/>
      <c r="N264" s="10"/>
      <c r="O264" s="22"/>
      <c r="P264" s="10"/>
      <c r="Q264" s="10"/>
      <c r="R264" s="10"/>
      <c r="S264" s="10"/>
      <c r="T264" s="10"/>
      <c r="U264" s="11"/>
      <c r="V264" s="12"/>
      <c r="W264" s="12"/>
      <c r="X264" s="12"/>
      <c r="Y264" s="13"/>
      <c r="AB264" s="21"/>
      <c r="AC264" s="21"/>
    </row>
    <row r="265" spans="2:29" ht="14.25" customHeight="1">
      <c r="B265" s="10"/>
      <c r="C265" s="10"/>
      <c r="D265" s="10"/>
      <c r="E265" s="10"/>
      <c r="F265" s="10"/>
      <c r="G265" s="10"/>
      <c r="H265" s="10"/>
      <c r="I265" s="21"/>
      <c r="J265" s="21"/>
      <c r="K265" s="10"/>
      <c r="L265" s="21"/>
      <c r="M265" s="10"/>
      <c r="N265" s="10"/>
      <c r="O265" s="22"/>
      <c r="P265" s="10"/>
      <c r="Q265" s="10"/>
      <c r="R265" s="10"/>
      <c r="S265" s="10"/>
      <c r="T265" s="10"/>
      <c r="U265" s="11"/>
      <c r="V265" s="12"/>
      <c r="W265" s="12"/>
      <c r="X265" s="12"/>
      <c r="Y265" s="13"/>
      <c r="AB265" s="21"/>
      <c r="AC265" s="21"/>
    </row>
    <row r="266" spans="2:29" ht="14.25" customHeight="1">
      <c r="B266" s="10"/>
      <c r="C266" s="10"/>
      <c r="D266" s="10"/>
      <c r="E266" s="10"/>
      <c r="F266" s="10"/>
      <c r="G266" s="10"/>
      <c r="H266" s="10"/>
      <c r="I266" s="21"/>
      <c r="J266" s="21"/>
      <c r="K266" s="10"/>
      <c r="L266" s="21"/>
      <c r="M266" s="10"/>
      <c r="N266" s="10"/>
      <c r="O266" s="22"/>
      <c r="P266" s="10"/>
      <c r="Q266" s="10"/>
      <c r="R266" s="10"/>
      <c r="S266" s="10"/>
      <c r="T266" s="10"/>
      <c r="U266" s="11"/>
      <c r="V266" s="12"/>
      <c r="W266" s="12"/>
      <c r="X266" s="12"/>
      <c r="Y266" s="13"/>
      <c r="AB266" s="21"/>
      <c r="AC266" s="21"/>
    </row>
    <row r="267" spans="2:29" ht="14.25" customHeight="1">
      <c r="B267" s="10"/>
      <c r="C267" s="10"/>
      <c r="D267" s="10"/>
      <c r="E267" s="10"/>
      <c r="F267" s="10"/>
      <c r="G267" s="10"/>
      <c r="H267" s="10"/>
      <c r="I267" s="21"/>
      <c r="J267" s="21"/>
      <c r="K267" s="10"/>
      <c r="L267" s="21"/>
      <c r="M267" s="10"/>
      <c r="N267" s="10"/>
      <c r="O267" s="22"/>
      <c r="P267" s="10"/>
      <c r="Q267" s="10"/>
      <c r="R267" s="10"/>
      <c r="S267" s="10"/>
      <c r="T267" s="10"/>
      <c r="U267" s="11"/>
      <c r="V267" s="12"/>
      <c r="W267" s="12"/>
      <c r="X267" s="12"/>
      <c r="Y267" s="13"/>
      <c r="AB267" s="21"/>
      <c r="AC267" s="21"/>
    </row>
    <row r="268" spans="2:29" ht="14.25" customHeight="1">
      <c r="B268" s="10"/>
      <c r="C268" s="10"/>
      <c r="D268" s="10"/>
      <c r="E268" s="10"/>
      <c r="F268" s="10"/>
      <c r="G268" s="10"/>
      <c r="H268" s="10"/>
      <c r="I268" s="21"/>
      <c r="J268" s="21"/>
      <c r="K268" s="10"/>
      <c r="L268" s="21"/>
      <c r="M268" s="10"/>
      <c r="N268" s="10"/>
      <c r="O268" s="22"/>
      <c r="P268" s="10"/>
      <c r="Q268" s="10"/>
      <c r="R268" s="10"/>
      <c r="S268" s="10"/>
      <c r="T268" s="10"/>
      <c r="U268" s="11"/>
      <c r="V268" s="12"/>
      <c r="W268" s="12"/>
      <c r="X268" s="12"/>
      <c r="Y268" s="13"/>
      <c r="AB268" s="21"/>
      <c r="AC268" s="21"/>
    </row>
    <row r="269" spans="2:29" ht="14.25" customHeight="1">
      <c r="B269" s="10"/>
      <c r="C269" s="10"/>
      <c r="D269" s="10"/>
      <c r="E269" s="10"/>
      <c r="F269" s="10"/>
      <c r="G269" s="10"/>
      <c r="H269" s="10"/>
      <c r="I269" s="21"/>
      <c r="J269" s="21"/>
      <c r="K269" s="10"/>
      <c r="L269" s="21"/>
      <c r="M269" s="10"/>
      <c r="N269" s="10"/>
      <c r="O269" s="22"/>
      <c r="P269" s="10"/>
      <c r="Q269" s="10"/>
      <c r="R269" s="10"/>
      <c r="S269" s="10"/>
      <c r="T269" s="10"/>
      <c r="U269" s="11"/>
      <c r="V269" s="12"/>
      <c r="W269" s="12"/>
      <c r="X269" s="12"/>
      <c r="Y269" s="13"/>
      <c r="AB269" s="21"/>
      <c r="AC269" s="21"/>
    </row>
    <row r="270" spans="2:29" ht="14.25" customHeight="1">
      <c r="B270" s="10"/>
      <c r="C270" s="10"/>
      <c r="D270" s="10"/>
      <c r="E270" s="10"/>
      <c r="F270" s="10"/>
      <c r="G270" s="10"/>
      <c r="H270" s="10"/>
      <c r="I270" s="21"/>
      <c r="J270" s="21"/>
      <c r="K270" s="10"/>
      <c r="L270" s="21"/>
      <c r="M270" s="10"/>
      <c r="N270" s="10"/>
      <c r="O270" s="22"/>
      <c r="P270" s="10"/>
      <c r="Q270" s="10"/>
      <c r="R270" s="10"/>
      <c r="S270" s="10"/>
      <c r="T270" s="10"/>
      <c r="U270" s="11"/>
      <c r="V270" s="12"/>
      <c r="W270" s="12"/>
      <c r="X270" s="12"/>
      <c r="Y270" s="13"/>
      <c r="AB270" s="21"/>
      <c r="AC270" s="21"/>
    </row>
    <row r="271" spans="2:29" ht="14.25" customHeight="1">
      <c r="B271" s="10"/>
      <c r="C271" s="10"/>
      <c r="D271" s="10"/>
      <c r="E271" s="10"/>
      <c r="F271" s="10"/>
      <c r="G271" s="10"/>
      <c r="H271" s="10"/>
      <c r="I271" s="21"/>
      <c r="J271" s="21"/>
      <c r="K271" s="10"/>
      <c r="L271" s="21"/>
      <c r="M271" s="10"/>
      <c r="N271" s="10"/>
      <c r="O271" s="22"/>
      <c r="P271" s="10"/>
      <c r="Q271" s="10"/>
      <c r="R271" s="10"/>
      <c r="S271" s="10"/>
      <c r="T271" s="10"/>
      <c r="U271" s="11"/>
      <c r="V271" s="12"/>
      <c r="W271" s="12"/>
      <c r="X271" s="12"/>
      <c r="Y271" s="13"/>
      <c r="AB271" s="21"/>
      <c r="AC271" s="21"/>
    </row>
    <row r="272" spans="2:29" ht="14.25" customHeight="1">
      <c r="B272" s="10"/>
      <c r="C272" s="10"/>
      <c r="D272" s="10"/>
      <c r="E272" s="10"/>
      <c r="F272" s="10"/>
      <c r="G272" s="10"/>
      <c r="H272" s="10"/>
      <c r="I272" s="21"/>
      <c r="J272" s="21"/>
      <c r="K272" s="10"/>
      <c r="L272" s="21"/>
      <c r="M272" s="10"/>
      <c r="N272" s="10"/>
      <c r="O272" s="22"/>
      <c r="P272" s="10"/>
      <c r="Q272" s="10"/>
      <c r="R272" s="10"/>
      <c r="S272" s="10"/>
      <c r="T272" s="10"/>
      <c r="U272" s="11"/>
      <c r="V272" s="12"/>
      <c r="W272" s="12"/>
      <c r="X272" s="12"/>
      <c r="Y272" s="13"/>
      <c r="AB272" s="21"/>
      <c r="AC272" s="21"/>
    </row>
    <row r="273" spans="2:29" ht="14.25" customHeight="1">
      <c r="B273" s="10"/>
      <c r="C273" s="10"/>
      <c r="D273" s="10"/>
      <c r="E273" s="10"/>
      <c r="F273" s="10"/>
      <c r="G273" s="10"/>
      <c r="H273" s="10"/>
      <c r="I273" s="21"/>
      <c r="J273" s="21"/>
      <c r="K273" s="10"/>
      <c r="L273" s="21"/>
      <c r="M273" s="10"/>
      <c r="N273" s="10"/>
      <c r="O273" s="22"/>
      <c r="P273" s="10"/>
      <c r="Q273" s="10"/>
      <c r="R273" s="10"/>
      <c r="S273" s="10"/>
      <c r="T273" s="10"/>
      <c r="U273" s="11"/>
      <c r="V273" s="12"/>
      <c r="W273" s="12"/>
      <c r="X273" s="12"/>
      <c r="Y273" s="13"/>
      <c r="AB273" s="21"/>
      <c r="AC273" s="21"/>
    </row>
    <row r="274" spans="2:29" ht="14.25" customHeight="1">
      <c r="B274" s="10"/>
      <c r="C274" s="10"/>
      <c r="D274" s="10"/>
      <c r="E274" s="10"/>
      <c r="F274" s="10"/>
      <c r="G274" s="10"/>
      <c r="H274" s="10"/>
      <c r="I274" s="21"/>
      <c r="J274" s="21"/>
      <c r="K274" s="10"/>
      <c r="L274" s="21"/>
      <c r="M274" s="10"/>
      <c r="N274" s="10"/>
      <c r="O274" s="22"/>
      <c r="P274" s="10"/>
      <c r="Q274" s="10"/>
      <c r="R274" s="10"/>
      <c r="S274" s="10"/>
      <c r="T274" s="10"/>
      <c r="U274" s="11"/>
      <c r="V274" s="12"/>
      <c r="W274" s="12"/>
      <c r="X274" s="12"/>
      <c r="Y274" s="13"/>
      <c r="AB274" s="21"/>
      <c r="AC274" s="21"/>
    </row>
    <row r="275" spans="2:29" ht="14.25" customHeight="1">
      <c r="B275" s="10"/>
      <c r="C275" s="10"/>
      <c r="D275" s="10"/>
      <c r="E275" s="10"/>
      <c r="F275" s="10"/>
      <c r="G275" s="10"/>
      <c r="H275" s="10"/>
      <c r="I275" s="21"/>
      <c r="J275" s="21"/>
      <c r="K275" s="10"/>
      <c r="L275" s="21"/>
      <c r="M275" s="10"/>
      <c r="N275" s="10"/>
      <c r="O275" s="22"/>
      <c r="P275" s="10"/>
      <c r="Q275" s="10"/>
      <c r="R275" s="10"/>
      <c r="S275" s="10"/>
      <c r="T275" s="10"/>
      <c r="U275" s="11"/>
      <c r="V275" s="12"/>
      <c r="W275" s="12"/>
      <c r="X275" s="12"/>
      <c r="Y275" s="13"/>
      <c r="AB275" s="21"/>
      <c r="AC275" s="21"/>
    </row>
    <row r="276" spans="2:29" ht="14.25" customHeight="1">
      <c r="B276" s="10"/>
      <c r="C276" s="10"/>
      <c r="D276" s="10"/>
      <c r="E276" s="10"/>
      <c r="F276" s="10"/>
      <c r="G276" s="10"/>
      <c r="H276" s="10"/>
      <c r="I276" s="21"/>
      <c r="J276" s="21"/>
      <c r="K276" s="10"/>
      <c r="L276" s="21"/>
      <c r="M276" s="10"/>
      <c r="N276" s="10"/>
      <c r="O276" s="22"/>
      <c r="P276" s="10"/>
      <c r="Q276" s="10"/>
      <c r="R276" s="10"/>
      <c r="S276" s="10"/>
      <c r="T276" s="10"/>
      <c r="U276" s="11"/>
      <c r="V276" s="12"/>
      <c r="W276" s="12"/>
      <c r="X276" s="12"/>
      <c r="Y276" s="13"/>
      <c r="AB276" s="21"/>
      <c r="AC276" s="21"/>
    </row>
    <row r="277" spans="2:29" ht="14.25" customHeight="1">
      <c r="B277" s="10"/>
      <c r="C277" s="10"/>
      <c r="D277" s="10"/>
      <c r="E277" s="10"/>
      <c r="F277" s="10"/>
      <c r="G277" s="10"/>
      <c r="H277" s="10"/>
      <c r="I277" s="21"/>
      <c r="J277" s="21"/>
      <c r="K277" s="10"/>
      <c r="L277" s="21"/>
      <c r="M277" s="10"/>
      <c r="N277" s="10"/>
      <c r="O277" s="22"/>
      <c r="P277" s="10"/>
      <c r="Q277" s="10"/>
      <c r="R277" s="10"/>
      <c r="S277" s="10"/>
      <c r="T277" s="10"/>
      <c r="U277" s="11"/>
      <c r="V277" s="12"/>
      <c r="W277" s="12"/>
      <c r="X277" s="12"/>
      <c r="Y277" s="13"/>
      <c r="AB277" s="21"/>
      <c r="AC277" s="21"/>
    </row>
    <row r="278" spans="2:29" ht="14.25" customHeight="1">
      <c r="B278" s="10"/>
      <c r="C278" s="10"/>
      <c r="D278" s="10"/>
      <c r="E278" s="10"/>
      <c r="F278" s="10"/>
      <c r="G278" s="10"/>
      <c r="H278" s="10"/>
      <c r="I278" s="21"/>
      <c r="J278" s="21"/>
      <c r="K278" s="10"/>
      <c r="L278" s="21"/>
      <c r="M278" s="10"/>
      <c r="N278" s="10"/>
      <c r="O278" s="22"/>
      <c r="P278" s="10"/>
      <c r="Q278" s="10"/>
      <c r="R278" s="10"/>
      <c r="S278" s="10"/>
      <c r="T278" s="10"/>
      <c r="U278" s="11"/>
      <c r="V278" s="12"/>
      <c r="W278" s="12"/>
      <c r="X278" s="12"/>
      <c r="Y278" s="13"/>
      <c r="AB278" s="21"/>
      <c r="AC278" s="21"/>
    </row>
    <row r="279" spans="2:29" ht="14.25" customHeight="1">
      <c r="B279" s="10"/>
      <c r="C279" s="10"/>
      <c r="D279" s="10"/>
      <c r="E279" s="10"/>
      <c r="F279" s="10"/>
      <c r="G279" s="10"/>
      <c r="H279" s="10"/>
      <c r="I279" s="21"/>
      <c r="J279" s="21"/>
      <c r="K279" s="10"/>
      <c r="L279" s="21"/>
      <c r="M279" s="10"/>
      <c r="N279" s="10"/>
      <c r="O279" s="22"/>
      <c r="P279" s="10"/>
      <c r="Q279" s="10"/>
      <c r="R279" s="10"/>
      <c r="S279" s="10"/>
      <c r="T279" s="10"/>
      <c r="U279" s="11"/>
      <c r="V279" s="12"/>
      <c r="W279" s="12"/>
      <c r="X279" s="12"/>
      <c r="Y279" s="13"/>
      <c r="AB279" s="21"/>
      <c r="AC279" s="21"/>
    </row>
    <row r="280" spans="2:29" ht="14.25" customHeight="1">
      <c r="B280" s="10"/>
      <c r="C280" s="10"/>
      <c r="D280" s="10"/>
      <c r="E280" s="10"/>
      <c r="F280" s="10"/>
      <c r="G280" s="10"/>
      <c r="H280" s="10"/>
      <c r="I280" s="21"/>
      <c r="J280" s="21"/>
      <c r="K280" s="10"/>
      <c r="L280" s="21"/>
      <c r="M280" s="10"/>
      <c r="N280" s="10"/>
      <c r="O280" s="22"/>
      <c r="P280" s="10"/>
      <c r="Q280" s="10"/>
      <c r="R280" s="10"/>
      <c r="S280" s="10"/>
      <c r="T280" s="10"/>
      <c r="U280" s="11"/>
      <c r="V280" s="12"/>
      <c r="W280" s="12"/>
      <c r="X280" s="12"/>
      <c r="Y280" s="13"/>
      <c r="AB280" s="21"/>
      <c r="AC280" s="21"/>
    </row>
    <row r="281" spans="2:29" ht="14.25" customHeight="1">
      <c r="B281" s="10"/>
      <c r="C281" s="10"/>
      <c r="D281" s="10"/>
      <c r="E281" s="10"/>
      <c r="F281" s="10"/>
      <c r="G281" s="10"/>
      <c r="H281" s="10"/>
      <c r="I281" s="21"/>
      <c r="J281" s="21"/>
      <c r="K281" s="10"/>
      <c r="L281" s="21"/>
      <c r="M281" s="10"/>
      <c r="N281" s="10"/>
      <c r="O281" s="22"/>
      <c r="P281" s="10"/>
      <c r="Q281" s="10"/>
      <c r="R281" s="10"/>
      <c r="S281" s="10"/>
      <c r="T281" s="10"/>
      <c r="U281" s="11"/>
      <c r="V281" s="12"/>
      <c r="W281" s="12"/>
      <c r="X281" s="12"/>
      <c r="Y281" s="13"/>
      <c r="AB281" s="21"/>
      <c r="AC281" s="21"/>
    </row>
    <row r="282" spans="2:29" ht="14.25" customHeight="1">
      <c r="B282" s="10"/>
      <c r="C282" s="10"/>
      <c r="D282" s="10"/>
      <c r="E282" s="10"/>
      <c r="F282" s="10"/>
      <c r="G282" s="10"/>
      <c r="H282" s="10"/>
      <c r="I282" s="21"/>
      <c r="J282" s="21"/>
      <c r="K282" s="10"/>
      <c r="L282" s="21"/>
      <c r="M282" s="10"/>
      <c r="N282" s="10"/>
      <c r="O282" s="22"/>
      <c r="P282" s="10"/>
      <c r="Q282" s="10"/>
      <c r="R282" s="10"/>
      <c r="S282" s="10"/>
      <c r="T282" s="10"/>
      <c r="U282" s="11"/>
      <c r="V282" s="12"/>
      <c r="W282" s="12"/>
      <c r="X282" s="12"/>
      <c r="Y282" s="13"/>
      <c r="AB282" s="21"/>
      <c r="AC282" s="21"/>
    </row>
    <row r="283" spans="2:29" ht="14.25" customHeight="1">
      <c r="B283" s="10"/>
      <c r="C283" s="10"/>
      <c r="D283" s="10"/>
      <c r="E283" s="10"/>
      <c r="F283" s="10"/>
      <c r="G283" s="10"/>
      <c r="H283" s="10"/>
      <c r="I283" s="21"/>
      <c r="J283" s="21"/>
      <c r="K283" s="10"/>
      <c r="L283" s="21"/>
      <c r="M283" s="10"/>
      <c r="N283" s="10"/>
      <c r="O283" s="22"/>
      <c r="P283" s="10"/>
      <c r="Q283" s="10"/>
      <c r="R283" s="10"/>
      <c r="S283" s="10"/>
      <c r="T283" s="10"/>
      <c r="U283" s="11"/>
      <c r="V283" s="12"/>
      <c r="W283" s="12"/>
      <c r="X283" s="12"/>
      <c r="Y283" s="13"/>
      <c r="AB283" s="21"/>
      <c r="AC283" s="21"/>
    </row>
    <row r="284" spans="2:29" ht="14.25" customHeight="1">
      <c r="B284" s="10"/>
      <c r="C284" s="10"/>
      <c r="D284" s="10"/>
      <c r="E284" s="10"/>
      <c r="F284" s="10"/>
      <c r="G284" s="10"/>
      <c r="H284" s="10"/>
      <c r="I284" s="21"/>
      <c r="J284" s="21"/>
      <c r="K284" s="10"/>
      <c r="L284" s="21"/>
      <c r="M284" s="10"/>
      <c r="N284" s="10"/>
      <c r="O284" s="22"/>
      <c r="P284" s="10"/>
      <c r="Q284" s="10"/>
      <c r="R284" s="10"/>
      <c r="S284" s="10"/>
      <c r="T284" s="10"/>
      <c r="U284" s="11"/>
      <c r="V284" s="12"/>
      <c r="W284" s="12"/>
      <c r="X284" s="12"/>
      <c r="Y284" s="13"/>
      <c r="AB284" s="21"/>
      <c r="AC284" s="21"/>
    </row>
    <row r="285" spans="2:29" ht="14.25" customHeight="1">
      <c r="B285" s="10"/>
      <c r="C285" s="10"/>
      <c r="D285" s="10"/>
      <c r="E285" s="10"/>
      <c r="F285" s="10"/>
      <c r="G285" s="10"/>
      <c r="H285" s="10"/>
      <c r="I285" s="21"/>
      <c r="J285" s="21"/>
      <c r="K285" s="10"/>
      <c r="L285" s="21"/>
      <c r="M285" s="10"/>
      <c r="N285" s="10"/>
      <c r="O285" s="22"/>
      <c r="P285" s="10"/>
      <c r="Q285" s="10"/>
      <c r="R285" s="10"/>
      <c r="S285" s="10"/>
      <c r="T285" s="10"/>
      <c r="U285" s="11"/>
      <c r="V285" s="12"/>
      <c r="W285" s="12"/>
      <c r="X285" s="12"/>
      <c r="Y285" s="13"/>
      <c r="AB285" s="21"/>
      <c r="AC285" s="21"/>
    </row>
    <row r="286" spans="2:29" ht="14.25" customHeight="1">
      <c r="B286" s="10"/>
      <c r="C286" s="10"/>
      <c r="D286" s="10"/>
      <c r="E286" s="10"/>
      <c r="F286" s="10"/>
      <c r="G286" s="10"/>
      <c r="H286" s="10"/>
      <c r="I286" s="21"/>
      <c r="J286" s="21"/>
      <c r="K286" s="10"/>
      <c r="L286" s="21"/>
      <c r="M286" s="10"/>
      <c r="N286" s="10"/>
      <c r="O286" s="22"/>
      <c r="P286" s="10"/>
      <c r="Q286" s="10"/>
      <c r="R286" s="10"/>
      <c r="S286" s="10"/>
      <c r="T286" s="10"/>
      <c r="U286" s="11"/>
      <c r="V286" s="12"/>
      <c r="W286" s="12"/>
      <c r="X286" s="12"/>
      <c r="Y286" s="13"/>
      <c r="AB286" s="21"/>
      <c r="AC286" s="21"/>
    </row>
    <row r="287" spans="2:29" ht="14.25" customHeight="1">
      <c r="B287" s="10"/>
      <c r="C287" s="10"/>
      <c r="D287" s="10"/>
      <c r="E287" s="10"/>
      <c r="F287" s="10"/>
      <c r="G287" s="10"/>
      <c r="H287" s="10"/>
      <c r="I287" s="21"/>
      <c r="J287" s="21"/>
      <c r="K287" s="10"/>
      <c r="L287" s="21"/>
      <c r="M287" s="10"/>
      <c r="N287" s="10"/>
      <c r="O287" s="22"/>
      <c r="P287" s="10"/>
      <c r="Q287" s="10"/>
      <c r="R287" s="10"/>
      <c r="S287" s="10"/>
      <c r="T287" s="10"/>
      <c r="U287" s="11"/>
      <c r="V287" s="12"/>
      <c r="W287" s="12"/>
      <c r="X287" s="12"/>
      <c r="Y287" s="13"/>
      <c r="AB287" s="21"/>
      <c r="AC287" s="21"/>
    </row>
    <row r="288" spans="2:29" ht="14.25" customHeight="1">
      <c r="B288" s="10"/>
      <c r="C288" s="10"/>
      <c r="D288" s="10"/>
      <c r="E288" s="10"/>
      <c r="F288" s="10"/>
      <c r="G288" s="10"/>
      <c r="H288" s="10"/>
      <c r="I288" s="21"/>
      <c r="J288" s="21"/>
      <c r="K288" s="10"/>
      <c r="L288" s="21"/>
      <c r="M288" s="10"/>
      <c r="N288" s="10"/>
      <c r="O288" s="22"/>
      <c r="P288" s="10"/>
      <c r="Q288" s="10"/>
      <c r="R288" s="10"/>
      <c r="S288" s="10"/>
      <c r="T288" s="10"/>
      <c r="U288" s="11"/>
      <c r="V288" s="12"/>
      <c r="W288" s="12"/>
      <c r="X288" s="12"/>
      <c r="Y288" s="13"/>
      <c r="AB288" s="21"/>
      <c r="AC288" s="21"/>
    </row>
    <row r="289" spans="2:29" ht="14.25" customHeight="1">
      <c r="B289" s="10"/>
      <c r="C289" s="10"/>
      <c r="D289" s="10"/>
      <c r="E289" s="10"/>
      <c r="F289" s="10"/>
      <c r="G289" s="10"/>
      <c r="H289" s="10"/>
      <c r="I289" s="21"/>
      <c r="J289" s="21"/>
      <c r="K289" s="10"/>
      <c r="L289" s="21"/>
      <c r="M289" s="10"/>
      <c r="N289" s="10"/>
      <c r="O289" s="22"/>
      <c r="P289" s="10"/>
      <c r="Q289" s="10"/>
      <c r="R289" s="10"/>
      <c r="S289" s="10"/>
      <c r="T289" s="10"/>
      <c r="U289" s="11"/>
      <c r="V289" s="12"/>
      <c r="W289" s="12"/>
      <c r="X289" s="12"/>
      <c r="Y289" s="13"/>
      <c r="AB289" s="21"/>
      <c r="AC289" s="21"/>
    </row>
    <row r="290" spans="2:29" ht="14.25" customHeight="1">
      <c r="B290" s="10"/>
      <c r="C290" s="10"/>
      <c r="D290" s="10"/>
      <c r="E290" s="10"/>
      <c r="F290" s="10"/>
      <c r="G290" s="10"/>
      <c r="H290" s="10"/>
      <c r="I290" s="21"/>
      <c r="J290" s="21"/>
      <c r="K290" s="10"/>
      <c r="L290" s="21"/>
      <c r="M290" s="10"/>
      <c r="N290" s="10"/>
      <c r="O290" s="22"/>
      <c r="P290" s="10"/>
      <c r="Q290" s="10"/>
      <c r="R290" s="10"/>
      <c r="S290" s="10"/>
      <c r="T290" s="10"/>
      <c r="U290" s="11"/>
      <c r="V290" s="12"/>
      <c r="W290" s="12"/>
      <c r="X290" s="12"/>
      <c r="Y290" s="13"/>
      <c r="AB290" s="21"/>
      <c r="AC290" s="21"/>
    </row>
    <row r="291" spans="2:29" ht="14.25" customHeight="1">
      <c r="B291" s="10"/>
      <c r="C291" s="10"/>
      <c r="D291" s="10"/>
      <c r="E291" s="10"/>
      <c r="F291" s="10"/>
      <c r="G291" s="10"/>
      <c r="H291" s="10"/>
      <c r="I291" s="21"/>
      <c r="J291" s="21"/>
      <c r="K291" s="10"/>
      <c r="L291" s="21"/>
      <c r="M291" s="10"/>
      <c r="N291" s="10"/>
      <c r="O291" s="22"/>
      <c r="P291" s="10"/>
      <c r="Q291" s="10"/>
      <c r="R291" s="10"/>
      <c r="S291" s="10"/>
      <c r="T291" s="10"/>
      <c r="U291" s="11"/>
      <c r="V291" s="12"/>
      <c r="W291" s="12"/>
      <c r="X291" s="12"/>
      <c r="Y291" s="13"/>
      <c r="AB291" s="21"/>
      <c r="AC291" s="21"/>
    </row>
    <row r="292" spans="2:29" ht="14.25" customHeight="1">
      <c r="B292" s="10"/>
      <c r="C292" s="10"/>
      <c r="D292" s="10"/>
      <c r="E292" s="10"/>
      <c r="F292" s="10"/>
      <c r="G292" s="10"/>
      <c r="H292" s="10"/>
      <c r="I292" s="21"/>
      <c r="J292" s="21"/>
      <c r="K292" s="10"/>
      <c r="L292" s="21"/>
      <c r="M292" s="10"/>
      <c r="N292" s="10"/>
      <c r="O292" s="22"/>
      <c r="P292" s="10"/>
      <c r="Q292" s="10"/>
      <c r="R292" s="10"/>
      <c r="S292" s="10"/>
      <c r="T292" s="10"/>
      <c r="U292" s="11"/>
      <c r="V292" s="12"/>
      <c r="W292" s="12"/>
      <c r="X292" s="12"/>
      <c r="Y292" s="13"/>
      <c r="AB292" s="21"/>
      <c r="AC292" s="21"/>
    </row>
    <row r="293" spans="2:29" ht="14.25" customHeight="1">
      <c r="B293" s="10"/>
      <c r="C293" s="10"/>
      <c r="D293" s="10"/>
      <c r="E293" s="10"/>
      <c r="F293" s="10"/>
      <c r="G293" s="10"/>
      <c r="H293" s="10"/>
      <c r="I293" s="21"/>
      <c r="J293" s="21"/>
      <c r="K293" s="10"/>
      <c r="L293" s="21"/>
      <c r="M293" s="10"/>
      <c r="N293" s="10"/>
      <c r="O293" s="22"/>
      <c r="P293" s="10"/>
      <c r="Q293" s="10"/>
      <c r="R293" s="10"/>
      <c r="S293" s="10"/>
      <c r="T293" s="10"/>
      <c r="U293" s="11"/>
      <c r="V293" s="12"/>
      <c r="W293" s="12"/>
      <c r="X293" s="12"/>
      <c r="Y293" s="13"/>
      <c r="AB293" s="21"/>
      <c r="AC293" s="21"/>
    </row>
    <row r="294" spans="2:29" ht="14.25" customHeight="1">
      <c r="B294" s="10"/>
      <c r="C294" s="10"/>
      <c r="D294" s="10"/>
      <c r="E294" s="10"/>
      <c r="F294" s="10"/>
      <c r="G294" s="10"/>
      <c r="H294" s="10"/>
      <c r="I294" s="21"/>
      <c r="J294" s="21"/>
      <c r="K294" s="10"/>
      <c r="L294" s="21"/>
      <c r="M294" s="10"/>
      <c r="N294" s="10"/>
      <c r="O294" s="22"/>
      <c r="P294" s="10"/>
      <c r="Q294" s="10"/>
      <c r="R294" s="10"/>
      <c r="S294" s="10"/>
      <c r="T294" s="10"/>
      <c r="U294" s="11"/>
      <c r="V294" s="12"/>
      <c r="W294" s="12"/>
      <c r="X294" s="12"/>
      <c r="Y294" s="13"/>
      <c r="AB294" s="21"/>
      <c r="AC294" s="21"/>
    </row>
    <row r="295" spans="2:29" ht="14.25" customHeight="1">
      <c r="B295" s="10"/>
      <c r="C295" s="10"/>
      <c r="D295" s="10"/>
      <c r="E295" s="10"/>
      <c r="F295" s="10"/>
      <c r="G295" s="10"/>
      <c r="H295" s="10"/>
      <c r="I295" s="21"/>
      <c r="J295" s="21"/>
      <c r="K295" s="10"/>
      <c r="L295" s="21"/>
      <c r="M295" s="10"/>
      <c r="N295" s="10"/>
      <c r="O295" s="22"/>
      <c r="P295" s="10"/>
      <c r="Q295" s="10"/>
      <c r="R295" s="10"/>
      <c r="S295" s="10"/>
      <c r="T295" s="10"/>
      <c r="U295" s="11"/>
      <c r="V295" s="12"/>
      <c r="W295" s="12"/>
      <c r="X295" s="12"/>
      <c r="Y295" s="13"/>
      <c r="AB295" s="21"/>
      <c r="AC295" s="21"/>
    </row>
    <row r="296" spans="2:29" ht="14.25" customHeight="1">
      <c r="B296" s="10"/>
      <c r="C296" s="10"/>
      <c r="D296" s="10"/>
      <c r="E296" s="10"/>
      <c r="F296" s="10"/>
      <c r="G296" s="10"/>
      <c r="H296" s="10"/>
      <c r="I296" s="21"/>
      <c r="J296" s="21"/>
      <c r="K296" s="10"/>
      <c r="L296" s="21"/>
      <c r="M296" s="10"/>
      <c r="N296" s="10"/>
      <c r="O296" s="22"/>
      <c r="P296" s="10"/>
      <c r="Q296" s="10"/>
      <c r="R296" s="10"/>
      <c r="S296" s="10"/>
      <c r="T296" s="10"/>
      <c r="U296" s="11"/>
      <c r="V296" s="12"/>
      <c r="W296" s="12"/>
      <c r="X296" s="12"/>
      <c r="Y296" s="13"/>
      <c r="AB296" s="21"/>
      <c r="AC296" s="21"/>
    </row>
    <row r="297" spans="2:29" ht="14.25" customHeight="1">
      <c r="B297" s="10"/>
      <c r="C297" s="10"/>
      <c r="D297" s="10"/>
      <c r="E297" s="10"/>
      <c r="F297" s="10"/>
      <c r="G297" s="10"/>
      <c r="H297" s="10"/>
      <c r="I297" s="21"/>
      <c r="J297" s="21"/>
      <c r="K297" s="10"/>
      <c r="L297" s="21"/>
      <c r="M297" s="10"/>
      <c r="N297" s="10"/>
      <c r="O297" s="22"/>
      <c r="P297" s="10"/>
      <c r="Q297" s="10"/>
      <c r="R297" s="10"/>
      <c r="S297" s="10"/>
      <c r="T297" s="10"/>
      <c r="U297" s="11"/>
      <c r="V297" s="12"/>
      <c r="W297" s="12"/>
      <c r="X297" s="12"/>
      <c r="Y297" s="13"/>
      <c r="AB297" s="21"/>
      <c r="AC297" s="21"/>
    </row>
    <row r="298" spans="2:29" ht="14.25" customHeight="1">
      <c r="B298" s="10"/>
      <c r="C298" s="10"/>
      <c r="D298" s="10"/>
      <c r="E298" s="10"/>
      <c r="F298" s="10"/>
      <c r="G298" s="10"/>
      <c r="H298" s="10"/>
      <c r="I298" s="21"/>
      <c r="J298" s="21"/>
      <c r="K298" s="10"/>
      <c r="L298" s="21"/>
      <c r="M298" s="10"/>
      <c r="N298" s="10"/>
      <c r="O298" s="22"/>
      <c r="P298" s="10"/>
      <c r="Q298" s="10"/>
      <c r="R298" s="10"/>
      <c r="S298" s="10"/>
      <c r="T298" s="10"/>
      <c r="U298" s="11"/>
      <c r="V298" s="12"/>
      <c r="W298" s="12"/>
      <c r="X298" s="12"/>
      <c r="Y298" s="13"/>
      <c r="AB298" s="21"/>
      <c r="AC298" s="21"/>
    </row>
    <row r="299" spans="2:29" ht="14.25" customHeight="1">
      <c r="B299" s="10"/>
      <c r="C299" s="10"/>
      <c r="D299" s="10"/>
      <c r="E299" s="10"/>
      <c r="F299" s="10"/>
      <c r="G299" s="10"/>
      <c r="H299" s="10"/>
      <c r="I299" s="21"/>
      <c r="J299" s="21"/>
      <c r="K299" s="10"/>
      <c r="L299" s="21"/>
      <c r="M299" s="10"/>
      <c r="N299" s="10"/>
      <c r="O299" s="22"/>
      <c r="P299" s="10"/>
      <c r="Q299" s="10"/>
      <c r="R299" s="10"/>
      <c r="S299" s="10"/>
      <c r="T299" s="10"/>
      <c r="U299" s="11"/>
      <c r="V299" s="12"/>
      <c r="W299" s="12"/>
      <c r="X299" s="12"/>
      <c r="Y299" s="13"/>
      <c r="AB299" s="21"/>
      <c r="AC299" s="21"/>
    </row>
    <row r="300" spans="2:29" ht="14.25" customHeight="1">
      <c r="B300" s="10"/>
      <c r="C300" s="10"/>
      <c r="D300" s="10"/>
      <c r="E300" s="10"/>
      <c r="F300" s="10"/>
      <c r="G300" s="10"/>
      <c r="H300" s="10"/>
      <c r="I300" s="21"/>
      <c r="J300" s="21"/>
      <c r="K300" s="10"/>
      <c r="L300" s="21"/>
      <c r="M300" s="10"/>
      <c r="N300" s="10"/>
      <c r="O300" s="22"/>
      <c r="P300" s="10"/>
      <c r="Q300" s="10"/>
      <c r="R300" s="10"/>
      <c r="S300" s="10"/>
      <c r="T300" s="10"/>
      <c r="U300" s="11"/>
      <c r="V300" s="12"/>
      <c r="W300" s="12"/>
      <c r="X300" s="12"/>
      <c r="Y300" s="13"/>
      <c r="AB300" s="21"/>
      <c r="AC300" s="21"/>
    </row>
    <row r="301" spans="2:29" ht="14.25" customHeight="1">
      <c r="B301" s="10"/>
      <c r="C301" s="10"/>
      <c r="D301" s="10"/>
      <c r="E301" s="10"/>
      <c r="F301" s="10"/>
      <c r="G301" s="10"/>
      <c r="H301" s="10"/>
      <c r="I301" s="21"/>
      <c r="J301" s="21"/>
      <c r="K301" s="10"/>
      <c r="L301" s="21"/>
      <c r="M301" s="10"/>
      <c r="N301" s="10"/>
      <c r="O301" s="22"/>
      <c r="P301" s="10"/>
      <c r="Q301" s="10"/>
      <c r="R301" s="10"/>
      <c r="S301" s="10"/>
      <c r="T301" s="10"/>
      <c r="U301" s="11"/>
      <c r="V301" s="12"/>
      <c r="W301" s="12"/>
      <c r="X301" s="12"/>
      <c r="Y301" s="13"/>
      <c r="AB301" s="21"/>
      <c r="AC301" s="21"/>
    </row>
    <row r="302" spans="2:29" ht="14.25" customHeight="1">
      <c r="B302" s="10"/>
      <c r="C302" s="10"/>
      <c r="D302" s="10"/>
      <c r="E302" s="10"/>
      <c r="F302" s="10"/>
      <c r="G302" s="10"/>
      <c r="H302" s="10"/>
      <c r="I302" s="21"/>
      <c r="J302" s="21"/>
      <c r="K302" s="10"/>
      <c r="L302" s="21"/>
      <c r="M302" s="10"/>
      <c r="N302" s="10"/>
      <c r="O302" s="22"/>
      <c r="P302" s="10"/>
      <c r="Q302" s="10"/>
      <c r="R302" s="10"/>
      <c r="S302" s="10"/>
      <c r="T302" s="10"/>
      <c r="U302" s="11"/>
      <c r="V302" s="12"/>
      <c r="W302" s="12"/>
      <c r="X302" s="12"/>
      <c r="Y302" s="13"/>
      <c r="AB302" s="21"/>
      <c r="AC302" s="21"/>
    </row>
    <row r="303" spans="2:29" ht="14.25" customHeight="1">
      <c r="B303" s="10"/>
      <c r="C303" s="10"/>
      <c r="D303" s="10"/>
      <c r="E303" s="10"/>
      <c r="F303" s="10"/>
      <c r="G303" s="10"/>
      <c r="H303" s="10"/>
      <c r="I303" s="21"/>
      <c r="J303" s="21"/>
      <c r="K303" s="10"/>
      <c r="L303" s="21"/>
      <c r="M303" s="10"/>
      <c r="N303" s="10"/>
      <c r="O303" s="22"/>
      <c r="P303" s="10"/>
      <c r="Q303" s="10"/>
      <c r="R303" s="10"/>
      <c r="S303" s="10"/>
      <c r="T303" s="10"/>
      <c r="U303" s="11"/>
      <c r="V303" s="12"/>
      <c r="W303" s="12"/>
      <c r="X303" s="12"/>
      <c r="Y303" s="13"/>
      <c r="AB303" s="21"/>
      <c r="AC303" s="21"/>
    </row>
    <row r="304" spans="2:29" ht="14.25" customHeight="1">
      <c r="B304" s="10"/>
      <c r="C304" s="10"/>
      <c r="D304" s="10"/>
      <c r="E304" s="10"/>
      <c r="F304" s="10"/>
      <c r="G304" s="10"/>
      <c r="H304" s="10"/>
      <c r="I304" s="21"/>
      <c r="J304" s="21"/>
      <c r="K304" s="10"/>
      <c r="L304" s="21"/>
      <c r="M304" s="10"/>
      <c r="N304" s="10"/>
      <c r="O304" s="22"/>
      <c r="P304" s="10"/>
      <c r="Q304" s="10"/>
      <c r="R304" s="10"/>
      <c r="S304" s="10"/>
      <c r="T304" s="10"/>
      <c r="U304" s="11"/>
      <c r="V304" s="12"/>
      <c r="W304" s="12"/>
      <c r="X304" s="12"/>
      <c r="Y304" s="13"/>
      <c r="AB304" s="21"/>
      <c r="AC304" s="21"/>
    </row>
    <row r="305" spans="2:29" ht="14.25" customHeight="1">
      <c r="B305" s="10"/>
      <c r="C305" s="10"/>
      <c r="D305" s="10"/>
      <c r="E305" s="10"/>
      <c r="F305" s="10"/>
      <c r="G305" s="10"/>
      <c r="H305" s="10"/>
      <c r="I305" s="21"/>
      <c r="J305" s="21"/>
      <c r="K305" s="10"/>
      <c r="L305" s="21"/>
      <c r="M305" s="10"/>
      <c r="N305" s="10"/>
      <c r="O305" s="22"/>
      <c r="P305" s="10"/>
      <c r="Q305" s="10"/>
      <c r="R305" s="10"/>
      <c r="S305" s="10"/>
      <c r="T305" s="10"/>
      <c r="U305" s="11"/>
      <c r="V305" s="12"/>
      <c r="W305" s="12"/>
      <c r="X305" s="12"/>
      <c r="Y305" s="13"/>
      <c r="AB305" s="21"/>
      <c r="AC305" s="21"/>
    </row>
    <row r="306" spans="2:29" ht="14.25" customHeight="1">
      <c r="B306" s="10"/>
      <c r="C306" s="10"/>
      <c r="D306" s="10"/>
      <c r="E306" s="10"/>
      <c r="F306" s="10"/>
      <c r="G306" s="10"/>
      <c r="H306" s="10"/>
      <c r="I306" s="21"/>
      <c r="J306" s="21"/>
      <c r="K306" s="10"/>
      <c r="L306" s="21"/>
      <c r="M306" s="10"/>
      <c r="N306" s="10"/>
      <c r="O306" s="22"/>
      <c r="P306" s="10"/>
      <c r="Q306" s="10"/>
      <c r="R306" s="10"/>
      <c r="S306" s="10"/>
      <c r="T306" s="10"/>
      <c r="U306" s="11"/>
      <c r="V306" s="12"/>
      <c r="W306" s="12"/>
      <c r="X306" s="12"/>
      <c r="Y306" s="13"/>
      <c r="AB306" s="21"/>
      <c r="AC306" s="21"/>
    </row>
    <row r="307" spans="2:29" ht="14.25" customHeight="1">
      <c r="B307" s="10"/>
      <c r="C307" s="10"/>
      <c r="D307" s="10"/>
      <c r="E307" s="10"/>
      <c r="F307" s="10"/>
      <c r="G307" s="10"/>
      <c r="H307" s="10"/>
      <c r="I307" s="21"/>
      <c r="J307" s="21"/>
      <c r="K307" s="10"/>
      <c r="L307" s="21"/>
      <c r="M307" s="10"/>
      <c r="N307" s="10"/>
      <c r="O307" s="22"/>
      <c r="P307" s="10"/>
      <c r="Q307" s="10"/>
      <c r="R307" s="10"/>
      <c r="S307" s="10"/>
      <c r="T307" s="10"/>
      <c r="U307" s="11"/>
      <c r="V307" s="12"/>
      <c r="W307" s="12"/>
      <c r="X307" s="12"/>
      <c r="Y307" s="13"/>
      <c r="AB307" s="21"/>
      <c r="AC307" s="21"/>
    </row>
    <row r="308" spans="2:29" ht="14.25" customHeight="1">
      <c r="B308" s="10"/>
      <c r="C308" s="10"/>
      <c r="D308" s="10"/>
      <c r="E308" s="10"/>
      <c r="F308" s="10"/>
      <c r="G308" s="10"/>
      <c r="H308" s="10"/>
      <c r="I308" s="21"/>
      <c r="J308" s="21"/>
      <c r="K308" s="10"/>
      <c r="L308" s="21"/>
      <c r="M308" s="10"/>
      <c r="N308" s="10"/>
      <c r="O308" s="22"/>
      <c r="P308" s="10"/>
      <c r="Q308" s="10"/>
      <c r="R308" s="10"/>
      <c r="S308" s="10"/>
      <c r="T308" s="10"/>
      <c r="U308" s="11"/>
      <c r="V308" s="12"/>
      <c r="W308" s="12"/>
      <c r="X308" s="12"/>
      <c r="Y308" s="13"/>
      <c r="AB308" s="21"/>
      <c r="AC308" s="21"/>
    </row>
    <row r="309" spans="2:29" ht="14.25" customHeight="1">
      <c r="B309" s="10"/>
      <c r="C309" s="10"/>
      <c r="D309" s="10"/>
      <c r="E309" s="10"/>
      <c r="F309" s="10"/>
      <c r="G309" s="10"/>
      <c r="H309" s="10"/>
      <c r="I309" s="21"/>
      <c r="J309" s="21"/>
      <c r="K309" s="10"/>
      <c r="L309" s="21"/>
      <c r="M309" s="10"/>
      <c r="N309" s="10"/>
      <c r="O309" s="22"/>
      <c r="P309" s="10"/>
      <c r="Q309" s="10"/>
      <c r="R309" s="10"/>
      <c r="S309" s="10"/>
      <c r="T309" s="10"/>
      <c r="U309" s="11"/>
      <c r="V309" s="12"/>
      <c r="W309" s="12"/>
      <c r="X309" s="12"/>
      <c r="Y309" s="13"/>
      <c r="AB309" s="21"/>
      <c r="AC309" s="21"/>
    </row>
    <row r="310" spans="2:29" ht="14.25" customHeight="1">
      <c r="B310" s="10"/>
      <c r="C310" s="10"/>
      <c r="D310" s="10"/>
      <c r="E310" s="10"/>
      <c r="F310" s="10"/>
      <c r="G310" s="10"/>
      <c r="H310" s="10"/>
      <c r="I310" s="21"/>
      <c r="J310" s="21"/>
      <c r="K310" s="10"/>
      <c r="L310" s="21"/>
      <c r="M310" s="10"/>
      <c r="N310" s="10"/>
      <c r="O310" s="22"/>
      <c r="P310" s="10"/>
      <c r="Q310" s="10"/>
      <c r="R310" s="10"/>
      <c r="S310" s="10"/>
      <c r="T310" s="10"/>
      <c r="U310" s="11"/>
      <c r="V310" s="12"/>
      <c r="W310" s="12"/>
      <c r="X310" s="12"/>
      <c r="Y310" s="13"/>
      <c r="AB310" s="21"/>
      <c r="AC310" s="21"/>
    </row>
    <row r="311" spans="2:29" ht="14.25" customHeight="1">
      <c r="B311" s="10"/>
      <c r="C311" s="10"/>
      <c r="D311" s="10"/>
      <c r="E311" s="10"/>
      <c r="F311" s="10"/>
      <c r="G311" s="10"/>
      <c r="H311" s="10"/>
      <c r="I311" s="21"/>
      <c r="J311" s="21"/>
      <c r="K311" s="10"/>
      <c r="L311" s="21"/>
      <c r="M311" s="10"/>
      <c r="N311" s="10"/>
      <c r="O311" s="22"/>
      <c r="P311" s="10"/>
      <c r="Q311" s="10"/>
      <c r="R311" s="10"/>
      <c r="S311" s="10"/>
      <c r="T311" s="10"/>
      <c r="U311" s="11"/>
      <c r="V311" s="12"/>
      <c r="W311" s="12"/>
      <c r="X311" s="12"/>
      <c r="Y311" s="13"/>
      <c r="AB311" s="21"/>
      <c r="AC311" s="21"/>
    </row>
    <row r="312" spans="2:29" ht="14.25" customHeight="1">
      <c r="B312" s="10"/>
      <c r="C312" s="10"/>
      <c r="D312" s="10"/>
      <c r="E312" s="10"/>
      <c r="F312" s="10"/>
      <c r="G312" s="10"/>
      <c r="H312" s="10"/>
      <c r="I312" s="21"/>
      <c r="J312" s="21"/>
      <c r="K312" s="10"/>
      <c r="L312" s="21"/>
      <c r="M312" s="10"/>
      <c r="N312" s="10"/>
      <c r="O312" s="22"/>
      <c r="P312" s="10"/>
      <c r="Q312" s="10"/>
      <c r="R312" s="10"/>
      <c r="S312" s="10"/>
      <c r="T312" s="10"/>
      <c r="U312" s="11"/>
      <c r="V312" s="12"/>
      <c r="W312" s="12"/>
      <c r="X312" s="12"/>
      <c r="Y312" s="13"/>
      <c r="AB312" s="21"/>
      <c r="AC312" s="21"/>
    </row>
    <row r="313" spans="2:29" ht="14.25" customHeight="1">
      <c r="B313" s="10"/>
      <c r="C313" s="10"/>
      <c r="D313" s="10"/>
      <c r="E313" s="10"/>
      <c r="F313" s="10"/>
      <c r="G313" s="10"/>
      <c r="H313" s="10"/>
      <c r="I313" s="21"/>
      <c r="J313" s="21"/>
      <c r="K313" s="10"/>
      <c r="L313" s="21"/>
      <c r="M313" s="10"/>
      <c r="N313" s="10"/>
      <c r="O313" s="22"/>
      <c r="P313" s="10"/>
      <c r="Q313" s="10"/>
      <c r="R313" s="10"/>
      <c r="S313" s="10"/>
      <c r="T313" s="10"/>
      <c r="U313" s="11"/>
      <c r="V313" s="12"/>
      <c r="W313" s="12"/>
      <c r="X313" s="12"/>
      <c r="Y313" s="13"/>
      <c r="AB313" s="21"/>
      <c r="AC313" s="21"/>
    </row>
    <row r="314" spans="2:29" ht="14.25" customHeight="1">
      <c r="B314" s="10"/>
      <c r="C314" s="10"/>
      <c r="D314" s="10"/>
      <c r="E314" s="10"/>
      <c r="F314" s="10"/>
      <c r="G314" s="10"/>
      <c r="H314" s="10"/>
      <c r="I314" s="21"/>
      <c r="J314" s="21"/>
      <c r="K314" s="10"/>
      <c r="L314" s="21"/>
      <c r="M314" s="10"/>
      <c r="N314" s="10"/>
      <c r="O314" s="22"/>
      <c r="P314" s="10"/>
      <c r="Q314" s="10"/>
      <c r="R314" s="10"/>
      <c r="S314" s="10"/>
      <c r="T314" s="10"/>
      <c r="U314" s="11"/>
      <c r="V314" s="12"/>
      <c r="W314" s="12"/>
      <c r="X314" s="12"/>
      <c r="Y314" s="13"/>
      <c r="AB314" s="21"/>
      <c r="AC314" s="21"/>
    </row>
    <row r="315" spans="2:29" ht="14.25" customHeight="1">
      <c r="B315" s="10"/>
      <c r="C315" s="10"/>
      <c r="D315" s="10"/>
      <c r="E315" s="10"/>
      <c r="F315" s="10"/>
      <c r="G315" s="10"/>
      <c r="H315" s="10"/>
      <c r="I315" s="21"/>
      <c r="J315" s="21"/>
      <c r="K315" s="10"/>
      <c r="L315" s="21"/>
      <c r="M315" s="10"/>
      <c r="N315" s="10"/>
      <c r="O315" s="22"/>
      <c r="P315" s="10"/>
      <c r="Q315" s="10"/>
      <c r="R315" s="10"/>
      <c r="S315" s="10"/>
      <c r="T315" s="10"/>
      <c r="U315" s="11"/>
      <c r="V315" s="12"/>
      <c r="W315" s="12"/>
      <c r="X315" s="12"/>
      <c r="Y315" s="13"/>
      <c r="AB315" s="21"/>
      <c r="AC315" s="21"/>
    </row>
    <row r="316" spans="2:29" ht="14.25" customHeight="1">
      <c r="B316" s="10"/>
      <c r="C316" s="10"/>
      <c r="D316" s="10"/>
      <c r="E316" s="10"/>
      <c r="F316" s="10"/>
      <c r="G316" s="10"/>
      <c r="H316" s="10"/>
      <c r="I316" s="21"/>
      <c r="J316" s="21"/>
      <c r="K316" s="10"/>
      <c r="L316" s="21"/>
      <c r="M316" s="10"/>
      <c r="N316" s="10"/>
      <c r="O316" s="22"/>
      <c r="P316" s="10"/>
      <c r="Q316" s="10"/>
      <c r="R316" s="10"/>
      <c r="S316" s="10"/>
      <c r="T316" s="10"/>
      <c r="U316" s="11"/>
      <c r="V316" s="12"/>
      <c r="W316" s="12"/>
      <c r="X316" s="12"/>
      <c r="Y316" s="13"/>
      <c r="AB316" s="21"/>
      <c r="AC316" s="21"/>
    </row>
    <row r="317" spans="2:29" ht="14.25" customHeight="1">
      <c r="B317" s="10"/>
      <c r="C317" s="10"/>
      <c r="D317" s="10"/>
      <c r="E317" s="10"/>
      <c r="F317" s="10"/>
      <c r="G317" s="10"/>
      <c r="H317" s="10"/>
      <c r="I317" s="21"/>
      <c r="J317" s="21"/>
      <c r="K317" s="10"/>
      <c r="L317" s="21"/>
      <c r="M317" s="10"/>
      <c r="N317" s="10"/>
      <c r="O317" s="22"/>
      <c r="P317" s="10"/>
      <c r="Q317" s="10"/>
      <c r="R317" s="10"/>
      <c r="S317" s="10"/>
      <c r="T317" s="10"/>
      <c r="U317" s="11"/>
      <c r="V317" s="12"/>
      <c r="W317" s="12"/>
      <c r="X317" s="12"/>
      <c r="Y317" s="13"/>
      <c r="AB317" s="21"/>
      <c r="AC317" s="21"/>
    </row>
    <row r="318" spans="2:29" ht="14.25" customHeight="1">
      <c r="B318" s="10"/>
      <c r="C318" s="10"/>
      <c r="D318" s="10"/>
      <c r="E318" s="10"/>
      <c r="F318" s="10"/>
      <c r="G318" s="10"/>
      <c r="H318" s="10"/>
      <c r="I318" s="21"/>
      <c r="J318" s="21"/>
      <c r="K318" s="10"/>
      <c r="L318" s="21"/>
      <c r="M318" s="10"/>
      <c r="N318" s="10"/>
      <c r="O318" s="22"/>
      <c r="P318" s="10"/>
      <c r="Q318" s="10"/>
      <c r="R318" s="10"/>
      <c r="S318" s="10"/>
      <c r="T318" s="10"/>
      <c r="U318" s="11"/>
      <c r="V318" s="12"/>
      <c r="W318" s="12"/>
      <c r="X318" s="12"/>
      <c r="Y318" s="13"/>
      <c r="AB318" s="21"/>
      <c r="AC318" s="21"/>
    </row>
    <row r="319" spans="2:29" ht="14.25" customHeight="1">
      <c r="B319" s="10"/>
      <c r="C319" s="10"/>
      <c r="D319" s="10"/>
      <c r="E319" s="10"/>
      <c r="F319" s="10"/>
      <c r="G319" s="10"/>
      <c r="H319" s="10"/>
      <c r="I319" s="21"/>
      <c r="J319" s="21"/>
      <c r="K319" s="10"/>
      <c r="L319" s="21"/>
      <c r="M319" s="10"/>
      <c r="N319" s="10"/>
      <c r="O319" s="22"/>
      <c r="P319" s="10"/>
      <c r="Q319" s="10"/>
      <c r="R319" s="10"/>
      <c r="S319" s="10"/>
      <c r="T319" s="10"/>
      <c r="U319" s="11"/>
      <c r="V319" s="12"/>
      <c r="W319" s="12"/>
      <c r="X319" s="12"/>
      <c r="Y319" s="13"/>
      <c r="AB319" s="21"/>
      <c r="AC319" s="21"/>
    </row>
    <row r="320" spans="2:29" ht="14.25" customHeight="1">
      <c r="B320" s="10"/>
      <c r="C320" s="10"/>
      <c r="D320" s="10"/>
      <c r="E320" s="10"/>
      <c r="F320" s="10"/>
      <c r="G320" s="10"/>
      <c r="H320" s="10"/>
      <c r="I320" s="21"/>
      <c r="J320" s="21"/>
      <c r="K320" s="10"/>
      <c r="L320" s="21"/>
      <c r="M320" s="10"/>
      <c r="N320" s="10"/>
      <c r="O320" s="22"/>
      <c r="P320" s="10"/>
      <c r="Q320" s="10"/>
      <c r="R320" s="10"/>
      <c r="S320" s="10"/>
      <c r="T320" s="10"/>
      <c r="U320" s="11"/>
      <c r="V320" s="12"/>
      <c r="W320" s="12"/>
      <c r="X320" s="12"/>
      <c r="Y320" s="13"/>
      <c r="AB320" s="21"/>
      <c r="AC320" s="21"/>
    </row>
    <row r="321" spans="2:29" ht="14.25" customHeight="1">
      <c r="B321" s="10"/>
      <c r="C321" s="10"/>
      <c r="D321" s="10"/>
      <c r="E321" s="10"/>
      <c r="F321" s="10"/>
      <c r="G321" s="10"/>
      <c r="H321" s="10"/>
      <c r="I321" s="21"/>
      <c r="J321" s="21"/>
      <c r="K321" s="10"/>
      <c r="L321" s="21"/>
      <c r="M321" s="10"/>
      <c r="N321" s="10"/>
      <c r="O321" s="22"/>
      <c r="P321" s="10"/>
      <c r="Q321" s="10"/>
      <c r="R321" s="10"/>
      <c r="S321" s="10"/>
      <c r="T321" s="10"/>
      <c r="U321" s="11"/>
      <c r="V321" s="23"/>
      <c r="W321" s="23"/>
      <c r="X321" s="23"/>
      <c r="Y321" s="13"/>
      <c r="AB321" s="21"/>
      <c r="AC321" s="21"/>
    </row>
    <row r="322" spans="2:29" ht="14.25" customHeight="1">
      <c r="B322" s="10"/>
      <c r="C322" s="10"/>
      <c r="D322" s="10"/>
      <c r="E322" s="10"/>
      <c r="F322" s="10"/>
      <c r="G322" s="10"/>
      <c r="H322" s="10"/>
      <c r="I322" s="21"/>
      <c r="J322" s="21"/>
      <c r="K322" s="10"/>
      <c r="L322" s="21"/>
      <c r="M322" s="10"/>
      <c r="N322" s="10"/>
      <c r="O322" s="22"/>
      <c r="P322" s="10"/>
      <c r="Q322" s="10"/>
      <c r="R322" s="10"/>
      <c r="S322" s="10"/>
      <c r="T322" s="10"/>
      <c r="U322" s="11"/>
      <c r="V322" s="23"/>
      <c r="W322" s="23"/>
      <c r="X322" s="23"/>
      <c r="Y322" s="13"/>
      <c r="AB322" s="21"/>
      <c r="AC322" s="21"/>
    </row>
    <row r="323" spans="2:29" ht="14.25" customHeight="1">
      <c r="B323" s="10"/>
      <c r="C323" s="10"/>
      <c r="D323" s="10"/>
      <c r="E323" s="10"/>
      <c r="F323" s="10"/>
      <c r="G323" s="10"/>
      <c r="H323" s="10"/>
      <c r="I323" s="21"/>
      <c r="J323" s="21"/>
      <c r="K323" s="10"/>
      <c r="L323" s="21"/>
      <c r="M323" s="10"/>
      <c r="N323" s="10"/>
      <c r="O323" s="22"/>
      <c r="P323" s="10"/>
      <c r="Q323" s="10"/>
      <c r="R323" s="10"/>
      <c r="S323" s="10"/>
      <c r="T323" s="10"/>
      <c r="U323" s="11"/>
      <c r="V323" s="23"/>
      <c r="W323" s="23"/>
      <c r="X323" s="23"/>
      <c r="Y323" s="13"/>
      <c r="AB323" s="21"/>
      <c r="AC323" s="21"/>
    </row>
    <row r="324" spans="2:29" ht="14.25" customHeight="1">
      <c r="B324" s="10"/>
      <c r="C324" s="10"/>
      <c r="D324" s="10"/>
      <c r="E324" s="10"/>
      <c r="F324" s="10"/>
      <c r="G324" s="10"/>
      <c r="H324" s="10"/>
      <c r="I324" s="21"/>
      <c r="J324" s="21"/>
      <c r="K324" s="10"/>
      <c r="L324" s="21"/>
      <c r="M324" s="10"/>
      <c r="N324" s="10"/>
      <c r="O324" s="22"/>
      <c r="P324" s="10"/>
      <c r="Q324" s="10"/>
      <c r="R324" s="10"/>
      <c r="S324" s="10"/>
      <c r="T324" s="10"/>
      <c r="U324" s="11"/>
      <c r="V324" s="23"/>
      <c r="W324" s="23"/>
      <c r="X324" s="23"/>
      <c r="Y324" s="13"/>
      <c r="AB324" s="21"/>
      <c r="AC324" s="21"/>
    </row>
    <row r="325" spans="2:29" ht="14.25" customHeight="1">
      <c r="B325" s="10"/>
      <c r="C325" s="10"/>
      <c r="D325" s="10"/>
      <c r="E325" s="10"/>
      <c r="F325" s="10"/>
      <c r="G325" s="10"/>
      <c r="H325" s="10"/>
      <c r="I325" s="21"/>
      <c r="J325" s="21"/>
      <c r="K325" s="10"/>
      <c r="L325" s="21"/>
      <c r="M325" s="10"/>
      <c r="N325" s="10"/>
      <c r="O325" s="22"/>
      <c r="P325" s="10"/>
      <c r="Q325" s="10"/>
      <c r="R325" s="10"/>
      <c r="S325" s="10"/>
      <c r="T325" s="10"/>
      <c r="U325" s="11"/>
      <c r="V325" s="23"/>
      <c r="W325" s="23"/>
      <c r="X325" s="23"/>
      <c r="Y325" s="13"/>
      <c r="AB325" s="21"/>
      <c r="AC325" s="21"/>
    </row>
    <row r="326" spans="2:29" ht="14.25" customHeight="1">
      <c r="B326" s="10"/>
      <c r="C326" s="10"/>
      <c r="D326" s="10"/>
      <c r="E326" s="10"/>
      <c r="F326" s="10"/>
      <c r="G326" s="10"/>
      <c r="H326" s="10"/>
      <c r="I326" s="21"/>
      <c r="J326" s="21"/>
      <c r="K326" s="10"/>
      <c r="L326" s="21"/>
      <c r="M326" s="10"/>
      <c r="N326" s="10"/>
      <c r="O326" s="22"/>
      <c r="P326" s="10"/>
      <c r="Q326" s="10"/>
      <c r="R326" s="10"/>
      <c r="S326" s="10"/>
      <c r="T326" s="10"/>
      <c r="U326" s="11"/>
      <c r="V326" s="23"/>
      <c r="W326" s="23"/>
      <c r="X326" s="23"/>
      <c r="Y326" s="13"/>
      <c r="AB326" s="21"/>
      <c r="AC326" s="21"/>
    </row>
    <row r="327" spans="2:29" ht="14.25" customHeight="1">
      <c r="B327" s="10"/>
      <c r="C327" s="10"/>
      <c r="D327" s="10"/>
      <c r="E327" s="10"/>
      <c r="F327" s="10"/>
      <c r="G327" s="10"/>
      <c r="H327" s="10"/>
      <c r="I327" s="21"/>
      <c r="J327" s="21"/>
      <c r="K327" s="10"/>
      <c r="L327" s="21"/>
      <c r="M327" s="10"/>
      <c r="N327" s="10"/>
      <c r="O327" s="22"/>
      <c r="P327" s="10"/>
      <c r="Q327" s="10"/>
      <c r="R327" s="10"/>
      <c r="S327" s="10"/>
      <c r="T327" s="10"/>
      <c r="U327" s="11"/>
      <c r="V327" s="23"/>
      <c r="W327" s="23"/>
      <c r="X327" s="23"/>
      <c r="Y327" s="13"/>
      <c r="AB327" s="21"/>
      <c r="AC327" s="21"/>
    </row>
    <row r="328" spans="2:29" ht="14.25" customHeight="1">
      <c r="B328" s="10"/>
      <c r="C328" s="10"/>
      <c r="D328" s="10"/>
      <c r="E328" s="10"/>
      <c r="F328" s="10"/>
      <c r="G328" s="10"/>
      <c r="H328" s="10"/>
      <c r="I328" s="21"/>
      <c r="J328" s="21"/>
      <c r="K328" s="10"/>
      <c r="L328" s="21"/>
      <c r="M328" s="10"/>
      <c r="N328" s="10"/>
      <c r="O328" s="22"/>
      <c r="P328" s="10"/>
      <c r="Q328" s="10"/>
      <c r="R328" s="10"/>
      <c r="S328" s="10"/>
      <c r="T328" s="10"/>
      <c r="U328" s="11"/>
      <c r="V328" s="23"/>
      <c r="W328" s="23"/>
      <c r="X328" s="23"/>
      <c r="Y328" s="13"/>
      <c r="AB328" s="21"/>
      <c r="AC328" s="21"/>
    </row>
    <row r="329" spans="2:29" ht="14.25" customHeight="1">
      <c r="B329" s="10"/>
      <c r="C329" s="10"/>
      <c r="D329" s="10"/>
      <c r="E329" s="10"/>
      <c r="F329" s="10"/>
      <c r="G329" s="10"/>
      <c r="H329" s="10"/>
      <c r="I329" s="21"/>
      <c r="J329" s="21"/>
      <c r="K329" s="10"/>
      <c r="L329" s="21"/>
      <c r="M329" s="10"/>
      <c r="N329" s="10"/>
      <c r="O329" s="22"/>
      <c r="P329" s="10"/>
      <c r="Q329" s="10"/>
      <c r="R329" s="10"/>
      <c r="S329" s="10"/>
      <c r="T329" s="10"/>
      <c r="U329" s="11"/>
      <c r="V329" s="23"/>
      <c r="W329" s="23"/>
      <c r="X329" s="23"/>
      <c r="Y329" s="13"/>
      <c r="AB329" s="21"/>
      <c r="AC329" s="21"/>
    </row>
    <row r="330" spans="2:29" ht="14.25" customHeight="1">
      <c r="B330" s="10"/>
      <c r="C330" s="10"/>
      <c r="D330" s="10"/>
      <c r="E330" s="10"/>
      <c r="F330" s="10"/>
      <c r="G330" s="10"/>
      <c r="H330" s="10"/>
      <c r="I330" s="21"/>
      <c r="J330" s="21"/>
      <c r="K330" s="10"/>
      <c r="L330" s="21"/>
      <c r="M330" s="10"/>
      <c r="N330" s="10"/>
      <c r="O330" s="22"/>
      <c r="P330" s="10"/>
      <c r="Q330" s="10"/>
      <c r="R330" s="10"/>
      <c r="S330" s="10"/>
      <c r="T330" s="10"/>
      <c r="U330" s="11"/>
      <c r="V330" s="23"/>
      <c r="W330" s="23"/>
      <c r="X330" s="23"/>
      <c r="Y330" s="13"/>
      <c r="AB330" s="21"/>
      <c r="AC330" s="21"/>
    </row>
    <row r="331" spans="2:29" ht="14.25" customHeight="1">
      <c r="B331" s="10"/>
      <c r="C331" s="10"/>
      <c r="D331" s="10"/>
      <c r="E331" s="10"/>
      <c r="F331" s="10"/>
      <c r="G331" s="10"/>
      <c r="H331" s="10"/>
      <c r="I331" s="21"/>
      <c r="J331" s="21"/>
      <c r="K331" s="10"/>
      <c r="L331" s="21"/>
      <c r="M331" s="10"/>
      <c r="N331" s="10"/>
      <c r="O331" s="22"/>
      <c r="P331" s="10"/>
      <c r="Q331" s="10"/>
      <c r="R331" s="10"/>
      <c r="S331" s="10"/>
      <c r="T331" s="10"/>
      <c r="U331" s="11"/>
      <c r="V331" s="23"/>
      <c r="W331" s="23"/>
      <c r="X331" s="23"/>
      <c r="Y331" s="13"/>
      <c r="AB331" s="21"/>
      <c r="AC331" s="21"/>
    </row>
    <row r="332" spans="2:29" ht="14.25" customHeight="1">
      <c r="B332" s="10"/>
      <c r="C332" s="10"/>
      <c r="D332" s="10"/>
      <c r="E332" s="10"/>
      <c r="F332" s="10"/>
      <c r="G332" s="10"/>
      <c r="H332" s="10"/>
      <c r="I332" s="21"/>
      <c r="J332" s="21"/>
      <c r="K332" s="10"/>
      <c r="L332" s="21"/>
      <c r="M332" s="10"/>
      <c r="N332" s="10"/>
      <c r="O332" s="22"/>
      <c r="P332" s="10"/>
      <c r="Q332" s="10"/>
      <c r="R332" s="10"/>
      <c r="S332" s="10"/>
      <c r="T332" s="10"/>
      <c r="U332" s="11"/>
      <c r="V332" s="23"/>
      <c r="W332" s="23"/>
      <c r="X332" s="23"/>
      <c r="Y332" s="13"/>
      <c r="AB332" s="21"/>
      <c r="AC332" s="21"/>
    </row>
    <row r="333" spans="2:29" ht="14.25" customHeight="1">
      <c r="B333" s="10"/>
      <c r="C333" s="10"/>
      <c r="D333" s="10"/>
      <c r="E333" s="10"/>
      <c r="F333" s="10"/>
      <c r="G333" s="10"/>
      <c r="H333" s="10"/>
      <c r="I333" s="21"/>
      <c r="J333" s="21"/>
      <c r="K333" s="10"/>
      <c r="L333" s="21"/>
      <c r="M333" s="10"/>
      <c r="N333" s="10"/>
      <c r="O333" s="22"/>
      <c r="P333" s="10"/>
      <c r="Q333" s="10"/>
      <c r="R333" s="10"/>
      <c r="S333" s="10"/>
      <c r="T333" s="10"/>
      <c r="U333" s="11"/>
      <c r="V333" s="23"/>
      <c r="W333" s="23"/>
      <c r="X333" s="23"/>
      <c r="Y333" s="13"/>
      <c r="AB333" s="21"/>
      <c r="AC333" s="21"/>
    </row>
    <row r="334" spans="2:29" ht="14.25" customHeight="1">
      <c r="B334" s="10"/>
      <c r="C334" s="10"/>
      <c r="D334" s="10"/>
      <c r="E334" s="10"/>
      <c r="F334" s="10"/>
      <c r="G334" s="10"/>
      <c r="H334" s="10"/>
      <c r="I334" s="21"/>
      <c r="J334" s="21"/>
      <c r="K334" s="10"/>
      <c r="L334" s="21"/>
      <c r="M334" s="10"/>
      <c r="N334" s="10"/>
      <c r="O334" s="22"/>
      <c r="P334" s="10"/>
      <c r="Q334" s="10"/>
      <c r="R334" s="10"/>
      <c r="S334" s="10"/>
      <c r="T334" s="10"/>
      <c r="U334" s="11"/>
      <c r="V334" s="23"/>
      <c r="W334" s="23"/>
      <c r="X334" s="23"/>
      <c r="Y334" s="13"/>
      <c r="AB334" s="21"/>
      <c r="AC334" s="21"/>
    </row>
    <row r="335" spans="2:29" ht="14.25" customHeight="1">
      <c r="B335" s="10"/>
      <c r="C335" s="10"/>
      <c r="D335" s="10"/>
      <c r="E335" s="10"/>
      <c r="F335" s="10"/>
      <c r="G335" s="10"/>
      <c r="H335" s="10"/>
      <c r="I335" s="21"/>
      <c r="J335" s="21"/>
      <c r="K335" s="10"/>
      <c r="L335" s="21"/>
      <c r="M335" s="10"/>
      <c r="N335" s="10"/>
      <c r="O335" s="22"/>
      <c r="P335" s="10"/>
      <c r="Q335" s="10"/>
      <c r="R335" s="10"/>
      <c r="S335" s="10"/>
      <c r="T335" s="10"/>
      <c r="U335" s="11"/>
      <c r="V335" s="23"/>
      <c r="W335" s="23"/>
      <c r="X335" s="23"/>
      <c r="Y335" s="13"/>
      <c r="AB335" s="21"/>
      <c r="AC335" s="21"/>
    </row>
    <row r="336" spans="2:29" ht="14.25" customHeight="1">
      <c r="B336" s="10"/>
      <c r="C336" s="10"/>
      <c r="D336" s="10"/>
      <c r="E336" s="10"/>
      <c r="F336" s="10"/>
      <c r="G336" s="10"/>
      <c r="H336" s="10"/>
      <c r="I336" s="21"/>
      <c r="J336" s="21"/>
      <c r="K336" s="10"/>
      <c r="L336" s="21"/>
      <c r="M336" s="10"/>
      <c r="N336" s="10"/>
      <c r="O336" s="22"/>
      <c r="P336" s="10"/>
      <c r="Q336" s="10"/>
      <c r="R336" s="10"/>
      <c r="S336" s="10"/>
      <c r="T336" s="10"/>
      <c r="U336" s="11"/>
      <c r="V336" s="23"/>
      <c r="W336" s="23"/>
      <c r="X336" s="23"/>
      <c r="Y336" s="13"/>
      <c r="AB336" s="21"/>
      <c r="AC336" s="21"/>
    </row>
    <row r="337" spans="2:29" ht="14.25" customHeight="1">
      <c r="B337" s="10"/>
      <c r="C337" s="10"/>
      <c r="D337" s="10"/>
      <c r="E337" s="10"/>
      <c r="F337" s="10"/>
      <c r="G337" s="10"/>
      <c r="H337" s="10"/>
      <c r="I337" s="21"/>
      <c r="J337" s="21"/>
      <c r="K337" s="10"/>
      <c r="L337" s="21"/>
      <c r="M337" s="10"/>
      <c r="N337" s="10"/>
      <c r="O337" s="22"/>
      <c r="P337" s="10"/>
      <c r="Q337" s="10"/>
      <c r="R337" s="10"/>
      <c r="S337" s="10"/>
      <c r="T337" s="10"/>
      <c r="U337" s="11"/>
      <c r="V337" s="23"/>
      <c r="W337" s="23"/>
      <c r="X337" s="23"/>
      <c r="Y337" s="13"/>
      <c r="AB337" s="21"/>
      <c r="AC337" s="21"/>
    </row>
    <row r="338" spans="2:29" ht="14.25" customHeight="1">
      <c r="B338" s="10"/>
      <c r="C338" s="10"/>
      <c r="D338" s="10"/>
      <c r="E338" s="10"/>
      <c r="F338" s="10"/>
      <c r="G338" s="10"/>
      <c r="H338" s="10"/>
      <c r="I338" s="21"/>
      <c r="J338" s="21"/>
      <c r="K338" s="10"/>
      <c r="L338" s="21"/>
      <c r="M338" s="10"/>
      <c r="N338" s="10"/>
      <c r="O338" s="22"/>
      <c r="P338" s="10"/>
      <c r="Q338" s="10"/>
      <c r="R338" s="10"/>
      <c r="S338" s="10"/>
      <c r="T338" s="10"/>
      <c r="U338" s="11"/>
      <c r="V338" s="23"/>
      <c r="W338" s="23"/>
      <c r="X338" s="23"/>
      <c r="Y338" s="13"/>
      <c r="AB338" s="21"/>
      <c r="AC338" s="21"/>
    </row>
    <row r="339" spans="2:29" ht="14.25" customHeight="1">
      <c r="B339" s="10"/>
      <c r="C339" s="10"/>
      <c r="D339" s="10"/>
      <c r="E339" s="10"/>
      <c r="F339" s="10"/>
      <c r="G339" s="10"/>
      <c r="H339" s="10"/>
      <c r="I339" s="21"/>
      <c r="J339" s="21"/>
      <c r="K339" s="10"/>
      <c r="L339" s="21"/>
      <c r="M339" s="10"/>
      <c r="N339" s="10"/>
      <c r="O339" s="22"/>
      <c r="P339" s="10"/>
      <c r="Q339" s="10"/>
      <c r="R339" s="10"/>
      <c r="S339" s="10"/>
      <c r="T339" s="10"/>
      <c r="U339" s="11"/>
      <c r="V339" s="23"/>
      <c r="W339" s="23"/>
      <c r="X339" s="23"/>
      <c r="Y339" s="13"/>
      <c r="AB339" s="21"/>
      <c r="AC339" s="21"/>
    </row>
    <row r="340" spans="2:29" ht="14.25" customHeight="1">
      <c r="B340" s="10"/>
      <c r="C340" s="10"/>
      <c r="D340" s="10"/>
      <c r="E340" s="10"/>
      <c r="F340" s="10"/>
      <c r="G340" s="10"/>
      <c r="H340" s="10"/>
      <c r="I340" s="21"/>
      <c r="J340" s="21"/>
      <c r="K340" s="10"/>
      <c r="L340" s="21"/>
      <c r="M340" s="10"/>
      <c r="N340" s="10"/>
      <c r="O340" s="22"/>
      <c r="P340" s="10"/>
      <c r="Q340" s="10"/>
      <c r="R340" s="10"/>
      <c r="S340" s="10"/>
      <c r="T340" s="10"/>
      <c r="U340" s="11"/>
      <c r="V340" s="23"/>
      <c r="W340" s="23"/>
      <c r="X340" s="23"/>
      <c r="Y340" s="13"/>
      <c r="AB340" s="21"/>
      <c r="AC340" s="21"/>
    </row>
    <row r="341" spans="2:29" ht="14.25" customHeight="1">
      <c r="B341" s="10"/>
      <c r="C341" s="10"/>
      <c r="D341" s="10"/>
      <c r="E341" s="10"/>
      <c r="F341" s="10"/>
      <c r="G341" s="10"/>
      <c r="H341" s="10"/>
      <c r="I341" s="21"/>
      <c r="J341" s="21"/>
      <c r="K341" s="10"/>
      <c r="L341" s="21"/>
      <c r="M341" s="10"/>
      <c r="N341" s="10"/>
      <c r="O341" s="22"/>
      <c r="P341" s="10"/>
      <c r="Q341" s="10"/>
      <c r="R341" s="10"/>
      <c r="S341" s="10"/>
      <c r="T341" s="10"/>
      <c r="U341" s="11"/>
      <c r="V341" s="23"/>
      <c r="W341" s="23"/>
      <c r="X341" s="23"/>
      <c r="Y341" s="13"/>
      <c r="AB341" s="21"/>
      <c r="AC341" s="21"/>
    </row>
    <row r="342" spans="2:29" ht="14.25" customHeight="1">
      <c r="B342" s="10"/>
      <c r="C342" s="10"/>
      <c r="D342" s="10"/>
      <c r="E342" s="10"/>
      <c r="F342" s="10"/>
      <c r="G342" s="10"/>
      <c r="H342" s="10"/>
      <c r="I342" s="21"/>
      <c r="J342" s="21"/>
      <c r="K342" s="10"/>
      <c r="L342" s="21"/>
      <c r="M342" s="10"/>
      <c r="N342" s="10"/>
      <c r="O342" s="22"/>
      <c r="P342" s="10"/>
      <c r="Q342" s="10"/>
      <c r="R342" s="10"/>
      <c r="S342" s="10"/>
      <c r="T342" s="10"/>
      <c r="U342" s="11"/>
      <c r="V342" s="23"/>
      <c r="W342" s="23"/>
      <c r="X342" s="23"/>
      <c r="Y342" s="13"/>
      <c r="AB342" s="21"/>
      <c r="AC342" s="21"/>
    </row>
    <row r="343" spans="2:29" ht="14.25" customHeight="1">
      <c r="B343" s="10"/>
      <c r="C343" s="10"/>
      <c r="D343" s="10"/>
      <c r="E343" s="10"/>
      <c r="F343" s="10"/>
      <c r="G343" s="10"/>
      <c r="H343" s="10"/>
      <c r="I343" s="21"/>
      <c r="J343" s="21"/>
      <c r="K343" s="10"/>
      <c r="L343" s="21"/>
      <c r="M343" s="10"/>
      <c r="N343" s="10"/>
      <c r="O343" s="22"/>
      <c r="P343" s="10"/>
      <c r="Q343" s="10"/>
      <c r="R343" s="10"/>
      <c r="S343" s="10"/>
      <c r="T343" s="10"/>
      <c r="U343" s="11"/>
      <c r="V343" s="23"/>
      <c r="W343" s="23"/>
      <c r="X343" s="23"/>
      <c r="Y343" s="13"/>
      <c r="AB343" s="21"/>
      <c r="AC343" s="21"/>
    </row>
    <row r="344" spans="2:29" ht="14.25" customHeight="1">
      <c r="B344" s="10"/>
      <c r="C344" s="10"/>
      <c r="D344" s="10"/>
      <c r="E344" s="10"/>
      <c r="F344" s="10"/>
      <c r="G344" s="10"/>
      <c r="H344" s="10"/>
      <c r="I344" s="21"/>
      <c r="J344" s="21"/>
      <c r="K344" s="10"/>
      <c r="L344" s="21"/>
      <c r="M344" s="10"/>
      <c r="N344" s="10"/>
      <c r="O344" s="22"/>
      <c r="P344" s="10"/>
      <c r="Q344" s="10"/>
      <c r="R344" s="10"/>
      <c r="S344" s="10"/>
      <c r="T344" s="10"/>
      <c r="U344" s="11"/>
      <c r="V344" s="23"/>
      <c r="W344" s="23"/>
      <c r="X344" s="23"/>
      <c r="Y344" s="13"/>
      <c r="AB344" s="21"/>
      <c r="AC344" s="21"/>
    </row>
    <row r="345" spans="2:29" ht="14.25" customHeight="1">
      <c r="B345" s="10"/>
      <c r="C345" s="10"/>
      <c r="D345" s="10"/>
      <c r="E345" s="10"/>
      <c r="F345" s="10"/>
      <c r="G345" s="10"/>
      <c r="H345" s="10"/>
      <c r="I345" s="21"/>
      <c r="J345" s="21"/>
      <c r="K345" s="10"/>
      <c r="L345" s="21"/>
      <c r="M345" s="10"/>
      <c r="N345" s="10"/>
      <c r="O345" s="22"/>
      <c r="P345" s="10"/>
      <c r="Q345" s="10"/>
      <c r="R345" s="10"/>
      <c r="S345" s="10"/>
      <c r="T345" s="10"/>
      <c r="U345" s="11"/>
      <c r="V345" s="23"/>
      <c r="W345" s="23"/>
      <c r="X345" s="23"/>
      <c r="Y345" s="13"/>
      <c r="AB345" s="21"/>
      <c r="AC345" s="21"/>
    </row>
    <row r="346" spans="2:29" ht="14.25" customHeight="1">
      <c r="B346" s="10"/>
      <c r="C346" s="10"/>
      <c r="D346" s="10"/>
      <c r="E346" s="10"/>
      <c r="F346" s="10"/>
      <c r="G346" s="10"/>
      <c r="H346" s="10"/>
      <c r="I346" s="21"/>
      <c r="J346" s="21"/>
      <c r="K346" s="10"/>
      <c r="L346" s="21"/>
      <c r="M346" s="10"/>
      <c r="N346" s="10"/>
      <c r="O346" s="22"/>
      <c r="P346" s="10"/>
      <c r="Q346" s="10"/>
      <c r="R346" s="10"/>
      <c r="S346" s="10"/>
      <c r="T346" s="10"/>
      <c r="U346" s="11"/>
      <c r="V346" s="23"/>
      <c r="W346" s="23"/>
      <c r="X346" s="23"/>
      <c r="Y346" s="13"/>
      <c r="AB346" s="21"/>
      <c r="AC346" s="21"/>
    </row>
    <row r="347" spans="2:29" ht="14.25" customHeight="1">
      <c r="B347" s="10"/>
      <c r="C347" s="10"/>
      <c r="D347" s="10"/>
      <c r="E347" s="10"/>
      <c r="F347" s="10"/>
      <c r="G347" s="10"/>
      <c r="H347" s="10"/>
      <c r="I347" s="21"/>
      <c r="J347" s="21"/>
      <c r="K347" s="10"/>
      <c r="L347" s="21"/>
      <c r="M347" s="10"/>
      <c r="N347" s="10"/>
      <c r="O347" s="22"/>
      <c r="P347" s="10"/>
      <c r="Q347" s="10"/>
      <c r="R347" s="10"/>
      <c r="S347" s="10"/>
      <c r="T347" s="10"/>
      <c r="U347" s="11"/>
      <c r="V347" s="23"/>
      <c r="W347" s="23"/>
      <c r="X347" s="23"/>
      <c r="Y347" s="13"/>
      <c r="AB347" s="21"/>
      <c r="AC347" s="21"/>
    </row>
    <row r="348" spans="2:29" ht="14.25" customHeight="1">
      <c r="B348" s="10"/>
      <c r="C348" s="10"/>
      <c r="D348" s="10"/>
      <c r="E348" s="10"/>
      <c r="F348" s="10"/>
      <c r="G348" s="10"/>
      <c r="H348" s="10"/>
      <c r="I348" s="21"/>
      <c r="J348" s="21"/>
      <c r="K348" s="10"/>
      <c r="L348" s="21"/>
      <c r="M348" s="10"/>
      <c r="N348" s="10"/>
      <c r="O348" s="22"/>
      <c r="P348" s="10"/>
      <c r="Q348" s="10"/>
      <c r="R348" s="10"/>
      <c r="S348" s="10"/>
      <c r="T348" s="10"/>
      <c r="U348" s="11"/>
      <c r="V348" s="23"/>
      <c r="W348" s="23"/>
      <c r="X348" s="23"/>
      <c r="Y348" s="13"/>
      <c r="AB348" s="21"/>
      <c r="AC348" s="21"/>
    </row>
    <row r="349" spans="2:29" ht="14.25" customHeight="1">
      <c r="B349" s="10"/>
      <c r="C349" s="10"/>
      <c r="D349" s="10"/>
      <c r="E349" s="10"/>
      <c r="F349" s="10"/>
      <c r="G349" s="10"/>
      <c r="H349" s="10"/>
      <c r="I349" s="21"/>
      <c r="J349" s="21"/>
      <c r="K349" s="10"/>
      <c r="L349" s="21"/>
      <c r="M349" s="10"/>
      <c r="N349" s="10"/>
      <c r="O349" s="22"/>
      <c r="P349" s="10"/>
      <c r="Q349" s="10"/>
      <c r="R349" s="10"/>
      <c r="S349" s="10"/>
      <c r="T349" s="10"/>
      <c r="U349" s="11"/>
      <c r="V349" s="23"/>
      <c r="W349" s="23"/>
      <c r="X349" s="23"/>
      <c r="Y349" s="13"/>
      <c r="AB349" s="21"/>
      <c r="AC349" s="21"/>
    </row>
    <row r="350" spans="2:29" ht="14.25" customHeight="1">
      <c r="B350" s="10"/>
      <c r="C350" s="10"/>
      <c r="D350" s="10"/>
      <c r="E350" s="10"/>
      <c r="F350" s="10"/>
      <c r="G350" s="10"/>
      <c r="H350" s="10"/>
      <c r="I350" s="21"/>
      <c r="J350" s="21"/>
      <c r="K350" s="10"/>
      <c r="L350" s="21"/>
      <c r="M350" s="10"/>
      <c r="N350" s="10"/>
      <c r="O350" s="22"/>
      <c r="P350" s="10"/>
      <c r="Q350" s="10"/>
      <c r="R350" s="10"/>
      <c r="S350" s="10"/>
      <c r="T350" s="10"/>
      <c r="U350" s="11"/>
      <c r="V350" s="23"/>
      <c r="W350" s="23"/>
      <c r="X350" s="23"/>
      <c r="Y350" s="13"/>
      <c r="AB350" s="21"/>
      <c r="AC350" s="21"/>
    </row>
    <row r="351" spans="2:29" ht="14.25" customHeight="1">
      <c r="B351" s="10"/>
      <c r="C351" s="10"/>
      <c r="D351" s="10"/>
      <c r="E351" s="10"/>
      <c r="F351" s="10"/>
      <c r="G351" s="10"/>
      <c r="H351" s="10"/>
      <c r="I351" s="21"/>
      <c r="J351" s="21"/>
      <c r="K351" s="10"/>
      <c r="L351" s="21"/>
      <c r="M351" s="10"/>
      <c r="N351" s="10"/>
      <c r="O351" s="22"/>
      <c r="P351" s="10"/>
      <c r="Q351" s="10"/>
      <c r="R351" s="10"/>
      <c r="S351" s="10"/>
      <c r="T351" s="10"/>
      <c r="U351" s="11"/>
      <c r="V351" s="23"/>
      <c r="W351" s="23"/>
      <c r="X351" s="23"/>
      <c r="Y351" s="13"/>
      <c r="AB351" s="21"/>
      <c r="AC351" s="21"/>
    </row>
    <row r="352" spans="2:29" ht="14.25" customHeight="1">
      <c r="B352" s="10"/>
      <c r="C352" s="10"/>
      <c r="D352" s="10"/>
      <c r="E352" s="10"/>
      <c r="F352" s="10"/>
      <c r="G352" s="10"/>
      <c r="H352" s="10"/>
      <c r="I352" s="21"/>
      <c r="J352" s="21"/>
      <c r="K352" s="10"/>
      <c r="L352" s="21"/>
      <c r="M352" s="10"/>
      <c r="N352" s="10"/>
      <c r="O352" s="22"/>
      <c r="P352" s="10"/>
      <c r="Q352" s="10"/>
      <c r="R352" s="10"/>
      <c r="S352" s="10"/>
      <c r="T352" s="10"/>
      <c r="U352" s="11"/>
      <c r="V352" s="23"/>
      <c r="W352" s="23"/>
      <c r="X352" s="23"/>
      <c r="Y352" s="13"/>
      <c r="AB352" s="21"/>
      <c r="AC352" s="21"/>
    </row>
    <row r="353" spans="2:29" ht="14.25" customHeight="1">
      <c r="B353" s="10"/>
      <c r="C353" s="10"/>
      <c r="D353" s="10"/>
      <c r="E353" s="10"/>
      <c r="F353" s="10"/>
      <c r="G353" s="10"/>
      <c r="H353" s="10"/>
      <c r="I353" s="21"/>
      <c r="J353" s="21"/>
      <c r="K353" s="10"/>
      <c r="L353" s="21"/>
      <c r="M353" s="10"/>
      <c r="N353" s="10"/>
      <c r="O353" s="22"/>
      <c r="P353" s="10"/>
      <c r="Q353" s="10"/>
      <c r="R353" s="10"/>
      <c r="S353" s="10"/>
      <c r="T353" s="10"/>
      <c r="U353" s="11"/>
      <c r="V353" s="23"/>
      <c r="W353" s="23"/>
      <c r="X353" s="23"/>
      <c r="Y353" s="13"/>
      <c r="AB353" s="21"/>
      <c r="AC353" s="21"/>
    </row>
    <row r="354" spans="2:29" ht="14.25" customHeight="1">
      <c r="B354" s="10"/>
      <c r="C354" s="10"/>
      <c r="D354" s="10"/>
      <c r="E354" s="10"/>
      <c r="F354" s="10"/>
      <c r="G354" s="10"/>
      <c r="H354" s="10"/>
      <c r="I354" s="21"/>
      <c r="J354" s="21"/>
      <c r="K354" s="10"/>
      <c r="L354" s="21"/>
      <c r="M354" s="10"/>
      <c r="N354" s="10"/>
      <c r="O354" s="22"/>
      <c r="P354" s="10"/>
      <c r="Q354" s="10"/>
      <c r="R354" s="10"/>
      <c r="S354" s="10"/>
      <c r="T354" s="10"/>
      <c r="U354" s="11"/>
      <c r="V354" s="23"/>
      <c r="W354" s="23"/>
      <c r="X354" s="23"/>
      <c r="Y354" s="13"/>
      <c r="AB354" s="21"/>
      <c r="AC354" s="21"/>
    </row>
    <row r="355" spans="2:29" ht="14.25" customHeight="1">
      <c r="B355" s="10"/>
      <c r="C355" s="10"/>
      <c r="D355" s="10"/>
      <c r="E355" s="10"/>
      <c r="F355" s="10"/>
      <c r="G355" s="10"/>
      <c r="H355" s="10"/>
      <c r="I355" s="21"/>
      <c r="J355" s="21"/>
      <c r="K355" s="10"/>
      <c r="L355" s="21"/>
      <c r="M355" s="10"/>
      <c r="N355" s="10"/>
      <c r="O355" s="22"/>
      <c r="P355" s="10"/>
      <c r="Q355" s="10"/>
      <c r="R355" s="10"/>
      <c r="S355" s="10"/>
      <c r="T355" s="10"/>
      <c r="U355" s="11"/>
      <c r="V355" s="23"/>
      <c r="W355" s="23"/>
      <c r="X355" s="23"/>
      <c r="Y355" s="13"/>
      <c r="AB355" s="21"/>
      <c r="AC355" s="21"/>
    </row>
    <row r="356" spans="2:29" ht="14.25" customHeight="1">
      <c r="B356" s="10"/>
      <c r="C356" s="10"/>
      <c r="D356" s="10"/>
      <c r="E356" s="10"/>
      <c r="F356" s="10"/>
      <c r="G356" s="10"/>
      <c r="H356" s="10"/>
      <c r="I356" s="21"/>
      <c r="J356" s="21"/>
      <c r="K356" s="10"/>
      <c r="L356" s="21"/>
      <c r="M356" s="10"/>
      <c r="N356" s="10"/>
      <c r="O356" s="22"/>
      <c r="P356" s="10"/>
      <c r="Q356" s="10"/>
      <c r="R356" s="10"/>
      <c r="S356" s="10"/>
      <c r="T356" s="10"/>
      <c r="U356" s="11"/>
      <c r="V356" s="23"/>
      <c r="W356" s="23"/>
      <c r="X356" s="23"/>
      <c r="Y356" s="13"/>
      <c r="AB356" s="21"/>
      <c r="AC356" s="21"/>
    </row>
    <row r="357" spans="2:29" ht="14.25" customHeight="1">
      <c r="B357" s="10"/>
      <c r="C357" s="10"/>
      <c r="D357" s="10"/>
      <c r="E357" s="10"/>
      <c r="F357" s="10"/>
      <c r="G357" s="10"/>
      <c r="H357" s="10"/>
      <c r="I357" s="21"/>
      <c r="J357" s="21"/>
      <c r="K357" s="10"/>
      <c r="L357" s="21"/>
      <c r="M357" s="10"/>
      <c r="N357" s="10"/>
      <c r="O357" s="22"/>
      <c r="P357" s="10"/>
      <c r="Q357" s="10"/>
      <c r="R357" s="10"/>
      <c r="S357" s="10"/>
      <c r="T357" s="10"/>
      <c r="U357" s="11"/>
      <c r="V357" s="23"/>
      <c r="W357" s="23"/>
      <c r="X357" s="23"/>
      <c r="Y357" s="13"/>
      <c r="AB357" s="21"/>
      <c r="AC357" s="21"/>
    </row>
    <row r="358" spans="2:29" ht="14.25" customHeight="1">
      <c r="B358" s="10"/>
      <c r="C358" s="10"/>
      <c r="D358" s="10"/>
      <c r="E358" s="10"/>
      <c r="F358" s="10"/>
      <c r="G358" s="10"/>
      <c r="H358" s="10"/>
      <c r="I358" s="21"/>
      <c r="J358" s="21"/>
      <c r="K358" s="10"/>
      <c r="L358" s="21"/>
      <c r="M358" s="10"/>
      <c r="N358" s="10"/>
      <c r="O358" s="22"/>
      <c r="P358" s="10"/>
      <c r="Q358" s="10"/>
      <c r="R358" s="10"/>
      <c r="S358" s="10"/>
      <c r="T358" s="10"/>
      <c r="U358" s="11"/>
      <c r="V358" s="23"/>
      <c r="W358" s="23"/>
      <c r="X358" s="23"/>
      <c r="Y358" s="13"/>
      <c r="AB358" s="21"/>
      <c r="AC358" s="21"/>
    </row>
    <row r="359" spans="2:29" ht="14.25" customHeight="1">
      <c r="B359" s="10"/>
      <c r="C359" s="10"/>
      <c r="D359" s="10"/>
      <c r="E359" s="10"/>
      <c r="F359" s="10"/>
      <c r="G359" s="10"/>
      <c r="H359" s="10"/>
      <c r="I359" s="21"/>
      <c r="J359" s="21"/>
      <c r="K359" s="10"/>
      <c r="L359" s="21"/>
      <c r="M359" s="10"/>
      <c r="N359" s="10"/>
      <c r="O359" s="22"/>
      <c r="P359" s="10"/>
      <c r="Q359" s="10"/>
      <c r="R359" s="10"/>
      <c r="S359" s="10"/>
      <c r="T359" s="10"/>
      <c r="U359" s="11"/>
      <c r="V359" s="23"/>
      <c r="W359" s="23"/>
      <c r="X359" s="23"/>
      <c r="Y359" s="13"/>
      <c r="AB359" s="21"/>
      <c r="AC359" s="21"/>
    </row>
    <row r="360" spans="2:29" ht="14.25" customHeight="1">
      <c r="B360" s="10"/>
      <c r="C360" s="10"/>
      <c r="D360" s="10"/>
      <c r="E360" s="10"/>
      <c r="F360" s="10"/>
      <c r="G360" s="10"/>
      <c r="H360" s="10"/>
      <c r="I360" s="21"/>
      <c r="J360" s="21"/>
      <c r="K360" s="10"/>
      <c r="L360" s="21"/>
      <c r="M360" s="10"/>
      <c r="N360" s="10"/>
      <c r="O360" s="22"/>
      <c r="P360" s="10"/>
      <c r="Q360" s="10"/>
      <c r="R360" s="10"/>
      <c r="S360" s="10"/>
      <c r="T360" s="10"/>
      <c r="U360" s="11"/>
      <c r="V360" s="23"/>
      <c r="W360" s="23"/>
      <c r="X360" s="23"/>
      <c r="Y360" s="13"/>
      <c r="AB360" s="21"/>
      <c r="AC360" s="21"/>
    </row>
    <row r="361" spans="2:29" ht="14.25" customHeight="1">
      <c r="B361" s="10"/>
      <c r="C361" s="10"/>
      <c r="D361" s="10"/>
      <c r="E361" s="10"/>
      <c r="F361" s="10"/>
      <c r="G361" s="10"/>
      <c r="H361" s="10"/>
      <c r="I361" s="21"/>
      <c r="J361" s="21"/>
      <c r="K361" s="10"/>
      <c r="L361" s="21"/>
      <c r="M361" s="10"/>
      <c r="N361" s="10"/>
      <c r="O361" s="22"/>
      <c r="P361" s="10"/>
      <c r="Q361" s="10"/>
      <c r="R361" s="10"/>
      <c r="S361" s="10"/>
      <c r="T361" s="10"/>
      <c r="U361" s="11"/>
      <c r="V361" s="23"/>
      <c r="W361" s="23"/>
      <c r="X361" s="23"/>
      <c r="Y361" s="13"/>
      <c r="AB361" s="21"/>
      <c r="AC361" s="21"/>
    </row>
    <row r="362" spans="2:29" ht="14.25" customHeight="1">
      <c r="B362" s="10"/>
      <c r="C362" s="10"/>
      <c r="D362" s="10"/>
      <c r="E362" s="10"/>
      <c r="F362" s="10"/>
      <c r="G362" s="10"/>
      <c r="H362" s="10"/>
      <c r="I362" s="21"/>
      <c r="J362" s="21"/>
      <c r="K362" s="10"/>
      <c r="L362" s="21"/>
      <c r="M362" s="10"/>
      <c r="N362" s="10"/>
      <c r="O362" s="22"/>
      <c r="P362" s="10"/>
      <c r="Q362" s="10"/>
      <c r="R362" s="10"/>
      <c r="S362" s="10"/>
      <c r="T362" s="10"/>
      <c r="U362" s="11"/>
      <c r="V362" s="23"/>
      <c r="W362" s="23"/>
      <c r="X362" s="23"/>
      <c r="Y362" s="13"/>
      <c r="AB362" s="21"/>
      <c r="AC362" s="21"/>
    </row>
    <row r="363" spans="2:29" ht="14.25" customHeight="1">
      <c r="B363" s="10"/>
      <c r="C363" s="10"/>
      <c r="D363" s="10"/>
      <c r="E363" s="10"/>
      <c r="F363" s="10"/>
      <c r="G363" s="10"/>
      <c r="H363" s="10"/>
      <c r="I363" s="21"/>
      <c r="J363" s="21"/>
      <c r="K363" s="10"/>
      <c r="L363" s="21"/>
      <c r="M363" s="10"/>
      <c r="N363" s="10"/>
      <c r="O363" s="22"/>
      <c r="P363" s="10"/>
      <c r="Q363" s="10"/>
      <c r="R363" s="10"/>
      <c r="S363" s="10"/>
      <c r="T363" s="10"/>
      <c r="U363" s="11"/>
      <c r="V363" s="23"/>
      <c r="W363" s="23"/>
      <c r="X363" s="23"/>
      <c r="Y363" s="13"/>
      <c r="AB363" s="21"/>
      <c r="AC363" s="21"/>
    </row>
    <row r="364" spans="2:29" ht="14.25" customHeight="1">
      <c r="B364" s="10"/>
      <c r="C364" s="10"/>
      <c r="D364" s="10"/>
      <c r="E364" s="10"/>
      <c r="F364" s="10"/>
      <c r="G364" s="10"/>
      <c r="H364" s="10"/>
      <c r="I364" s="21"/>
      <c r="J364" s="21"/>
      <c r="K364" s="10"/>
      <c r="L364" s="21"/>
      <c r="M364" s="10"/>
      <c r="N364" s="10"/>
      <c r="O364" s="22"/>
      <c r="P364" s="10"/>
      <c r="Q364" s="10"/>
      <c r="R364" s="10"/>
      <c r="S364" s="10"/>
      <c r="T364" s="10"/>
      <c r="U364" s="11"/>
      <c r="V364" s="23"/>
      <c r="W364" s="23"/>
      <c r="X364" s="23"/>
      <c r="Y364" s="13"/>
      <c r="AB364" s="21"/>
      <c r="AC364" s="21"/>
    </row>
    <row r="365" spans="2:29" ht="14.25" customHeight="1">
      <c r="B365" s="10"/>
      <c r="C365" s="10"/>
      <c r="D365" s="10"/>
      <c r="E365" s="10"/>
      <c r="F365" s="10"/>
      <c r="G365" s="10"/>
      <c r="H365" s="10"/>
      <c r="I365" s="21"/>
      <c r="J365" s="21"/>
      <c r="K365" s="10"/>
      <c r="L365" s="21"/>
      <c r="M365" s="10"/>
      <c r="N365" s="10"/>
      <c r="O365" s="22"/>
      <c r="P365" s="10"/>
      <c r="Q365" s="10"/>
      <c r="R365" s="10"/>
      <c r="S365" s="10"/>
      <c r="T365" s="10"/>
      <c r="U365" s="23"/>
      <c r="V365" s="23"/>
      <c r="W365" s="23"/>
      <c r="X365" s="23"/>
      <c r="Y365" s="24"/>
      <c r="AB365" s="21"/>
      <c r="AC365" s="21"/>
    </row>
    <row r="366" spans="2:29" ht="14.25" customHeight="1">
      <c r="B366" s="10"/>
      <c r="C366" s="10"/>
      <c r="D366" s="10"/>
      <c r="E366" s="10"/>
      <c r="F366" s="10"/>
      <c r="G366" s="10"/>
      <c r="H366" s="10"/>
      <c r="I366" s="21"/>
      <c r="J366" s="21"/>
      <c r="K366" s="10"/>
      <c r="L366" s="21"/>
      <c r="M366" s="10"/>
      <c r="N366" s="10"/>
      <c r="O366" s="22"/>
      <c r="P366" s="10"/>
      <c r="Q366" s="10"/>
      <c r="R366" s="10"/>
      <c r="S366" s="10"/>
      <c r="T366" s="10"/>
      <c r="U366" s="23"/>
      <c r="V366" s="23"/>
      <c r="W366" s="23"/>
      <c r="X366" s="23"/>
      <c r="Y366" s="24"/>
      <c r="AB366" s="21"/>
      <c r="AC366" s="21"/>
    </row>
    <row r="367" spans="2:29" ht="15.75" customHeight="1">
      <c r="I367" s="15"/>
      <c r="J367" s="15"/>
      <c r="L367" s="15"/>
      <c r="AB367" s="15"/>
      <c r="AC367" s="15"/>
    </row>
    <row r="368" spans="2:29" ht="15.75" customHeight="1">
      <c r="I368" s="15"/>
      <c r="J368" s="15"/>
      <c r="L368" s="15"/>
      <c r="AB368" s="15"/>
      <c r="AC368" s="15"/>
    </row>
    <row r="369" spans="9:29" ht="15.75" customHeight="1">
      <c r="I369" s="15"/>
      <c r="J369" s="15"/>
      <c r="L369" s="15"/>
      <c r="AB369" s="15"/>
      <c r="AC369" s="15"/>
    </row>
    <row r="370" spans="9:29" ht="15.75" customHeight="1">
      <c r="I370" s="15"/>
      <c r="J370" s="15"/>
      <c r="L370" s="15"/>
      <c r="AB370" s="15"/>
      <c r="AC370" s="15"/>
    </row>
    <row r="371" spans="9:29" ht="15.75" customHeight="1">
      <c r="I371" s="15"/>
      <c r="J371" s="15"/>
      <c r="L371" s="15"/>
      <c r="AB371" s="15"/>
      <c r="AC371" s="15"/>
    </row>
    <row r="372" spans="9:29" ht="15.75" customHeight="1">
      <c r="I372" s="15"/>
      <c r="J372" s="15"/>
      <c r="L372" s="15"/>
      <c r="AB372" s="15"/>
      <c r="AC372" s="15"/>
    </row>
    <row r="373" spans="9:29" ht="15.75" customHeight="1">
      <c r="I373" s="15"/>
      <c r="J373" s="15"/>
      <c r="L373" s="15"/>
      <c r="AB373" s="15"/>
      <c r="AC373" s="15"/>
    </row>
    <row r="374" spans="9:29" ht="15.75" customHeight="1">
      <c r="I374" s="15"/>
      <c r="J374" s="15"/>
      <c r="L374" s="15"/>
      <c r="AB374" s="15"/>
      <c r="AC374" s="15"/>
    </row>
    <row r="375" spans="9:29" ht="15.75" customHeight="1">
      <c r="I375" s="15"/>
      <c r="J375" s="15"/>
      <c r="L375" s="15"/>
      <c r="AB375" s="15"/>
      <c r="AC375" s="15"/>
    </row>
    <row r="376" spans="9:29" ht="15.75" customHeight="1">
      <c r="I376" s="15"/>
      <c r="J376" s="15"/>
      <c r="L376" s="15"/>
      <c r="AB376" s="15"/>
      <c r="AC376" s="15"/>
    </row>
    <row r="377" spans="9:29" ht="15.75" customHeight="1">
      <c r="I377" s="15"/>
      <c r="J377" s="15"/>
      <c r="L377" s="15"/>
      <c r="AB377" s="15"/>
      <c r="AC377" s="15"/>
    </row>
    <row r="378" spans="9:29" ht="15.75" customHeight="1">
      <c r="I378" s="15"/>
      <c r="J378" s="15"/>
      <c r="L378" s="15"/>
      <c r="AB378" s="15"/>
      <c r="AC378" s="15"/>
    </row>
    <row r="379" spans="9:29" ht="15.75" customHeight="1">
      <c r="I379" s="15"/>
      <c r="J379" s="15"/>
      <c r="L379" s="15"/>
      <c r="AB379" s="15"/>
      <c r="AC379" s="15"/>
    </row>
    <row r="380" spans="9:29" ht="15.75" customHeight="1">
      <c r="I380" s="15"/>
      <c r="J380" s="15"/>
      <c r="L380" s="15"/>
      <c r="AB380" s="15"/>
      <c r="AC380" s="15"/>
    </row>
    <row r="381" spans="9:29" ht="15.75" customHeight="1">
      <c r="I381" s="15"/>
      <c r="J381" s="15"/>
      <c r="L381" s="15"/>
      <c r="AB381" s="15"/>
      <c r="AC381" s="15"/>
    </row>
    <row r="382" spans="9:29" ht="15.75" customHeight="1">
      <c r="I382" s="15"/>
      <c r="J382" s="15"/>
      <c r="L382" s="15"/>
      <c r="AB382" s="15"/>
      <c r="AC382" s="15"/>
    </row>
    <row r="383" spans="9:29" ht="15.75" customHeight="1">
      <c r="I383" s="15"/>
      <c r="J383" s="15"/>
      <c r="L383" s="15"/>
      <c r="AB383" s="15"/>
      <c r="AC383" s="15"/>
    </row>
    <row r="384" spans="9:29" ht="15.75" customHeight="1">
      <c r="I384" s="15"/>
      <c r="J384" s="15"/>
      <c r="L384" s="15"/>
      <c r="AB384" s="15"/>
      <c r="AC384" s="15"/>
    </row>
    <row r="385" spans="9:29" ht="15.75" customHeight="1">
      <c r="I385" s="15"/>
      <c r="J385" s="15"/>
      <c r="L385" s="15"/>
      <c r="AB385" s="15"/>
      <c r="AC385" s="15"/>
    </row>
    <row r="386" spans="9:29" ht="15.75" customHeight="1">
      <c r="I386" s="15"/>
      <c r="J386" s="15"/>
      <c r="L386" s="15"/>
      <c r="AB386" s="15"/>
      <c r="AC386" s="15"/>
    </row>
    <row r="387" spans="9:29" ht="15.75" customHeight="1">
      <c r="I387" s="15"/>
      <c r="J387" s="15"/>
      <c r="L387" s="15"/>
      <c r="AB387" s="15"/>
      <c r="AC387" s="15"/>
    </row>
    <row r="388" spans="9:29" ht="15.75" customHeight="1">
      <c r="I388" s="15"/>
      <c r="J388" s="15"/>
      <c r="L388" s="15"/>
      <c r="AB388" s="15"/>
      <c r="AC388" s="15"/>
    </row>
    <row r="389" spans="9:29" ht="15.75" customHeight="1">
      <c r="I389" s="15"/>
      <c r="J389" s="15"/>
      <c r="L389" s="15"/>
      <c r="AB389" s="15"/>
      <c r="AC389" s="15"/>
    </row>
    <row r="390" spans="9:29" ht="15.75" customHeight="1">
      <c r="I390" s="15"/>
      <c r="J390" s="15"/>
      <c r="L390" s="15"/>
      <c r="AB390" s="15"/>
      <c r="AC390" s="15"/>
    </row>
    <row r="391" spans="9:29" ht="15.75" customHeight="1">
      <c r="I391" s="15"/>
      <c r="J391" s="15"/>
      <c r="L391" s="15"/>
      <c r="AB391" s="15"/>
      <c r="AC391" s="15"/>
    </row>
    <row r="392" spans="9:29" ht="15.75" customHeight="1">
      <c r="I392" s="15"/>
      <c r="J392" s="15"/>
      <c r="L392" s="15"/>
      <c r="AB392" s="15"/>
      <c r="AC392" s="15"/>
    </row>
    <row r="393" spans="9:29" ht="15.75" customHeight="1">
      <c r="I393" s="15"/>
      <c r="J393" s="15"/>
      <c r="L393" s="15"/>
      <c r="AB393" s="15"/>
      <c r="AC393" s="15"/>
    </row>
    <row r="394" spans="9:29" ht="15.75" customHeight="1">
      <c r="I394" s="15"/>
      <c r="J394" s="15"/>
      <c r="L394" s="15"/>
      <c r="AB394" s="15"/>
      <c r="AC394" s="15"/>
    </row>
    <row r="395" spans="9:29" ht="15.75" customHeight="1">
      <c r="I395" s="15"/>
      <c r="J395" s="15"/>
      <c r="L395" s="15"/>
      <c r="AB395" s="15"/>
      <c r="AC395" s="15"/>
    </row>
    <row r="396" spans="9:29" ht="15.75" customHeight="1">
      <c r="I396" s="15"/>
      <c r="J396" s="15"/>
      <c r="L396" s="15"/>
      <c r="AB396" s="15"/>
      <c r="AC396" s="15"/>
    </row>
    <row r="397" spans="9:29" ht="15.75" customHeight="1">
      <c r="I397" s="15"/>
      <c r="J397" s="15"/>
      <c r="L397" s="15"/>
      <c r="AB397" s="15"/>
      <c r="AC397" s="15"/>
    </row>
    <row r="398" spans="9:29" ht="15.75" customHeight="1">
      <c r="I398" s="15"/>
      <c r="J398" s="15"/>
      <c r="L398" s="15"/>
      <c r="AB398" s="15"/>
      <c r="AC398" s="15"/>
    </row>
    <row r="399" spans="9:29" ht="15.75" customHeight="1">
      <c r="I399" s="15"/>
      <c r="J399" s="15"/>
      <c r="L399" s="15"/>
      <c r="AB399" s="15"/>
      <c r="AC399" s="15"/>
    </row>
    <row r="400" spans="9:29" ht="15.75" customHeight="1">
      <c r="I400" s="15"/>
      <c r="J400" s="15"/>
      <c r="L400" s="15"/>
      <c r="AB400" s="15"/>
      <c r="AC400" s="15"/>
    </row>
    <row r="401" spans="9:29" ht="15.75" customHeight="1">
      <c r="I401" s="15"/>
      <c r="J401" s="15"/>
      <c r="L401" s="15"/>
      <c r="AB401" s="15"/>
      <c r="AC401" s="15"/>
    </row>
    <row r="402" spans="9:29" ht="15.75" customHeight="1">
      <c r="I402" s="15"/>
      <c r="J402" s="15"/>
      <c r="L402" s="15"/>
      <c r="AB402" s="15"/>
      <c r="AC402" s="15"/>
    </row>
    <row r="403" spans="9:29" ht="15.75" customHeight="1">
      <c r="I403" s="15"/>
      <c r="J403" s="15"/>
      <c r="L403" s="15"/>
      <c r="AB403" s="15"/>
      <c r="AC403" s="15"/>
    </row>
    <row r="404" spans="9:29" ht="15.75" customHeight="1">
      <c r="I404" s="15"/>
      <c r="J404" s="15"/>
      <c r="L404" s="15"/>
      <c r="AB404" s="15"/>
      <c r="AC404" s="15"/>
    </row>
    <row r="405" spans="9:29" ht="15.75" customHeight="1">
      <c r="I405" s="15"/>
      <c r="J405" s="15"/>
      <c r="L405" s="15"/>
      <c r="AB405" s="15"/>
      <c r="AC405" s="15"/>
    </row>
    <row r="406" spans="9:29" ht="15.75" customHeight="1">
      <c r="I406" s="15"/>
      <c r="J406" s="15"/>
      <c r="L406" s="15"/>
      <c r="AB406" s="15"/>
      <c r="AC406" s="15"/>
    </row>
    <row r="407" spans="9:29" ht="15.75" customHeight="1">
      <c r="I407" s="15"/>
      <c r="J407" s="15"/>
      <c r="L407" s="15"/>
      <c r="AB407" s="15"/>
      <c r="AC407" s="15"/>
    </row>
    <row r="408" spans="9:29" ht="15.75" customHeight="1">
      <c r="I408" s="15"/>
      <c r="J408" s="15"/>
      <c r="L408" s="15"/>
      <c r="AB408" s="15"/>
      <c r="AC408" s="15"/>
    </row>
    <row r="409" spans="9:29" ht="15.75" customHeight="1">
      <c r="I409" s="15"/>
      <c r="J409" s="15"/>
      <c r="L409" s="15"/>
      <c r="AB409" s="15"/>
      <c r="AC409" s="15"/>
    </row>
    <row r="410" spans="9:29" ht="15.75" customHeight="1">
      <c r="I410" s="15"/>
      <c r="J410" s="15"/>
      <c r="L410" s="15"/>
      <c r="AB410" s="15"/>
      <c r="AC410" s="15"/>
    </row>
    <row r="411" spans="9:29" ht="15.75" customHeight="1">
      <c r="I411" s="15"/>
      <c r="J411" s="15"/>
      <c r="L411" s="15"/>
      <c r="AB411" s="15"/>
      <c r="AC411" s="15"/>
    </row>
    <row r="412" spans="9:29" ht="15.75" customHeight="1">
      <c r="I412" s="15"/>
      <c r="J412" s="15"/>
      <c r="L412" s="15"/>
      <c r="AB412" s="15"/>
      <c r="AC412" s="15"/>
    </row>
    <row r="413" spans="9:29" ht="15.75" customHeight="1">
      <c r="I413" s="15"/>
      <c r="J413" s="15"/>
      <c r="L413" s="15"/>
      <c r="AB413" s="15"/>
      <c r="AC413" s="15"/>
    </row>
    <row r="414" spans="9:29" ht="15.75" customHeight="1">
      <c r="I414" s="15"/>
      <c r="J414" s="15"/>
      <c r="L414" s="15"/>
      <c r="AB414" s="15"/>
      <c r="AC414" s="15"/>
    </row>
    <row r="415" spans="9:29" ht="15.75" customHeight="1">
      <c r="I415" s="15"/>
      <c r="J415" s="15"/>
      <c r="L415" s="15"/>
      <c r="AB415" s="15"/>
      <c r="AC415" s="15"/>
    </row>
    <row r="416" spans="9:29" ht="15.75" customHeight="1">
      <c r="I416" s="15"/>
      <c r="J416" s="15"/>
      <c r="L416" s="15"/>
      <c r="AB416" s="15"/>
      <c r="AC416" s="15"/>
    </row>
    <row r="417" spans="9:29" ht="15.75" customHeight="1">
      <c r="I417" s="15"/>
      <c r="J417" s="15"/>
      <c r="L417" s="15"/>
      <c r="AB417" s="15"/>
      <c r="AC417" s="15"/>
    </row>
    <row r="418" spans="9:29" ht="15.75" customHeight="1">
      <c r="I418" s="15"/>
      <c r="J418" s="15"/>
      <c r="L418" s="15"/>
      <c r="AB418" s="15"/>
      <c r="AC418" s="15"/>
    </row>
    <row r="419" spans="9:29" ht="15.75" customHeight="1">
      <c r="I419" s="15"/>
      <c r="J419" s="15"/>
      <c r="L419" s="15"/>
      <c r="AB419" s="15"/>
      <c r="AC419" s="15"/>
    </row>
    <row r="420" spans="9:29" ht="15.75" customHeight="1">
      <c r="I420" s="15"/>
      <c r="J420" s="15"/>
      <c r="L420" s="15"/>
      <c r="AB420" s="15"/>
      <c r="AC420" s="15"/>
    </row>
    <row r="421" spans="9:29" ht="15.75" customHeight="1">
      <c r="I421" s="15"/>
      <c r="J421" s="15"/>
      <c r="L421" s="15"/>
      <c r="AB421" s="15"/>
      <c r="AC421" s="15"/>
    </row>
    <row r="422" spans="9:29" ht="15.75" customHeight="1">
      <c r="I422" s="15"/>
      <c r="J422" s="15"/>
      <c r="L422" s="15"/>
      <c r="AB422" s="15"/>
      <c r="AC422" s="15"/>
    </row>
    <row r="423" spans="9:29" ht="15.75" customHeight="1">
      <c r="I423" s="15"/>
      <c r="J423" s="15"/>
      <c r="L423" s="15"/>
      <c r="AB423" s="15"/>
      <c r="AC423" s="15"/>
    </row>
    <row r="424" spans="9:29" ht="15.75" customHeight="1">
      <c r="I424" s="15"/>
      <c r="J424" s="15"/>
      <c r="L424" s="15"/>
      <c r="AB424" s="15"/>
      <c r="AC424" s="15"/>
    </row>
    <row r="425" spans="9:29" ht="15.75" customHeight="1">
      <c r="I425" s="15"/>
      <c r="J425" s="15"/>
      <c r="L425" s="15"/>
      <c r="AB425" s="15"/>
      <c r="AC425" s="15"/>
    </row>
    <row r="426" spans="9:29" ht="15.75" customHeight="1">
      <c r="I426" s="15"/>
      <c r="J426" s="15"/>
      <c r="L426" s="15"/>
      <c r="AB426" s="15"/>
      <c r="AC426" s="15"/>
    </row>
    <row r="427" spans="9:29" ht="15.75" customHeight="1">
      <c r="I427" s="15"/>
      <c r="J427" s="15"/>
      <c r="L427" s="15"/>
      <c r="AB427" s="15"/>
      <c r="AC427" s="15"/>
    </row>
    <row r="428" spans="9:29" ht="15.75" customHeight="1">
      <c r="I428" s="15"/>
      <c r="J428" s="15"/>
      <c r="L428" s="15"/>
      <c r="AB428" s="15"/>
      <c r="AC428" s="15"/>
    </row>
    <row r="429" spans="9:29" ht="15.75" customHeight="1">
      <c r="I429" s="15"/>
      <c r="J429" s="15"/>
      <c r="L429" s="15"/>
      <c r="AB429" s="15"/>
      <c r="AC429" s="15"/>
    </row>
    <row r="430" spans="9:29" ht="15.75" customHeight="1">
      <c r="I430" s="15"/>
      <c r="J430" s="15"/>
      <c r="L430" s="15"/>
      <c r="AB430" s="15"/>
      <c r="AC430" s="15"/>
    </row>
    <row r="431" spans="9:29" ht="15.75" customHeight="1">
      <c r="I431" s="15"/>
      <c r="J431" s="15"/>
      <c r="L431" s="15"/>
      <c r="AB431" s="15"/>
      <c r="AC431" s="15"/>
    </row>
    <row r="432" spans="9:29" ht="15.75" customHeight="1">
      <c r="I432" s="15"/>
      <c r="J432" s="15"/>
      <c r="L432" s="15"/>
      <c r="AB432" s="15"/>
      <c r="AC432" s="15"/>
    </row>
    <row r="433" spans="9:29" ht="15.75" customHeight="1">
      <c r="I433" s="15"/>
      <c r="J433" s="15"/>
      <c r="L433" s="15"/>
      <c r="AB433" s="15"/>
      <c r="AC433" s="15"/>
    </row>
    <row r="434" spans="9:29" ht="15.75" customHeight="1">
      <c r="I434" s="15"/>
      <c r="J434" s="15"/>
      <c r="L434" s="15"/>
      <c r="AB434" s="15"/>
      <c r="AC434" s="15"/>
    </row>
    <row r="435" spans="9:29" ht="15.75" customHeight="1">
      <c r="I435" s="15"/>
      <c r="J435" s="15"/>
      <c r="L435" s="15"/>
      <c r="AB435" s="15"/>
      <c r="AC435" s="15"/>
    </row>
    <row r="436" spans="9:29" ht="15.75" customHeight="1">
      <c r="I436" s="15"/>
      <c r="J436" s="15"/>
      <c r="L436" s="15"/>
      <c r="AB436" s="15"/>
      <c r="AC436" s="15"/>
    </row>
    <row r="437" spans="9:29" ht="15.75" customHeight="1">
      <c r="I437" s="15"/>
      <c r="J437" s="15"/>
      <c r="L437" s="15"/>
      <c r="AB437" s="15"/>
      <c r="AC437" s="15"/>
    </row>
    <row r="438" spans="9:29" ht="15.75" customHeight="1">
      <c r="I438" s="15"/>
      <c r="J438" s="15"/>
      <c r="L438" s="15"/>
      <c r="AB438" s="15"/>
      <c r="AC438" s="15"/>
    </row>
    <row r="439" spans="9:29" ht="15.75" customHeight="1">
      <c r="I439" s="15"/>
      <c r="J439" s="15"/>
      <c r="L439" s="15"/>
      <c r="AB439" s="15"/>
      <c r="AC439" s="15"/>
    </row>
    <row r="440" spans="9:29" ht="15.75" customHeight="1">
      <c r="I440" s="15"/>
      <c r="J440" s="15"/>
      <c r="L440" s="15"/>
      <c r="AB440" s="15"/>
      <c r="AC440" s="15"/>
    </row>
    <row r="441" spans="9:29" ht="15.75" customHeight="1">
      <c r="I441" s="15"/>
      <c r="J441" s="15"/>
      <c r="L441" s="15"/>
      <c r="AB441" s="15"/>
      <c r="AC441" s="15"/>
    </row>
    <row r="442" spans="9:29" ht="15.75" customHeight="1">
      <c r="I442" s="15"/>
      <c r="J442" s="15"/>
      <c r="L442" s="15"/>
      <c r="AB442" s="15"/>
      <c r="AC442" s="15"/>
    </row>
    <row r="443" spans="9:29" ht="15.75" customHeight="1">
      <c r="I443" s="15"/>
      <c r="J443" s="15"/>
      <c r="L443" s="15"/>
      <c r="AB443" s="15"/>
      <c r="AC443" s="15"/>
    </row>
    <row r="444" spans="9:29" ht="15.75" customHeight="1">
      <c r="I444" s="15"/>
      <c r="J444" s="15"/>
      <c r="L444" s="15"/>
      <c r="AB444" s="15"/>
      <c r="AC444" s="15"/>
    </row>
    <row r="445" spans="9:29" ht="15.75" customHeight="1">
      <c r="I445" s="15"/>
      <c r="J445" s="15"/>
      <c r="L445" s="15"/>
      <c r="AB445" s="15"/>
      <c r="AC445" s="15"/>
    </row>
    <row r="446" spans="9:29" ht="15.75" customHeight="1">
      <c r="I446" s="15"/>
      <c r="J446" s="15"/>
      <c r="L446" s="15"/>
      <c r="AB446" s="15"/>
      <c r="AC446" s="15"/>
    </row>
    <row r="447" spans="9:29" ht="15.75" customHeight="1">
      <c r="I447" s="15"/>
      <c r="J447" s="15"/>
      <c r="L447" s="15"/>
      <c r="AB447" s="15"/>
      <c r="AC447" s="15"/>
    </row>
    <row r="448" spans="9:29" ht="15.75" customHeight="1">
      <c r="I448" s="15"/>
      <c r="J448" s="15"/>
      <c r="L448" s="15"/>
      <c r="AB448" s="15"/>
      <c r="AC448" s="15"/>
    </row>
    <row r="449" spans="9:29" ht="15.75" customHeight="1">
      <c r="I449" s="15"/>
      <c r="J449" s="15"/>
      <c r="L449" s="15"/>
      <c r="AB449" s="15"/>
      <c r="AC449" s="15"/>
    </row>
    <row r="450" spans="9:29" ht="15.75" customHeight="1">
      <c r="I450" s="15"/>
      <c r="J450" s="15"/>
      <c r="L450" s="15"/>
      <c r="AB450" s="15"/>
      <c r="AC450" s="15"/>
    </row>
    <row r="451" spans="9:29" ht="15.75" customHeight="1">
      <c r="I451" s="15"/>
      <c r="J451" s="15"/>
      <c r="L451" s="15"/>
      <c r="AB451" s="15"/>
      <c r="AC451" s="15"/>
    </row>
    <row r="452" spans="9:29" ht="15.75" customHeight="1">
      <c r="I452" s="15"/>
      <c r="J452" s="15"/>
      <c r="L452" s="15"/>
      <c r="AB452" s="15"/>
      <c r="AC452" s="15"/>
    </row>
    <row r="453" spans="9:29" ht="15.75" customHeight="1">
      <c r="I453" s="15"/>
      <c r="J453" s="15"/>
      <c r="L453" s="15"/>
      <c r="AB453" s="15"/>
      <c r="AC453" s="15"/>
    </row>
    <row r="454" spans="9:29" ht="15.75" customHeight="1">
      <c r="I454" s="15"/>
      <c r="J454" s="15"/>
      <c r="L454" s="15"/>
      <c r="AB454" s="15"/>
      <c r="AC454" s="15"/>
    </row>
    <row r="455" spans="9:29" ht="15.75" customHeight="1">
      <c r="I455" s="15"/>
      <c r="J455" s="15"/>
      <c r="L455" s="15"/>
      <c r="AB455" s="15"/>
      <c r="AC455" s="15"/>
    </row>
    <row r="456" spans="9:29" ht="15.75" customHeight="1">
      <c r="I456" s="15"/>
      <c r="J456" s="15"/>
      <c r="L456" s="15"/>
      <c r="AB456" s="15"/>
      <c r="AC456" s="15"/>
    </row>
    <row r="457" spans="9:29" ht="15.75" customHeight="1">
      <c r="I457" s="15"/>
      <c r="J457" s="15"/>
      <c r="L457" s="15"/>
      <c r="AB457" s="15"/>
      <c r="AC457" s="15"/>
    </row>
    <row r="458" spans="9:29" ht="15.75" customHeight="1">
      <c r="I458" s="15"/>
      <c r="J458" s="15"/>
      <c r="L458" s="15"/>
      <c r="AB458" s="15"/>
      <c r="AC458" s="15"/>
    </row>
    <row r="459" spans="9:29" ht="15.75" customHeight="1">
      <c r="I459" s="15"/>
      <c r="J459" s="15"/>
      <c r="L459" s="15"/>
      <c r="AB459" s="15"/>
      <c r="AC459" s="15"/>
    </row>
    <row r="460" spans="9:29" ht="15.75" customHeight="1">
      <c r="I460" s="15"/>
      <c r="J460" s="15"/>
      <c r="L460" s="15"/>
      <c r="AB460" s="15"/>
      <c r="AC460" s="15"/>
    </row>
    <row r="461" spans="9:29" ht="15.75" customHeight="1">
      <c r="I461" s="15"/>
      <c r="J461" s="15"/>
      <c r="L461" s="15"/>
      <c r="AB461" s="15"/>
      <c r="AC461" s="15"/>
    </row>
    <row r="462" spans="9:29" ht="15.75" customHeight="1">
      <c r="I462" s="15"/>
      <c r="J462" s="15"/>
      <c r="L462" s="15"/>
      <c r="AB462" s="15"/>
      <c r="AC462" s="15"/>
    </row>
    <row r="463" spans="9:29" ht="15.75" customHeight="1">
      <c r="I463" s="15"/>
      <c r="J463" s="15"/>
      <c r="L463" s="15"/>
      <c r="AB463" s="15"/>
      <c r="AC463" s="15"/>
    </row>
    <row r="464" spans="9:29" ht="15.75" customHeight="1">
      <c r="I464" s="15"/>
      <c r="J464" s="15"/>
      <c r="L464" s="15"/>
      <c r="AB464" s="15"/>
      <c r="AC464" s="15"/>
    </row>
    <row r="465" spans="9:29" ht="15.75" customHeight="1">
      <c r="I465" s="15"/>
      <c r="J465" s="15"/>
      <c r="L465" s="15"/>
      <c r="AB465" s="15"/>
      <c r="AC465" s="15"/>
    </row>
    <row r="466" spans="9:29" ht="15.75" customHeight="1">
      <c r="I466" s="15"/>
      <c r="J466" s="15"/>
      <c r="L466" s="15"/>
      <c r="AB466" s="15"/>
      <c r="AC466" s="15"/>
    </row>
    <row r="467" spans="9:29" ht="15.75" customHeight="1">
      <c r="I467" s="15"/>
      <c r="J467" s="15"/>
      <c r="L467" s="15"/>
      <c r="AB467" s="15"/>
      <c r="AC467" s="15"/>
    </row>
    <row r="468" spans="9:29" ht="15.75" customHeight="1">
      <c r="I468" s="15"/>
      <c r="J468" s="15"/>
      <c r="L468" s="15"/>
      <c r="AB468" s="15"/>
      <c r="AC468" s="15"/>
    </row>
    <row r="469" spans="9:29" ht="15.75" customHeight="1">
      <c r="I469" s="15"/>
      <c r="J469" s="15"/>
      <c r="L469" s="15"/>
      <c r="AB469" s="15"/>
      <c r="AC469" s="15"/>
    </row>
    <row r="470" spans="9:29" ht="15.75" customHeight="1">
      <c r="I470" s="15"/>
      <c r="J470" s="15"/>
      <c r="L470" s="15"/>
      <c r="AB470" s="15"/>
      <c r="AC470" s="15"/>
    </row>
    <row r="471" spans="9:29" ht="15.75" customHeight="1">
      <c r="I471" s="15"/>
      <c r="J471" s="15"/>
      <c r="L471" s="15"/>
      <c r="AB471" s="15"/>
      <c r="AC471" s="15"/>
    </row>
    <row r="472" spans="9:29" ht="15.75" customHeight="1">
      <c r="I472" s="15"/>
      <c r="J472" s="15"/>
      <c r="L472" s="15"/>
      <c r="AB472" s="15"/>
      <c r="AC472" s="15"/>
    </row>
    <row r="473" spans="9:29" ht="15.75" customHeight="1">
      <c r="I473" s="15"/>
      <c r="J473" s="15"/>
      <c r="L473" s="15"/>
      <c r="AB473" s="15"/>
      <c r="AC473" s="15"/>
    </row>
    <row r="474" spans="9:29" ht="15.75" customHeight="1">
      <c r="I474" s="15"/>
      <c r="J474" s="15"/>
      <c r="L474" s="15"/>
      <c r="AB474" s="15"/>
      <c r="AC474" s="15"/>
    </row>
    <row r="475" spans="9:29" ht="15.75" customHeight="1">
      <c r="I475" s="15"/>
      <c r="J475" s="15"/>
      <c r="L475" s="15"/>
      <c r="AB475" s="15"/>
      <c r="AC475" s="15"/>
    </row>
    <row r="476" spans="9:29" ht="15.75" customHeight="1">
      <c r="I476" s="15"/>
      <c r="J476" s="15"/>
      <c r="L476" s="15"/>
      <c r="AB476" s="15"/>
      <c r="AC476" s="15"/>
    </row>
    <row r="477" spans="9:29" ht="15.75" customHeight="1">
      <c r="I477" s="15"/>
      <c r="J477" s="15"/>
      <c r="L477" s="15"/>
      <c r="AB477" s="15"/>
      <c r="AC477" s="15"/>
    </row>
    <row r="478" spans="9:29" ht="15.75" customHeight="1">
      <c r="I478" s="15"/>
      <c r="J478" s="15"/>
      <c r="L478" s="15"/>
      <c r="AB478" s="15"/>
      <c r="AC478" s="15"/>
    </row>
    <row r="479" spans="9:29" ht="15.75" customHeight="1">
      <c r="I479" s="15"/>
      <c r="J479" s="15"/>
      <c r="L479" s="15"/>
      <c r="AB479" s="15"/>
      <c r="AC479" s="15"/>
    </row>
    <row r="480" spans="9:29" ht="15.75" customHeight="1">
      <c r="I480" s="15"/>
      <c r="J480" s="15"/>
      <c r="L480" s="15"/>
      <c r="AB480" s="15"/>
      <c r="AC480" s="15"/>
    </row>
    <row r="481" spans="9:29" ht="15.75" customHeight="1">
      <c r="I481" s="15"/>
      <c r="J481" s="15"/>
      <c r="L481" s="15"/>
      <c r="AB481" s="15"/>
      <c r="AC481" s="15"/>
    </row>
    <row r="482" spans="9:29" ht="15.75" customHeight="1">
      <c r="I482" s="15"/>
      <c r="J482" s="15"/>
      <c r="L482" s="15"/>
      <c r="AB482" s="15"/>
      <c r="AC482" s="15"/>
    </row>
    <row r="483" spans="9:29" ht="15.75" customHeight="1">
      <c r="I483" s="15"/>
      <c r="J483" s="15"/>
      <c r="L483" s="15"/>
      <c r="AB483" s="15"/>
      <c r="AC483" s="15"/>
    </row>
    <row r="484" spans="9:29" ht="15.75" customHeight="1">
      <c r="I484" s="15"/>
      <c r="J484" s="15"/>
      <c r="L484" s="15"/>
      <c r="AB484" s="15"/>
      <c r="AC484" s="15"/>
    </row>
    <row r="485" spans="9:29" ht="15.75" customHeight="1">
      <c r="I485" s="15"/>
      <c r="J485" s="15"/>
      <c r="L485" s="15"/>
      <c r="AB485" s="15"/>
      <c r="AC485" s="15"/>
    </row>
    <row r="486" spans="9:29" ht="15.75" customHeight="1">
      <c r="I486" s="15"/>
      <c r="J486" s="15"/>
      <c r="L486" s="15"/>
      <c r="AB486" s="15"/>
      <c r="AC486" s="15"/>
    </row>
    <row r="487" spans="9:29" ht="15.75" customHeight="1">
      <c r="I487" s="15"/>
      <c r="J487" s="15"/>
      <c r="L487" s="15"/>
      <c r="AB487" s="15"/>
      <c r="AC487" s="15"/>
    </row>
    <row r="488" spans="9:29" ht="15.75" customHeight="1">
      <c r="I488" s="15"/>
      <c r="J488" s="15"/>
      <c r="L488" s="15"/>
      <c r="AB488" s="15"/>
      <c r="AC488" s="15"/>
    </row>
    <row r="489" spans="9:29" ht="15.75" customHeight="1">
      <c r="I489" s="15"/>
      <c r="J489" s="15"/>
      <c r="L489" s="15"/>
      <c r="AB489" s="15"/>
      <c r="AC489" s="15"/>
    </row>
    <row r="490" spans="9:29" ht="15.75" customHeight="1">
      <c r="I490" s="15"/>
      <c r="J490" s="15"/>
      <c r="L490" s="15"/>
      <c r="AB490" s="15"/>
      <c r="AC490" s="15"/>
    </row>
    <row r="491" spans="9:29" ht="15.75" customHeight="1">
      <c r="I491" s="15"/>
      <c r="J491" s="15"/>
      <c r="L491" s="15"/>
      <c r="AB491" s="15"/>
      <c r="AC491" s="15"/>
    </row>
    <row r="492" spans="9:29" ht="15.75" customHeight="1">
      <c r="I492" s="15"/>
      <c r="J492" s="15"/>
      <c r="L492" s="15"/>
      <c r="AB492" s="15"/>
      <c r="AC492" s="15"/>
    </row>
    <row r="493" spans="9:29" ht="15.75" customHeight="1">
      <c r="I493" s="15"/>
      <c r="J493" s="15"/>
      <c r="L493" s="15"/>
      <c r="AB493" s="15"/>
      <c r="AC493" s="15"/>
    </row>
    <row r="494" spans="9:29" ht="15.75" customHeight="1">
      <c r="I494" s="15"/>
      <c r="J494" s="15"/>
      <c r="L494" s="15"/>
      <c r="AB494" s="15"/>
      <c r="AC494" s="15"/>
    </row>
    <row r="495" spans="9:29" ht="15.75" customHeight="1">
      <c r="I495" s="15"/>
      <c r="J495" s="15"/>
      <c r="L495" s="15"/>
      <c r="AB495" s="15"/>
      <c r="AC495" s="15"/>
    </row>
    <row r="496" spans="9:29" ht="15.75" customHeight="1">
      <c r="I496" s="15"/>
      <c r="J496" s="15"/>
      <c r="L496" s="15"/>
      <c r="AB496" s="15"/>
      <c r="AC496" s="15"/>
    </row>
    <row r="497" spans="9:29" ht="15.75" customHeight="1">
      <c r="I497" s="15"/>
      <c r="J497" s="15"/>
      <c r="L497" s="15"/>
      <c r="AB497" s="15"/>
      <c r="AC497" s="15"/>
    </row>
    <row r="498" spans="9:29" ht="15.75" customHeight="1">
      <c r="I498" s="15"/>
      <c r="J498" s="15"/>
      <c r="L498" s="15"/>
      <c r="AB498" s="15"/>
      <c r="AC498" s="15"/>
    </row>
    <row r="499" spans="9:29" ht="15.75" customHeight="1">
      <c r="I499" s="15"/>
      <c r="J499" s="15"/>
      <c r="L499" s="15"/>
      <c r="AB499" s="15"/>
      <c r="AC499" s="15"/>
    </row>
    <row r="500" spans="9:29" ht="15.75" customHeight="1">
      <c r="I500" s="15"/>
      <c r="J500" s="15"/>
      <c r="L500" s="15"/>
      <c r="AB500" s="15"/>
      <c r="AC500" s="15"/>
    </row>
    <row r="501" spans="9:29" ht="15.75" customHeight="1">
      <c r="I501" s="15"/>
      <c r="J501" s="15"/>
      <c r="L501" s="15"/>
      <c r="AB501" s="15"/>
      <c r="AC501" s="15"/>
    </row>
    <row r="502" spans="9:29" ht="15.75" customHeight="1">
      <c r="I502" s="15"/>
      <c r="J502" s="15"/>
      <c r="L502" s="15"/>
      <c r="AB502" s="15"/>
      <c r="AC502" s="15"/>
    </row>
    <row r="503" spans="9:29" ht="15.75" customHeight="1">
      <c r="I503" s="15"/>
      <c r="J503" s="15"/>
      <c r="L503" s="15"/>
      <c r="AB503" s="15"/>
      <c r="AC503" s="15"/>
    </row>
    <row r="504" spans="9:29" ht="15.75" customHeight="1">
      <c r="I504" s="15"/>
      <c r="J504" s="15"/>
      <c r="L504" s="15"/>
      <c r="AB504" s="15"/>
      <c r="AC504" s="15"/>
    </row>
    <row r="505" spans="9:29" ht="15.75" customHeight="1">
      <c r="I505" s="15"/>
      <c r="J505" s="15"/>
      <c r="L505" s="15"/>
      <c r="AB505" s="15"/>
      <c r="AC505" s="15"/>
    </row>
    <row r="506" spans="9:29" ht="15.75" customHeight="1">
      <c r="I506" s="15"/>
      <c r="J506" s="15"/>
      <c r="L506" s="15"/>
      <c r="AB506" s="15"/>
      <c r="AC506" s="15"/>
    </row>
    <row r="507" spans="9:29" ht="15.75" customHeight="1">
      <c r="I507" s="15"/>
      <c r="J507" s="15"/>
      <c r="L507" s="15"/>
      <c r="AB507" s="15"/>
      <c r="AC507" s="15"/>
    </row>
    <row r="508" spans="9:29" ht="15.75" customHeight="1">
      <c r="I508" s="15"/>
      <c r="J508" s="15"/>
      <c r="L508" s="15"/>
      <c r="AB508" s="15"/>
      <c r="AC508" s="15"/>
    </row>
    <row r="509" spans="9:29" ht="15.75" customHeight="1">
      <c r="I509" s="15"/>
      <c r="J509" s="15"/>
      <c r="L509" s="15"/>
      <c r="AB509" s="15"/>
      <c r="AC509" s="15"/>
    </row>
    <row r="510" spans="9:29" ht="15.75" customHeight="1">
      <c r="I510" s="15"/>
      <c r="J510" s="15"/>
      <c r="L510" s="15"/>
      <c r="AB510" s="15"/>
      <c r="AC510" s="15"/>
    </row>
    <row r="511" spans="9:29" ht="15.75" customHeight="1">
      <c r="I511" s="15"/>
      <c r="J511" s="15"/>
      <c r="L511" s="15"/>
      <c r="AB511" s="15"/>
      <c r="AC511" s="15"/>
    </row>
    <row r="512" spans="9:29" ht="15.75" customHeight="1">
      <c r="I512" s="15"/>
      <c r="J512" s="15"/>
      <c r="L512" s="15"/>
      <c r="AB512" s="15"/>
      <c r="AC512" s="15"/>
    </row>
    <row r="513" spans="9:29" ht="15.75" customHeight="1">
      <c r="I513" s="15"/>
      <c r="J513" s="15"/>
      <c r="L513" s="15"/>
      <c r="AB513" s="15"/>
      <c r="AC513" s="15"/>
    </row>
    <row r="514" spans="9:29" ht="15.75" customHeight="1">
      <c r="I514" s="15"/>
      <c r="J514" s="15"/>
      <c r="L514" s="15"/>
      <c r="AB514" s="15"/>
      <c r="AC514" s="15"/>
    </row>
    <row r="515" spans="9:29" ht="15.75" customHeight="1">
      <c r="I515" s="15"/>
      <c r="J515" s="15"/>
      <c r="L515" s="15"/>
      <c r="AB515" s="15"/>
      <c r="AC515" s="15"/>
    </row>
    <row r="516" spans="9:29" ht="15.75" customHeight="1">
      <c r="I516" s="15"/>
      <c r="J516" s="15"/>
      <c r="L516" s="15"/>
      <c r="AB516" s="15"/>
      <c r="AC516" s="15"/>
    </row>
    <row r="517" spans="9:29" ht="15.75" customHeight="1">
      <c r="I517" s="15"/>
      <c r="J517" s="15"/>
      <c r="L517" s="15"/>
      <c r="AB517" s="15"/>
      <c r="AC517" s="15"/>
    </row>
    <row r="518" spans="9:29" ht="15.75" customHeight="1">
      <c r="I518" s="15"/>
      <c r="J518" s="15"/>
      <c r="L518" s="15"/>
      <c r="AB518" s="15"/>
      <c r="AC518" s="15"/>
    </row>
    <row r="519" spans="9:29" ht="15.75" customHeight="1">
      <c r="I519" s="15"/>
      <c r="J519" s="15"/>
      <c r="L519" s="15"/>
      <c r="AB519" s="15"/>
      <c r="AC519" s="15"/>
    </row>
    <row r="520" spans="9:29" ht="15.75" customHeight="1">
      <c r="I520" s="15"/>
      <c r="J520" s="15"/>
      <c r="L520" s="15"/>
      <c r="AB520" s="15"/>
      <c r="AC520" s="15"/>
    </row>
    <row r="521" spans="9:29" ht="15.75" customHeight="1">
      <c r="I521" s="15"/>
      <c r="J521" s="15"/>
      <c r="L521" s="15"/>
      <c r="AB521" s="15"/>
      <c r="AC521" s="15"/>
    </row>
    <row r="522" spans="9:29" ht="15.75" customHeight="1">
      <c r="I522" s="15"/>
      <c r="J522" s="15"/>
      <c r="L522" s="15"/>
      <c r="AB522" s="15"/>
      <c r="AC522" s="15"/>
    </row>
    <row r="523" spans="9:29" ht="15.75" customHeight="1">
      <c r="I523" s="15"/>
      <c r="J523" s="15"/>
      <c r="L523" s="15"/>
      <c r="AB523" s="15"/>
      <c r="AC523" s="15"/>
    </row>
    <row r="524" spans="9:29" ht="15.75" customHeight="1">
      <c r="I524" s="15"/>
      <c r="J524" s="15"/>
      <c r="L524" s="15"/>
      <c r="AB524" s="15"/>
      <c r="AC524" s="15"/>
    </row>
    <row r="525" spans="9:29" ht="15.75" customHeight="1">
      <c r="I525" s="15"/>
      <c r="J525" s="15"/>
      <c r="L525" s="15"/>
      <c r="AB525" s="15"/>
      <c r="AC525" s="15"/>
    </row>
    <row r="526" spans="9:29" ht="15.75" customHeight="1">
      <c r="I526" s="15"/>
      <c r="J526" s="15"/>
      <c r="L526" s="15"/>
      <c r="AB526" s="15"/>
      <c r="AC526" s="15"/>
    </row>
    <row r="527" spans="9:29" ht="15.75" customHeight="1">
      <c r="I527" s="15"/>
      <c r="J527" s="15"/>
      <c r="L527" s="15"/>
      <c r="AB527" s="15"/>
      <c r="AC527" s="15"/>
    </row>
    <row r="528" spans="9:29" ht="15.75" customHeight="1">
      <c r="I528" s="15"/>
      <c r="J528" s="15"/>
      <c r="L528" s="15"/>
      <c r="AB528" s="15"/>
      <c r="AC528" s="15"/>
    </row>
    <row r="529" spans="9:29" ht="15.75" customHeight="1">
      <c r="I529" s="15"/>
      <c r="J529" s="15"/>
      <c r="L529" s="15"/>
      <c r="AB529" s="15"/>
      <c r="AC529" s="15"/>
    </row>
    <row r="530" spans="9:29" ht="15.75" customHeight="1">
      <c r="I530" s="15"/>
      <c r="J530" s="15"/>
      <c r="L530" s="15"/>
      <c r="AB530" s="15"/>
      <c r="AC530" s="15"/>
    </row>
    <row r="531" spans="9:29" ht="15.75" customHeight="1">
      <c r="I531" s="15"/>
      <c r="J531" s="15"/>
      <c r="L531" s="15"/>
      <c r="AB531" s="15"/>
      <c r="AC531" s="15"/>
    </row>
    <row r="532" spans="9:29" ht="15.75" customHeight="1">
      <c r="I532" s="15"/>
      <c r="J532" s="15"/>
      <c r="L532" s="15"/>
      <c r="AB532" s="15"/>
      <c r="AC532" s="15"/>
    </row>
    <row r="533" spans="9:29" ht="15.75" customHeight="1">
      <c r="I533" s="15"/>
      <c r="J533" s="15"/>
      <c r="L533" s="15"/>
      <c r="AB533" s="15"/>
      <c r="AC533" s="15"/>
    </row>
    <row r="534" spans="9:29" ht="15.75" customHeight="1">
      <c r="I534" s="15"/>
      <c r="J534" s="15"/>
      <c r="L534" s="15"/>
      <c r="AB534" s="15"/>
      <c r="AC534" s="15"/>
    </row>
    <row r="535" spans="9:29" ht="15.75" customHeight="1">
      <c r="I535" s="15"/>
      <c r="J535" s="15"/>
      <c r="L535" s="15"/>
      <c r="AB535" s="15"/>
      <c r="AC535" s="15"/>
    </row>
    <row r="536" spans="9:29" ht="15.75" customHeight="1">
      <c r="I536" s="15"/>
      <c r="J536" s="15"/>
      <c r="L536" s="15"/>
      <c r="AB536" s="15"/>
      <c r="AC536" s="15"/>
    </row>
    <row r="537" spans="9:29" ht="15.75" customHeight="1">
      <c r="I537" s="15"/>
      <c r="J537" s="15"/>
      <c r="L537" s="15"/>
      <c r="AB537" s="15"/>
      <c r="AC537" s="15"/>
    </row>
    <row r="538" spans="9:29" ht="15.75" customHeight="1">
      <c r="I538" s="15"/>
      <c r="J538" s="15"/>
      <c r="L538" s="15"/>
      <c r="AB538" s="15"/>
      <c r="AC538" s="15"/>
    </row>
    <row r="539" spans="9:29" ht="15.75" customHeight="1">
      <c r="I539" s="15"/>
      <c r="J539" s="15"/>
      <c r="L539" s="15"/>
      <c r="AB539" s="15"/>
      <c r="AC539" s="15"/>
    </row>
    <row r="540" spans="9:29" ht="15.75" customHeight="1">
      <c r="I540" s="15"/>
      <c r="J540" s="15"/>
      <c r="L540" s="15"/>
      <c r="AB540" s="15"/>
      <c r="AC540" s="15"/>
    </row>
    <row r="541" spans="9:29" ht="15.75" customHeight="1">
      <c r="I541" s="15"/>
      <c r="J541" s="15"/>
      <c r="L541" s="15"/>
      <c r="AB541" s="15"/>
      <c r="AC541" s="15"/>
    </row>
    <row r="542" spans="9:29" ht="15.75" customHeight="1">
      <c r="I542" s="15"/>
      <c r="J542" s="15"/>
      <c r="L542" s="15"/>
      <c r="AB542" s="15"/>
      <c r="AC542" s="15"/>
    </row>
    <row r="543" spans="9:29" ht="15.75" customHeight="1">
      <c r="I543" s="15"/>
      <c r="J543" s="15"/>
      <c r="L543" s="15"/>
      <c r="AB543" s="15"/>
      <c r="AC543" s="15"/>
    </row>
    <row r="544" spans="9:29" ht="15.75" customHeight="1">
      <c r="I544" s="15"/>
      <c r="J544" s="15"/>
      <c r="L544" s="15"/>
      <c r="AB544" s="15"/>
      <c r="AC544" s="15"/>
    </row>
    <row r="545" spans="9:29" ht="15.75" customHeight="1">
      <c r="I545" s="15"/>
      <c r="J545" s="15"/>
      <c r="L545" s="15"/>
      <c r="AB545" s="15"/>
      <c r="AC545" s="15"/>
    </row>
    <row r="546" spans="9:29" ht="15.75" customHeight="1">
      <c r="I546" s="15"/>
      <c r="J546" s="15"/>
      <c r="L546" s="15"/>
      <c r="AB546" s="15"/>
      <c r="AC546" s="15"/>
    </row>
    <row r="547" spans="9:29" ht="15.75" customHeight="1">
      <c r="I547" s="15"/>
      <c r="J547" s="15"/>
      <c r="L547" s="15"/>
      <c r="AB547" s="15"/>
      <c r="AC547" s="15"/>
    </row>
    <row r="548" spans="9:29" ht="15.75" customHeight="1">
      <c r="I548" s="15"/>
      <c r="J548" s="15"/>
      <c r="L548" s="15"/>
      <c r="AB548" s="15"/>
      <c r="AC548" s="15"/>
    </row>
    <row r="549" spans="9:29" ht="15.75" customHeight="1">
      <c r="I549" s="15"/>
      <c r="J549" s="15"/>
      <c r="L549" s="15"/>
      <c r="AB549" s="15"/>
      <c r="AC549" s="15"/>
    </row>
    <row r="550" spans="9:29" ht="15.75" customHeight="1">
      <c r="I550" s="15"/>
      <c r="J550" s="15"/>
      <c r="L550" s="15"/>
      <c r="AB550" s="15"/>
      <c r="AC550" s="15"/>
    </row>
    <row r="551" spans="9:29" ht="15.75" customHeight="1">
      <c r="I551" s="15"/>
      <c r="J551" s="15"/>
      <c r="L551" s="15"/>
      <c r="AB551" s="15"/>
      <c r="AC551" s="15"/>
    </row>
    <row r="552" spans="9:29" ht="15.75" customHeight="1">
      <c r="I552" s="15"/>
      <c r="J552" s="15"/>
      <c r="L552" s="15"/>
      <c r="AB552" s="15"/>
      <c r="AC552" s="15"/>
    </row>
    <row r="553" spans="9:29" ht="15.75" customHeight="1">
      <c r="I553" s="15"/>
      <c r="J553" s="15"/>
      <c r="L553" s="15"/>
      <c r="AB553" s="15"/>
      <c r="AC553" s="15"/>
    </row>
    <row r="554" spans="9:29" ht="15.75" customHeight="1">
      <c r="I554" s="15"/>
      <c r="J554" s="15"/>
      <c r="L554" s="15"/>
      <c r="AB554" s="15"/>
      <c r="AC554" s="15"/>
    </row>
    <row r="555" spans="9:29" ht="15.75" customHeight="1">
      <c r="I555" s="15"/>
      <c r="J555" s="15"/>
      <c r="L555" s="15"/>
      <c r="AB555" s="15"/>
      <c r="AC555" s="15"/>
    </row>
    <row r="556" spans="9:29" ht="15.75" customHeight="1">
      <c r="I556" s="15"/>
      <c r="J556" s="15"/>
      <c r="L556" s="15"/>
      <c r="AB556" s="15"/>
      <c r="AC556" s="15"/>
    </row>
    <row r="557" spans="9:29" ht="15.75" customHeight="1">
      <c r="I557" s="15"/>
      <c r="J557" s="15"/>
      <c r="L557" s="15"/>
      <c r="AB557" s="15"/>
      <c r="AC557" s="15"/>
    </row>
    <row r="558" spans="9:29" ht="15.75" customHeight="1">
      <c r="I558" s="15"/>
      <c r="J558" s="15"/>
      <c r="L558" s="15"/>
      <c r="AB558" s="15"/>
      <c r="AC558" s="15"/>
    </row>
    <row r="559" spans="9:29" ht="15.75" customHeight="1">
      <c r="I559" s="15"/>
      <c r="J559" s="15"/>
      <c r="L559" s="15"/>
      <c r="AB559" s="15"/>
      <c r="AC559" s="15"/>
    </row>
    <row r="560" spans="9:29" ht="15.75" customHeight="1">
      <c r="I560" s="15"/>
      <c r="J560" s="15"/>
      <c r="L560" s="15"/>
      <c r="AB560" s="15"/>
      <c r="AC560" s="15"/>
    </row>
    <row r="561" spans="9:29" ht="15.75" customHeight="1">
      <c r="I561" s="15"/>
      <c r="J561" s="15"/>
      <c r="L561" s="15"/>
      <c r="AB561" s="15"/>
      <c r="AC561" s="15"/>
    </row>
    <row r="562" spans="9:29" ht="15.75" customHeight="1">
      <c r="I562" s="15"/>
      <c r="J562" s="15"/>
      <c r="L562" s="15"/>
      <c r="AB562" s="15"/>
      <c r="AC562" s="15"/>
    </row>
    <row r="563" spans="9:29" ht="15.75" customHeight="1">
      <c r="I563" s="15"/>
      <c r="J563" s="15"/>
      <c r="L563" s="15"/>
      <c r="AB563" s="15"/>
      <c r="AC563" s="15"/>
    </row>
    <row r="564" spans="9:29" ht="15.75" customHeight="1">
      <c r="I564" s="15"/>
      <c r="J564" s="15"/>
      <c r="L564" s="15"/>
      <c r="AB564" s="15"/>
      <c r="AC564" s="15"/>
    </row>
    <row r="565" spans="9:29" ht="15.75" customHeight="1">
      <c r="I565" s="15"/>
      <c r="J565" s="15"/>
      <c r="L565" s="15"/>
      <c r="AB565" s="15"/>
      <c r="AC565" s="15"/>
    </row>
    <row r="566" spans="9:29" ht="15.75" customHeight="1">
      <c r="I566" s="15"/>
      <c r="J566" s="15"/>
      <c r="L566" s="15"/>
      <c r="AB566" s="15"/>
      <c r="AC566" s="15"/>
    </row>
    <row r="567" spans="9:29" ht="15.75" customHeight="1">
      <c r="I567" s="15"/>
      <c r="J567" s="15"/>
      <c r="L567" s="15"/>
      <c r="AB567" s="15"/>
      <c r="AC567" s="15"/>
    </row>
    <row r="568" spans="9:29" ht="15.75" customHeight="1">
      <c r="I568" s="15"/>
      <c r="J568" s="15"/>
      <c r="L568" s="15"/>
      <c r="AB568" s="15"/>
      <c r="AC568" s="15"/>
    </row>
    <row r="569" spans="9:29" ht="15.75" customHeight="1">
      <c r="I569" s="15"/>
      <c r="J569" s="15"/>
      <c r="L569" s="15"/>
      <c r="AB569" s="15"/>
      <c r="AC569" s="15"/>
    </row>
    <row r="570" spans="9:29" ht="15.75" customHeight="1">
      <c r="I570" s="15"/>
      <c r="J570" s="15"/>
      <c r="L570" s="15"/>
      <c r="AB570" s="15"/>
      <c r="AC570" s="15"/>
    </row>
    <row r="571" spans="9:29" ht="15.75" customHeight="1">
      <c r="I571" s="15"/>
      <c r="J571" s="15"/>
      <c r="L571" s="15"/>
      <c r="AB571" s="15"/>
      <c r="AC571" s="15"/>
    </row>
    <row r="572" spans="9:29" ht="15.75" customHeight="1">
      <c r="I572" s="15"/>
      <c r="J572" s="15"/>
      <c r="L572" s="15"/>
      <c r="AB572" s="15"/>
      <c r="AC572" s="15"/>
    </row>
    <row r="573" spans="9:29" ht="15.75" customHeight="1">
      <c r="I573" s="15"/>
      <c r="J573" s="15"/>
      <c r="L573" s="15"/>
      <c r="AB573" s="15"/>
      <c r="AC573" s="15"/>
    </row>
    <row r="574" spans="9:29" ht="15.75" customHeight="1">
      <c r="I574" s="15"/>
      <c r="J574" s="15"/>
      <c r="L574" s="15"/>
      <c r="AB574" s="15"/>
      <c r="AC574" s="15"/>
    </row>
    <row r="575" spans="9:29" ht="15.75" customHeight="1">
      <c r="I575" s="15"/>
      <c r="J575" s="15"/>
      <c r="L575" s="15"/>
      <c r="AB575" s="15"/>
      <c r="AC575" s="15"/>
    </row>
    <row r="576" spans="9:29" ht="15.75" customHeight="1">
      <c r="I576" s="15"/>
      <c r="J576" s="15"/>
      <c r="L576" s="15"/>
      <c r="AB576" s="15"/>
      <c r="AC576" s="15"/>
    </row>
    <row r="577" spans="9:29" ht="15.75" customHeight="1">
      <c r="I577" s="15"/>
      <c r="J577" s="15"/>
      <c r="L577" s="15"/>
      <c r="AB577" s="15"/>
      <c r="AC577" s="15"/>
    </row>
    <row r="578" spans="9:29" ht="15.75" customHeight="1">
      <c r="I578" s="15"/>
      <c r="J578" s="15"/>
      <c r="L578" s="15"/>
      <c r="AB578" s="15"/>
      <c r="AC578" s="15"/>
    </row>
    <row r="579" spans="9:29" ht="15.75" customHeight="1">
      <c r="I579" s="15"/>
      <c r="J579" s="15"/>
      <c r="L579" s="15"/>
      <c r="AB579" s="15"/>
      <c r="AC579" s="15"/>
    </row>
    <row r="580" spans="9:29" ht="15.75" customHeight="1">
      <c r="I580" s="15"/>
      <c r="J580" s="15"/>
      <c r="L580" s="15"/>
      <c r="AB580" s="15"/>
      <c r="AC580" s="15"/>
    </row>
    <row r="581" spans="9:29" ht="15.75" customHeight="1">
      <c r="I581" s="15"/>
      <c r="J581" s="15"/>
      <c r="L581" s="15"/>
      <c r="AB581" s="15"/>
      <c r="AC581" s="15"/>
    </row>
    <row r="582" spans="9:29" ht="15.75" customHeight="1">
      <c r="I582" s="15"/>
      <c r="J582" s="15"/>
      <c r="L582" s="15"/>
      <c r="AB582" s="15"/>
      <c r="AC582" s="15"/>
    </row>
    <row r="583" spans="9:29" ht="15.75" customHeight="1">
      <c r="I583" s="15"/>
      <c r="J583" s="15"/>
      <c r="L583" s="15"/>
      <c r="AB583" s="15"/>
      <c r="AC583" s="15"/>
    </row>
    <row r="584" spans="9:29" ht="15.75" customHeight="1">
      <c r="I584" s="15"/>
      <c r="J584" s="15"/>
      <c r="L584" s="15"/>
      <c r="AB584" s="15"/>
      <c r="AC584" s="15"/>
    </row>
    <row r="585" spans="9:29" ht="15.75" customHeight="1">
      <c r="I585" s="15"/>
      <c r="J585" s="15"/>
      <c r="L585" s="15"/>
      <c r="AB585" s="15"/>
      <c r="AC585" s="15"/>
    </row>
    <row r="586" spans="9:29" ht="15.75" customHeight="1">
      <c r="I586" s="15"/>
      <c r="J586" s="15"/>
      <c r="L586" s="15"/>
      <c r="AB586" s="15"/>
      <c r="AC586" s="15"/>
    </row>
    <row r="587" spans="9:29" ht="15.75" customHeight="1">
      <c r="I587" s="15"/>
      <c r="J587" s="15"/>
      <c r="L587" s="15"/>
      <c r="AB587" s="15"/>
      <c r="AC587" s="15"/>
    </row>
    <row r="588" spans="9:29" ht="15.75" customHeight="1">
      <c r="I588" s="15"/>
      <c r="J588" s="15"/>
      <c r="L588" s="15"/>
      <c r="AB588" s="15"/>
      <c r="AC588" s="15"/>
    </row>
    <row r="589" spans="9:29" ht="15.75" customHeight="1">
      <c r="I589" s="15"/>
      <c r="J589" s="15"/>
      <c r="L589" s="15"/>
      <c r="AB589" s="15"/>
      <c r="AC589" s="15"/>
    </row>
    <row r="590" spans="9:29" ht="15.75" customHeight="1">
      <c r="I590" s="15"/>
      <c r="J590" s="15"/>
      <c r="L590" s="15"/>
      <c r="AB590" s="15"/>
      <c r="AC590" s="15"/>
    </row>
    <row r="591" spans="9:29" ht="15.75" customHeight="1">
      <c r="I591" s="15"/>
      <c r="J591" s="15"/>
      <c r="L591" s="15"/>
      <c r="AB591" s="15"/>
      <c r="AC591" s="15"/>
    </row>
    <row r="592" spans="9:29" ht="15.75" customHeight="1">
      <c r="I592" s="15"/>
      <c r="J592" s="15"/>
      <c r="L592" s="15"/>
      <c r="AB592" s="15"/>
      <c r="AC592" s="15"/>
    </row>
    <row r="593" spans="9:29" ht="15.75" customHeight="1">
      <c r="I593" s="15"/>
      <c r="J593" s="15"/>
      <c r="L593" s="15"/>
      <c r="AB593" s="15"/>
      <c r="AC593" s="15"/>
    </row>
    <row r="594" spans="9:29" ht="15.75" customHeight="1">
      <c r="I594" s="15"/>
      <c r="J594" s="15"/>
      <c r="L594" s="15"/>
      <c r="AB594" s="15"/>
      <c r="AC594" s="15"/>
    </row>
    <row r="595" spans="9:29" ht="15.75" customHeight="1">
      <c r="I595" s="15"/>
      <c r="J595" s="15"/>
      <c r="L595" s="15"/>
      <c r="AB595" s="15"/>
      <c r="AC595" s="15"/>
    </row>
    <row r="596" spans="9:29" ht="15.75" customHeight="1">
      <c r="I596" s="15"/>
      <c r="J596" s="15"/>
      <c r="L596" s="15"/>
      <c r="AB596" s="15"/>
      <c r="AC596" s="15"/>
    </row>
    <row r="597" spans="9:29" ht="15.75" customHeight="1">
      <c r="I597" s="15"/>
      <c r="J597" s="15"/>
      <c r="L597" s="15"/>
      <c r="AB597" s="15"/>
      <c r="AC597" s="15"/>
    </row>
    <row r="598" spans="9:29" ht="15.75" customHeight="1">
      <c r="I598" s="15"/>
      <c r="J598" s="15"/>
      <c r="L598" s="15"/>
      <c r="AB598" s="15"/>
      <c r="AC598" s="15"/>
    </row>
    <row r="599" spans="9:29" ht="15.75" customHeight="1">
      <c r="I599" s="15"/>
      <c r="J599" s="15"/>
      <c r="L599" s="15"/>
      <c r="AB599" s="15"/>
      <c r="AC599" s="15"/>
    </row>
    <row r="600" spans="9:29" ht="15.75" customHeight="1">
      <c r="I600" s="15"/>
      <c r="J600" s="15"/>
      <c r="L600" s="15"/>
      <c r="AB600" s="15"/>
      <c r="AC600" s="15"/>
    </row>
    <row r="601" spans="9:29" ht="15.75" customHeight="1">
      <c r="I601" s="15"/>
      <c r="J601" s="15"/>
      <c r="L601" s="15"/>
      <c r="AB601" s="15"/>
      <c r="AC601" s="15"/>
    </row>
    <row r="602" spans="9:29" ht="15.75" customHeight="1">
      <c r="I602" s="15"/>
      <c r="J602" s="15"/>
      <c r="L602" s="15"/>
      <c r="AB602" s="15"/>
      <c r="AC602" s="15"/>
    </row>
    <row r="603" spans="9:29" ht="15.75" customHeight="1">
      <c r="I603" s="15"/>
      <c r="J603" s="15"/>
      <c r="L603" s="15"/>
      <c r="AB603" s="15"/>
      <c r="AC603" s="15"/>
    </row>
    <row r="604" spans="9:29" ht="15.75" customHeight="1">
      <c r="I604" s="15"/>
      <c r="J604" s="15"/>
      <c r="L604" s="15"/>
      <c r="AB604" s="15"/>
      <c r="AC604" s="15"/>
    </row>
    <row r="605" spans="9:29" ht="15.75" customHeight="1">
      <c r="I605" s="15"/>
      <c r="J605" s="15"/>
      <c r="L605" s="15"/>
      <c r="AB605" s="15"/>
      <c r="AC605" s="15"/>
    </row>
    <row r="606" spans="9:29" ht="15.75" customHeight="1">
      <c r="I606" s="15"/>
      <c r="J606" s="15"/>
      <c r="L606" s="15"/>
      <c r="AB606" s="15"/>
      <c r="AC606" s="15"/>
    </row>
    <row r="607" spans="9:29" ht="15.75" customHeight="1">
      <c r="I607" s="15"/>
      <c r="J607" s="15"/>
      <c r="L607" s="15"/>
      <c r="AB607" s="15"/>
      <c r="AC607" s="15"/>
    </row>
    <row r="608" spans="9:29" ht="15.75" customHeight="1">
      <c r="I608" s="15"/>
      <c r="J608" s="15"/>
      <c r="L608" s="15"/>
      <c r="AB608" s="15"/>
      <c r="AC608" s="15"/>
    </row>
    <row r="609" spans="9:29" ht="15.75" customHeight="1">
      <c r="I609" s="15"/>
      <c r="J609" s="15"/>
      <c r="L609" s="15"/>
      <c r="AB609" s="15"/>
      <c r="AC609" s="15"/>
    </row>
    <row r="610" spans="9:29" ht="15.75" customHeight="1">
      <c r="I610" s="15"/>
      <c r="J610" s="15"/>
      <c r="L610" s="15"/>
      <c r="AB610" s="15"/>
      <c r="AC610" s="15"/>
    </row>
    <row r="611" spans="9:29" ht="15.75" customHeight="1">
      <c r="I611" s="15"/>
      <c r="J611" s="15"/>
      <c r="L611" s="15"/>
      <c r="AB611" s="15"/>
      <c r="AC611" s="15"/>
    </row>
    <row r="612" spans="9:29" ht="15.75" customHeight="1">
      <c r="I612" s="15"/>
      <c r="J612" s="15"/>
      <c r="L612" s="15"/>
      <c r="AB612" s="15"/>
      <c r="AC612" s="15"/>
    </row>
    <row r="613" spans="9:29" ht="15.75" customHeight="1">
      <c r="I613" s="15"/>
      <c r="J613" s="15"/>
      <c r="L613" s="15"/>
      <c r="AB613" s="15"/>
      <c r="AC613" s="15"/>
    </row>
    <row r="614" spans="9:29" ht="15.75" customHeight="1">
      <c r="I614" s="15"/>
      <c r="J614" s="15"/>
      <c r="L614" s="15"/>
      <c r="AB614" s="15"/>
      <c r="AC614" s="15"/>
    </row>
    <row r="615" spans="9:29" ht="15.75" customHeight="1">
      <c r="I615" s="15"/>
      <c r="J615" s="15"/>
      <c r="L615" s="15"/>
      <c r="AB615" s="15"/>
      <c r="AC615" s="15"/>
    </row>
    <row r="616" spans="9:29" ht="15.75" customHeight="1">
      <c r="I616" s="15"/>
      <c r="J616" s="15"/>
      <c r="L616" s="15"/>
      <c r="AB616" s="15"/>
      <c r="AC616" s="15"/>
    </row>
    <row r="617" spans="9:29" ht="15.75" customHeight="1">
      <c r="I617" s="15"/>
      <c r="J617" s="15"/>
      <c r="L617" s="15"/>
      <c r="AB617" s="15"/>
      <c r="AC617" s="15"/>
    </row>
    <row r="618" spans="9:29" ht="15.75" customHeight="1">
      <c r="I618" s="15"/>
      <c r="J618" s="15"/>
      <c r="L618" s="15"/>
      <c r="AB618" s="15"/>
      <c r="AC618" s="15"/>
    </row>
    <row r="619" spans="9:29" ht="15.75" customHeight="1">
      <c r="I619" s="15"/>
      <c r="J619" s="15"/>
      <c r="L619" s="15"/>
      <c r="AB619" s="15"/>
      <c r="AC619" s="15"/>
    </row>
    <row r="620" spans="9:29" ht="15.75" customHeight="1">
      <c r="I620" s="15"/>
      <c r="J620" s="15"/>
      <c r="L620" s="15"/>
      <c r="AB620" s="15"/>
      <c r="AC620" s="15"/>
    </row>
    <row r="621" spans="9:29" ht="15.75" customHeight="1">
      <c r="I621" s="15"/>
      <c r="J621" s="15"/>
      <c r="L621" s="15"/>
      <c r="AB621" s="15"/>
      <c r="AC621" s="15"/>
    </row>
    <row r="622" spans="9:29" ht="15.75" customHeight="1">
      <c r="I622" s="15"/>
      <c r="J622" s="15"/>
      <c r="L622" s="15"/>
      <c r="AB622" s="15"/>
      <c r="AC622" s="15"/>
    </row>
    <row r="623" spans="9:29" ht="15.75" customHeight="1">
      <c r="I623" s="15"/>
      <c r="J623" s="15"/>
      <c r="L623" s="15"/>
      <c r="AB623" s="15"/>
      <c r="AC623" s="15"/>
    </row>
    <row r="624" spans="9:29" ht="15.75" customHeight="1">
      <c r="I624" s="15"/>
      <c r="J624" s="15"/>
      <c r="L624" s="15"/>
      <c r="AB624" s="15"/>
      <c r="AC624" s="15"/>
    </row>
    <row r="625" spans="9:29" ht="15.75" customHeight="1">
      <c r="I625" s="15"/>
      <c r="J625" s="15"/>
      <c r="L625" s="15"/>
      <c r="AB625" s="15"/>
      <c r="AC625" s="15"/>
    </row>
    <row r="626" spans="9:29" ht="15.75" customHeight="1">
      <c r="I626" s="15"/>
      <c r="J626" s="15"/>
      <c r="L626" s="15"/>
      <c r="AB626" s="15"/>
      <c r="AC626" s="15"/>
    </row>
    <row r="627" spans="9:29" ht="15.75" customHeight="1">
      <c r="I627" s="15"/>
      <c r="J627" s="15"/>
      <c r="L627" s="15"/>
      <c r="AB627" s="15"/>
      <c r="AC627" s="15"/>
    </row>
    <row r="628" spans="9:29" ht="15.75" customHeight="1">
      <c r="I628" s="15"/>
      <c r="J628" s="15"/>
      <c r="L628" s="15"/>
      <c r="AB628" s="15"/>
      <c r="AC628" s="15"/>
    </row>
    <row r="629" spans="9:29" ht="15.75" customHeight="1">
      <c r="I629" s="15"/>
      <c r="J629" s="15"/>
      <c r="L629" s="15"/>
      <c r="AB629" s="15"/>
      <c r="AC629" s="15"/>
    </row>
    <row r="630" spans="9:29" ht="15.75" customHeight="1">
      <c r="I630" s="15"/>
      <c r="J630" s="15"/>
      <c r="L630" s="15"/>
      <c r="AB630" s="15"/>
      <c r="AC630" s="15"/>
    </row>
    <row r="631" spans="9:29" ht="15.75" customHeight="1">
      <c r="I631" s="15"/>
      <c r="J631" s="15"/>
      <c r="L631" s="15"/>
      <c r="AB631" s="15"/>
      <c r="AC631" s="15"/>
    </row>
    <row r="632" spans="9:29" ht="15.75" customHeight="1">
      <c r="I632" s="15"/>
      <c r="J632" s="15"/>
      <c r="L632" s="15"/>
      <c r="AB632" s="15"/>
      <c r="AC632" s="15"/>
    </row>
    <row r="633" spans="9:29" ht="15.75" customHeight="1">
      <c r="I633" s="15"/>
      <c r="J633" s="15"/>
      <c r="L633" s="15"/>
      <c r="AB633" s="15"/>
      <c r="AC633" s="15"/>
    </row>
    <row r="634" spans="9:29" ht="15.75" customHeight="1">
      <c r="I634" s="15"/>
      <c r="J634" s="15"/>
      <c r="L634" s="15"/>
      <c r="AB634" s="15"/>
      <c r="AC634" s="15"/>
    </row>
    <row r="635" spans="9:29" ht="15.75" customHeight="1">
      <c r="I635" s="15"/>
      <c r="J635" s="15"/>
      <c r="L635" s="15"/>
      <c r="AB635" s="15"/>
      <c r="AC635" s="15"/>
    </row>
    <row r="636" spans="9:29" ht="15.75" customHeight="1">
      <c r="I636" s="15"/>
      <c r="J636" s="15"/>
      <c r="L636" s="15"/>
      <c r="AB636" s="15"/>
      <c r="AC636" s="15"/>
    </row>
    <row r="637" spans="9:29" ht="15.75" customHeight="1">
      <c r="I637" s="15"/>
      <c r="J637" s="15"/>
      <c r="L637" s="15"/>
      <c r="AB637" s="15"/>
      <c r="AC637" s="15"/>
    </row>
    <row r="638" spans="9:29" ht="15.75" customHeight="1">
      <c r="I638" s="15"/>
      <c r="J638" s="15"/>
      <c r="L638" s="15"/>
      <c r="AB638" s="15"/>
      <c r="AC638" s="15"/>
    </row>
    <row r="639" spans="9:29" ht="15.75" customHeight="1">
      <c r="I639" s="15"/>
      <c r="J639" s="15"/>
      <c r="L639" s="15"/>
      <c r="AB639" s="15"/>
      <c r="AC639" s="15"/>
    </row>
    <row r="640" spans="9:29" ht="15.75" customHeight="1">
      <c r="I640" s="15"/>
      <c r="J640" s="15"/>
      <c r="L640" s="15"/>
      <c r="AB640" s="15"/>
      <c r="AC640" s="15"/>
    </row>
    <row r="641" spans="9:29" ht="15.75" customHeight="1">
      <c r="I641" s="15"/>
      <c r="J641" s="15"/>
      <c r="L641" s="15"/>
      <c r="AB641" s="15"/>
      <c r="AC641" s="15"/>
    </row>
    <row r="642" spans="9:29" ht="15.75" customHeight="1">
      <c r="I642" s="15"/>
      <c r="J642" s="15"/>
      <c r="L642" s="15"/>
      <c r="AB642" s="15"/>
      <c r="AC642" s="15"/>
    </row>
    <row r="643" spans="9:29" ht="15.75" customHeight="1">
      <c r="I643" s="15"/>
      <c r="J643" s="15"/>
      <c r="L643" s="15"/>
      <c r="AB643" s="15"/>
      <c r="AC643" s="15"/>
    </row>
    <row r="644" spans="9:29" ht="15.75" customHeight="1">
      <c r="I644" s="15"/>
      <c r="J644" s="15"/>
      <c r="L644" s="15"/>
      <c r="AB644" s="15"/>
      <c r="AC644" s="15"/>
    </row>
    <row r="645" spans="9:29" ht="15.75" customHeight="1">
      <c r="I645" s="15"/>
      <c r="J645" s="15"/>
      <c r="L645" s="15"/>
      <c r="AB645" s="15"/>
      <c r="AC645" s="15"/>
    </row>
    <row r="646" spans="9:29" ht="15.75" customHeight="1">
      <c r="I646" s="15"/>
      <c r="J646" s="15"/>
      <c r="L646" s="15"/>
      <c r="AB646" s="15"/>
      <c r="AC646" s="15"/>
    </row>
    <row r="647" spans="9:29" ht="15.75" customHeight="1">
      <c r="I647" s="15"/>
      <c r="J647" s="15"/>
      <c r="L647" s="15"/>
      <c r="AB647" s="15"/>
      <c r="AC647" s="15"/>
    </row>
    <row r="648" spans="9:29" ht="15.75" customHeight="1">
      <c r="I648" s="15"/>
      <c r="J648" s="15"/>
      <c r="L648" s="15"/>
      <c r="AB648" s="15"/>
      <c r="AC648" s="15"/>
    </row>
    <row r="649" spans="9:29" ht="15.75" customHeight="1">
      <c r="I649" s="15"/>
      <c r="J649" s="15"/>
      <c r="L649" s="15"/>
      <c r="AB649" s="15"/>
      <c r="AC649" s="15"/>
    </row>
    <row r="650" spans="9:29" ht="15.75" customHeight="1">
      <c r="I650" s="15"/>
      <c r="J650" s="15"/>
      <c r="L650" s="15"/>
      <c r="AB650" s="15"/>
      <c r="AC650" s="15"/>
    </row>
    <row r="651" spans="9:29" ht="15.75" customHeight="1">
      <c r="I651" s="15"/>
      <c r="J651" s="15"/>
      <c r="L651" s="15"/>
      <c r="AB651" s="15"/>
      <c r="AC651" s="15"/>
    </row>
    <row r="652" spans="9:29" ht="15.75" customHeight="1">
      <c r="I652" s="15"/>
      <c r="J652" s="15"/>
      <c r="L652" s="15"/>
      <c r="AB652" s="15"/>
      <c r="AC652" s="15"/>
    </row>
    <row r="653" spans="9:29" ht="15.75" customHeight="1">
      <c r="I653" s="15"/>
      <c r="J653" s="15"/>
      <c r="L653" s="15"/>
      <c r="AB653" s="15"/>
      <c r="AC653" s="15"/>
    </row>
    <row r="654" spans="9:29" ht="15.75" customHeight="1">
      <c r="I654" s="15"/>
      <c r="J654" s="15"/>
      <c r="L654" s="15"/>
      <c r="AB654" s="15"/>
      <c r="AC654" s="15"/>
    </row>
    <row r="655" spans="9:29" ht="15.75" customHeight="1">
      <c r="I655" s="15"/>
      <c r="J655" s="15"/>
      <c r="L655" s="15"/>
      <c r="AB655" s="15"/>
      <c r="AC655" s="15"/>
    </row>
    <row r="656" spans="9:29" ht="15.75" customHeight="1">
      <c r="I656" s="15"/>
      <c r="J656" s="15"/>
      <c r="L656" s="15"/>
      <c r="AB656" s="15"/>
      <c r="AC656" s="15"/>
    </row>
    <row r="657" spans="9:29" ht="15.75" customHeight="1">
      <c r="I657" s="15"/>
      <c r="J657" s="15"/>
      <c r="L657" s="15"/>
      <c r="AB657" s="15"/>
      <c r="AC657" s="15"/>
    </row>
    <row r="658" spans="9:29" ht="15.75" customHeight="1">
      <c r="I658" s="15"/>
      <c r="J658" s="15"/>
      <c r="L658" s="15"/>
      <c r="AB658" s="15"/>
      <c r="AC658" s="15"/>
    </row>
    <row r="659" spans="9:29" ht="15.75" customHeight="1">
      <c r="I659" s="15"/>
      <c r="J659" s="15"/>
      <c r="L659" s="15"/>
      <c r="AB659" s="15"/>
      <c r="AC659" s="15"/>
    </row>
    <row r="660" spans="9:29" ht="15.75" customHeight="1">
      <c r="I660" s="15"/>
      <c r="J660" s="15"/>
      <c r="L660" s="15"/>
      <c r="AB660" s="15"/>
      <c r="AC660" s="15"/>
    </row>
    <row r="661" spans="9:29" ht="15.75" customHeight="1">
      <c r="I661" s="15"/>
      <c r="J661" s="15"/>
      <c r="L661" s="15"/>
      <c r="AB661" s="15"/>
      <c r="AC661" s="15"/>
    </row>
    <row r="662" spans="9:29" ht="15.75" customHeight="1">
      <c r="I662" s="15"/>
      <c r="J662" s="15"/>
      <c r="L662" s="15"/>
      <c r="AB662" s="15"/>
      <c r="AC662" s="15"/>
    </row>
    <row r="663" spans="9:29" ht="15.75" customHeight="1">
      <c r="I663" s="15"/>
      <c r="J663" s="15"/>
      <c r="L663" s="15"/>
      <c r="AB663" s="15"/>
      <c r="AC663" s="15"/>
    </row>
    <row r="664" spans="9:29" ht="15.75" customHeight="1">
      <c r="I664" s="15"/>
      <c r="J664" s="15"/>
      <c r="L664" s="15"/>
      <c r="AB664" s="15"/>
      <c r="AC664" s="15"/>
    </row>
    <row r="665" spans="9:29" ht="15.75" customHeight="1">
      <c r="I665" s="15"/>
      <c r="J665" s="15"/>
      <c r="L665" s="15"/>
      <c r="AB665" s="15"/>
      <c r="AC665" s="15"/>
    </row>
    <row r="666" spans="9:29" ht="15.75" customHeight="1">
      <c r="I666" s="15"/>
      <c r="J666" s="15"/>
      <c r="L666" s="15"/>
      <c r="AB666" s="15"/>
      <c r="AC666" s="15"/>
    </row>
    <row r="667" spans="9:29" ht="15.75" customHeight="1">
      <c r="I667" s="15"/>
      <c r="J667" s="15"/>
      <c r="L667" s="15"/>
      <c r="AB667" s="15"/>
      <c r="AC667" s="15"/>
    </row>
    <row r="668" spans="9:29" ht="15.75" customHeight="1">
      <c r="I668" s="15"/>
      <c r="J668" s="15"/>
      <c r="L668" s="15"/>
      <c r="AB668" s="15"/>
      <c r="AC668" s="15"/>
    </row>
    <row r="669" spans="9:29" ht="15.75" customHeight="1">
      <c r="I669" s="15"/>
      <c r="J669" s="15"/>
      <c r="L669" s="15"/>
      <c r="AB669" s="15"/>
      <c r="AC669" s="15"/>
    </row>
    <row r="670" spans="9:29" ht="15.75" customHeight="1">
      <c r="I670" s="15"/>
      <c r="J670" s="15"/>
      <c r="L670" s="15"/>
      <c r="AB670" s="15"/>
      <c r="AC670" s="15"/>
    </row>
    <row r="671" spans="9:29" ht="15.75" customHeight="1">
      <c r="I671" s="15"/>
      <c r="J671" s="15"/>
      <c r="L671" s="15"/>
      <c r="AB671" s="15"/>
      <c r="AC671" s="15"/>
    </row>
    <row r="672" spans="9:29" ht="15.75" customHeight="1">
      <c r="I672" s="15"/>
      <c r="J672" s="15"/>
      <c r="L672" s="15"/>
      <c r="AB672" s="15"/>
      <c r="AC672" s="15"/>
    </row>
    <row r="673" spans="9:29" ht="15.75" customHeight="1">
      <c r="I673" s="15"/>
      <c r="J673" s="15"/>
      <c r="L673" s="15"/>
      <c r="AB673" s="15"/>
      <c r="AC673" s="15"/>
    </row>
    <row r="674" spans="9:29" ht="15.75" customHeight="1">
      <c r="I674" s="15"/>
      <c r="J674" s="15"/>
      <c r="L674" s="15"/>
      <c r="AB674" s="15"/>
      <c r="AC674" s="15"/>
    </row>
    <row r="675" spans="9:29" ht="15.75" customHeight="1">
      <c r="I675" s="15"/>
      <c r="J675" s="15"/>
      <c r="L675" s="15"/>
      <c r="AB675" s="15"/>
      <c r="AC675" s="15"/>
    </row>
    <row r="676" spans="9:29" ht="15.75" customHeight="1">
      <c r="I676" s="15"/>
      <c r="J676" s="15"/>
      <c r="L676" s="15"/>
      <c r="AB676" s="15"/>
      <c r="AC676" s="15"/>
    </row>
    <row r="677" spans="9:29" ht="15.75" customHeight="1">
      <c r="I677" s="15"/>
      <c r="J677" s="15"/>
      <c r="L677" s="15"/>
      <c r="AB677" s="15"/>
      <c r="AC677" s="15"/>
    </row>
    <row r="678" spans="9:29" ht="15.75" customHeight="1">
      <c r="I678" s="15"/>
      <c r="J678" s="15"/>
      <c r="L678" s="15"/>
      <c r="AB678" s="15"/>
      <c r="AC678" s="15"/>
    </row>
    <row r="679" spans="9:29" ht="15.75" customHeight="1">
      <c r="I679" s="15"/>
      <c r="J679" s="15"/>
      <c r="L679" s="15"/>
      <c r="AB679" s="15"/>
      <c r="AC679" s="15"/>
    </row>
    <row r="680" spans="9:29" ht="15.75" customHeight="1">
      <c r="I680" s="15"/>
      <c r="J680" s="15"/>
      <c r="L680" s="15"/>
      <c r="AB680" s="15"/>
      <c r="AC680" s="15"/>
    </row>
    <row r="681" spans="9:29" ht="15.75" customHeight="1">
      <c r="I681" s="15"/>
      <c r="J681" s="15"/>
      <c r="L681" s="15"/>
      <c r="AB681" s="15"/>
      <c r="AC681" s="15"/>
    </row>
    <row r="682" spans="9:29" ht="15.75" customHeight="1">
      <c r="I682" s="15"/>
      <c r="J682" s="15"/>
      <c r="L682" s="15"/>
      <c r="AB682" s="15"/>
      <c r="AC682" s="15"/>
    </row>
    <row r="683" spans="9:29" ht="15.75" customHeight="1">
      <c r="I683" s="15"/>
      <c r="J683" s="15"/>
      <c r="L683" s="15"/>
      <c r="AB683" s="15"/>
      <c r="AC683" s="15"/>
    </row>
    <row r="684" spans="9:29" ht="15.75" customHeight="1">
      <c r="I684" s="15"/>
      <c r="J684" s="15"/>
      <c r="L684" s="15"/>
      <c r="AB684" s="15"/>
      <c r="AC684" s="15"/>
    </row>
    <row r="685" spans="9:29" ht="15.75" customHeight="1">
      <c r="I685" s="15"/>
      <c r="J685" s="15"/>
      <c r="L685" s="15"/>
      <c r="AB685" s="15"/>
      <c r="AC685" s="15"/>
    </row>
    <row r="686" spans="9:29" ht="15.75" customHeight="1">
      <c r="I686" s="15"/>
      <c r="J686" s="15"/>
      <c r="L686" s="15"/>
      <c r="AB686" s="15"/>
      <c r="AC686" s="15"/>
    </row>
    <row r="687" spans="9:29" ht="15.75" customHeight="1">
      <c r="I687" s="15"/>
      <c r="J687" s="15"/>
      <c r="L687" s="15"/>
      <c r="AB687" s="15"/>
      <c r="AC687" s="15"/>
    </row>
    <row r="688" spans="9:29" ht="15.75" customHeight="1">
      <c r="I688" s="15"/>
      <c r="J688" s="15"/>
      <c r="L688" s="15"/>
      <c r="AB688" s="15"/>
      <c r="AC688" s="15"/>
    </row>
    <row r="689" spans="9:29" ht="15.75" customHeight="1">
      <c r="I689" s="15"/>
      <c r="J689" s="15"/>
      <c r="L689" s="15"/>
      <c r="AB689" s="15"/>
      <c r="AC689" s="15"/>
    </row>
    <row r="690" spans="9:29" ht="15.75" customHeight="1">
      <c r="I690" s="15"/>
      <c r="J690" s="15"/>
      <c r="L690" s="15"/>
      <c r="AB690" s="15"/>
      <c r="AC690" s="15"/>
    </row>
    <row r="691" spans="9:29" ht="15.75" customHeight="1">
      <c r="I691" s="15"/>
      <c r="J691" s="15"/>
      <c r="L691" s="15"/>
      <c r="AB691" s="15"/>
      <c r="AC691" s="15"/>
    </row>
    <row r="692" spans="9:29" ht="15.75" customHeight="1">
      <c r="I692" s="15"/>
      <c r="J692" s="15"/>
      <c r="L692" s="15"/>
      <c r="AB692" s="15"/>
      <c r="AC692" s="15"/>
    </row>
    <row r="693" spans="9:29" ht="15.75" customHeight="1">
      <c r="I693" s="15"/>
      <c r="J693" s="15"/>
      <c r="L693" s="15"/>
      <c r="AB693" s="15"/>
      <c r="AC693" s="15"/>
    </row>
    <row r="694" spans="9:29" ht="15.75" customHeight="1">
      <c r="I694" s="15"/>
      <c r="J694" s="15"/>
      <c r="L694" s="15"/>
      <c r="AB694" s="15"/>
      <c r="AC694" s="15"/>
    </row>
    <row r="695" spans="9:29" ht="15.75" customHeight="1">
      <c r="I695" s="15"/>
      <c r="J695" s="15"/>
      <c r="L695" s="15"/>
      <c r="AB695" s="15"/>
      <c r="AC695" s="15"/>
    </row>
    <row r="696" spans="9:29" ht="15.75" customHeight="1">
      <c r="I696" s="15"/>
      <c r="J696" s="15"/>
      <c r="L696" s="15"/>
      <c r="AB696" s="15"/>
      <c r="AC696" s="15"/>
    </row>
    <row r="697" spans="9:29" ht="15.75" customHeight="1">
      <c r="I697" s="15"/>
      <c r="J697" s="15"/>
      <c r="L697" s="15"/>
      <c r="AB697" s="15"/>
      <c r="AC697" s="15"/>
    </row>
    <row r="698" spans="9:29" ht="15.75" customHeight="1">
      <c r="I698" s="15"/>
      <c r="J698" s="15"/>
      <c r="L698" s="15"/>
      <c r="AB698" s="15"/>
      <c r="AC698" s="15"/>
    </row>
    <row r="699" spans="9:29" ht="15.75" customHeight="1">
      <c r="I699" s="15"/>
      <c r="J699" s="15"/>
      <c r="L699" s="15"/>
      <c r="AB699" s="15"/>
      <c r="AC699" s="15"/>
    </row>
    <row r="700" spans="9:29" ht="15.75" customHeight="1">
      <c r="I700" s="15"/>
      <c r="J700" s="15"/>
      <c r="L700" s="15"/>
      <c r="AB700" s="15"/>
      <c r="AC700" s="15"/>
    </row>
    <row r="701" spans="9:29" ht="15.75" customHeight="1">
      <c r="I701" s="15"/>
      <c r="J701" s="15"/>
      <c r="L701" s="15"/>
      <c r="AB701" s="15"/>
      <c r="AC701" s="15"/>
    </row>
    <row r="702" spans="9:29" ht="15.75" customHeight="1">
      <c r="I702" s="15"/>
      <c r="J702" s="15"/>
      <c r="L702" s="15"/>
      <c r="AB702" s="15"/>
      <c r="AC702" s="15"/>
    </row>
    <row r="703" spans="9:29" ht="15.75" customHeight="1">
      <c r="I703" s="15"/>
      <c r="J703" s="15"/>
      <c r="L703" s="15"/>
      <c r="AB703" s="15"/>
      <c r="AC703" s="15"/>
    </row>
    <row r="704" spans="9:29" ht="15.75" customHeight="1">
      <c r="I704" s="15"/>
      <c r="J704" s="15"/>
      <c r="L704" s="15"/>
      <c r="AB704" s="15"/>
      <c r="AC704" s="15"/>
    </row>
    <row r="705" spans="9:29" ht="15.75" customHeight="1">
      <c r="I705" s="15"/>
      <c r="J705" s="15"/>
      <c r="L705" s="15"/>
      <c r="AB705" s="15"/>
      <c r="AC705" s="15"/>
    </row>
    <row r="706" spans="9:29" ht="15.75" customHeight="1">
      <c r="I706" s="15"/>
      <c r="J706" s="15"/>
      <c r="L706" s="15"/>
      <c r="AB706" s="15"/>
      <c r="AC706" s="15"/>
    </row>
    <row r="707" spans="9:29" ht="15.75" customHeight="1">
      <c r="I707" s="15"/>
      <c r="J707" s="15"/>
      <c r="L707" s="15"/>
      <c r="AB707" s="15"/>
      <c r="AC707" s="15"/>
    </row>
    <row r="708" spans="9:29" ht="15.75" customHeight="1">
      <c r="I708" s="15"/>
      <c r="J708" s="15"/>
      <c r="L708" s="15"/>
      <c r="AB708" s="15"/>
      <c r="AC708" s="15"/>
    </row>
    <row r="709" spans="9:29" ht="15.75" customHeight="1">
      <c r="I709" s="15"/>
      <c r="J709" s="15"/>
      <c r="L709" s="15"/>
      <c r="AB709" s="15"/>
      <c r="AC709" s="15"/>
    </row>
    <row r="710" spans="9:29" ht="15.75" customHeight="1">
      <c r="I710" s="15"/>
      <c r="J710" s="15"/>
      <c r="L710" s="15"/>
      <c r="AB710" s="15"/>
      <c r="AC710" s="15"/>
    </row>
    <row r="711" spans="9:29" ht="15.75" customHeight="1">
      <c r="I711" s="15"/>
      <c r="J711" s="15"/>
      <c r="L711" s="15"/>
      <c r="AB711" s="15"/>
      <c r="AC711" s="15"/>
    </row>
    <row r="712" spans="9:29" ht="15.75" customHeight="1">
      <c r="I712" s="15"/>
      <c r="J712" s="15"/>
      <c r="L712" s="15"/>
      <c r="AB712" s="15"/>
      <c r="AC712" s="15"/>
    </row>
    <row r="713" spans="9:29" ht="15.75" customHeight="1">
      <c r="I713" s="15"/>
      <c r="J713" s="15"/>
      <c r="L713" s="15"/>
      <c r="AB713" s="15"/>
      <c r="AC713" s="15"/>
    </row>
    <row r="714" spans="9:29" ht="15.75" customHeight="1">
      <c r="I714" s="15"/>
      <c r="J714" s="15"/>
      <c r="L714" s="15"/>
      <c r="AB714" s="15"/>
      <c r="AC714" s="15"/>
    </row>
    <row r="715" spans="9:29" ht="15.75" customHeight="1">
      <c r="I715" s="15"/>
      <c r="J715" s="15"/>
      <c r="L715" s="15"/>
      <c r="AB715" s="15"/>
      <c r="AC715" s="15"/>
    </row>
    <row r="716" spans="9:29" ht="15.75" customHeight="1">
      <c r="I716" s="15"/>
      <c r="J716" s="15"/>
      <c r="L716" s="15"/>
      <c r="AB716" s="15"/>
      <c r="AC716" s="15"/>
    </row>
    <row r="717" spans="9:29" ht="15.75" customHeight="1">
      <c r="I717" s="15"/>
      <c r="J717" s="15"/>
      <c r="L717" s="15"/>
      <c r="AB717" s="15"/>
      <c r="AC717" s="15"/>
    </row>
    <row r="718" spans="9:29" ht="15.75" customHeight="1">
      <c r="I718" s="15"/>
      <c r="J718" s="15"/>
      <c r="L718" s="15"/>
      <c r="AB718" s="15"/>
      <c r="AC718" s="15"/>
    </row>
    <row r="719" spans="9:29" ht="15.75" customHeight="1">
      <c r="I719" s="15"/>
      <c r="J719" s="15"/>
      <c r="L719" s="15"/>
      <c r="AB719" s="15"/>
      <c r="AC719" s="15"/>
    </row>
    <row r="720" spans="9:29" ht="15.75" customHeight="1">
      <c r="I720" s="15"/>
      <c r="J720" s="15"/>
      <c r="L720" s="15"/>
      <c r="AB720" s="15"/>
      <c r="AC720" s="15"/>
    </row>
    <row r="721" spans="9:29" ht="15.75" customHeight="1">
      <c r="I721" s="15"/>
      <c r="J721" s="15"/>
      <c r="L721" s="15"/>
      <c r="AB721" s="15"/>
      <c r="AC721" s="15"/>
    </row>
    <row r="722" spans="9:29" ht="15.75" customHeight="1">
      <c r="I722" s="15"/>
      <c r="J722" s="15"/>
      <c r="L722" s="15"/>
      <c r="AB722" s="15"/>
      <c r="AC722" s="15"/>
    </row>
    <row r="723" spans="9:29" ht="15.75" customHeight="1">
      <c r="I723" s="15"/>
      <c r="J723" s="15"/>
      <c r="L723" s="15"/>
      <c r="AB723" s="15"/>
      <c r="AC723" s="15"/>
    </row>
    <row r="724" spans="9:29" ht="15.75" customHeight="1">
      <c r="I724" s="15"/>
      <c r="J724" s="15"/>
      <c r="L724" s="15"/>
      <c r="AB724" s="15"/>
      <c r="AC724" s="15"/>
    </row>
    <row r="725" spans="9:29" ht="15.75" customHeight="1">
      <c r="I725" s="15"/>
      <c r="J725" s="15"/>
      <c r="L725" s="15"/>
      <c r="AB725" s="15"/>
      <c r="AC725" s="15"/>
    </row>
    <row r="726" spans="9:29" ht="15.75" customHeight="1">
      <c r="I726" s="15"/>
      <c r="J726" s="15"/>
      <c r="L726" s="15"/>
      <c r="AB726" s="15"/>
      <c r="AC726" s="15"/>
    </row>
    <row r="727" spans="9:29" ht="15.75" customHeight="1">
      <c r="I727" s="15"/>
      <c r="J727" s="15"/>
      <c r="L727" s="15"/>
      <c r="AB727" s="15"/>
      <c r="AC727" s="15"/>
    </row>
    <row r="728" spans="9:29" ht="15.75" customHeight="1">
      <c r="I728" s="15"/>
      <c r="J728" s="15"/>
      <c r="L728" s="15"/>
      <c r="AB728" s="15"/>
      <c r="AC728" s="15"/>
    </row>
    <row r="729" spans="9:29" ht="15.75" customHeight="1">
      <c r="I729" s="15"/>
      <c r="J729" s="15"/>
      <c r="L729" s="15"/>
      <c r="AB729" s="15"/>
      <c r="AC729" s="15"/>
    </row>
    <row r="730" spans="9:29" ht="15.75" customHeight="1">
      <c r="I730" s="15"/>
      <c r="J730" s="15"/>
      <c r="L730" s="15"/>
      <c r="AB730" s="15"/>
      <c r="AC730" s="15"/>
    </row>
    <row r="731" spans="9:29" ht="15.75" customHeight="1">
      <c r="I731" s="15"/>
      <c r="J731" s="15"/>
      <c r="L731" s="15"/>
      <c r="AB731" s="15"/>
      <c r="AC731" s="15"/>
    </row>
    <row r="732" spans="9:29" ht="15.75" customHeight="1">
      <c r="I732" s="15"/>
      <c r="J732" s="15"/>
      <c r="L732" s="15"/>
      <c r="AB732" s="15"/>
      <c r="AC732" s="15"/>
    </row>
    <row r="733" spans="9:29" ht="15.75" customHeight="1">
      <c r="I733" s="15"/>
      <c r="J733" s="15"/>
      <c r="L733" s="15"/>
      <c r="AB733" s="15"/>
      <c r="AC733" s="15"/>
    </row>
    <row r="734" spans="9:29" ht="15.75" customHeight="1">
      <c r="I734" s="15"/>
      <c r="J734" s="15"/>
      <c r="L734" s="15"/>
      <c r="AB734" s="15"/>
      <c r="AC734" s="15"/>
    </row>
    <row r="735" spans="9:29" ht="15.75" customHeight="1">
      <c r="I735" s="15"/>
      <c r="J735" s="15"/>
      <c r="L735" s="15"/>
      <c r="AB735" s="15"/>
      <c r="AC735" s="15"/>
    </row>
    <row r="736" spans="9:29" ht="15.75" customHeight="1">
      <c r="I736" s="15"/>
      <c r="J736" s="15"/>
      <c r="L736" s="15"/>
      <c r="AB736" s="15"/>
      <c r="AC736" s="15"/>
    </row>
    <row r="737" spans="9:29" ht="15.75" customHeight="1">
      <c r="I737" s="15"/>
      <c r="J737" s="15"/>
      <c r="L737" s="15"/>
      <c r="AB737" s="15"/>
      <c r="AC737" s="15"/>
    </row>
    <row r="738" spans="9:29" ht="15.75" customHeight="1">
      <c r="I738" s="15"/>
      <c r="J738" s="15"/>
      <c r="L738" s="15"/>
      <c r="AB738" s="15"/>
      <c r="AC738" s="15"/>
    </row>
    <row r="739" spans="9:29" ht="15.75" customHeight="1">
      <c r="I739" s="15"/>
      <c r="J739" s="15"/>
      <c r="L739" s="15"/>
      <c r="AB739" s="15"/>
      <c r="AC739" s="15"/>
    </row>
    <row r="740" spans="9:29" ht="15.75" customHeight="1">
      <c r="I740" s="15"/>
      <c r="J740" s="15"/>
      <c r="L740" s="15"/>
      <c r="AB740" s="15"/>
      <c r="AC740" s="15"/>
    </row>
    <row r="741" spans="9:29" ht="15.75" customHeight="1">
      <c r="I741" s="15"/>
      <c r="J741" s="15"/>
      <c r="L741" s="15"/>
      <c r="AB741" s="15"/>
      <c r="AC741" s="15"/>
    </row>
    <row r="742" spans="9:29" ht="15.75" customHeight="1">
      <c r="I742" s="15"/>
      <c r="J742" s="15"/>
      <c r="L742" s="15"/>
      <c r="AB742" s="15"/>
      <c r="AC742" s="15"/>
    </row>
    <row r="743" spans="9:29" ht="15.75" customHeight="1">
      <c r="I743" s="15"/>
      <c r="J743" s="15"/>
      <c r="L743" s="15"/>
      <c r="AB743" s="15"/>
      <c r="AC743" s="15"/>
    </row>
    <row r="744" spans="9:29" ht="15.75" customHeight="1">
      <c r="I744" s="15"/>
      <c r="J744" s="15"/>
      <c r="L744" s="15"/>
      <c r="AB744" s="15"/>
      <c r="AC744" s="15"/>
    </row>
    <row r="745" spans="9:29" ht="15.75" customHeight="1">
      <c r="I745" s="15"/>
      <c r="J745" s="15"/>
      <c r="L745" s="15"/>
      <c r="AB745" s="15"/>
      <c r="AC745" s="15"/>
    </row>
    <row r="746" spans="9:29" ht="15.75" customHeight="1">
      <c r="I746" s="15"/>
      <c r="J746" s="15"/>
      <c r="L746" s="15"/>
      <c r="AB746" s="15"/>
      <c r="AC746" s="15"/>
    </row>
    <row r="747" spans="9:29" ht="15.75" customHeight="1">
      <c r="I747" s="15"/>
      <c r="J747" s="15"/>
      <c r="L747" s="15"/>
      <c r="AB747" s="15"/>
      <c r="AC747" s="15"/>
    </row>
    <row r="748" spans="9:29" ht="15.75" customHeight="1">
      <c r="I748" s="15"/>
      <c r="J748" s="15"/>
      <c r="L748" s="15"/>
      <c r="AB748" s="15"/>
      <c r="AC748" s="15"/>
    </row>
    <row r="749" spans="9:29" ht="15.75" customHeight="1">
      <c r="I749" s="15"/>
      <c r="J749" s="15"/>
      <c r="L749" s="15"/>
      <c r="AB749" s="15"/>
      <c r="AC749" s="15"/>
    </row>
    <row r="750" spans="9:29" ht="15.75" customHeight="1">
      <c r="I750" s="15"/>
      <c r="J750" s="15"/>
      <c r="L750" s="15"/>
      <c r="AB750" s="15"/>
      <c r="AC750" s="15"/>
    </row>
    <row r="751" spans="9:29" ht="15.75" customHeight="1">
      <c r="I751" s="15"/>
      <c r="J751" s="15"/>
      <c r="L751" s="15"/>
      <c r="AB751" s="15"/>
      <c r="AC751" s="15"/>
    </row>
    <row r="752" spans="9:29" ht="15.75" customHeight="1">
      <c r="I752" s="15"/>
      <c r="J752" s="15"/>
      <c r="L752" s="15"/>
      <c r="AB752" s="15"/>
      <c r="AC752" s="15"/>
    </row>
    <row r="753" spans="9:29" ht="15.75" customHeight="1">
      <c r="I753" s="15"/>
      <c r="J753" s="15"/>
      <c r="L753" s="15"/>
      <c r="AB753" s="15"/>
      <c r="AC753" s="15"/>
    </row>
    <row r="754" spans="9:29" ht="15.75" customHeight="1">
      <c r="I754" s="15"/>
      <c r="J754" s="15"/>
      <c r="L754" s="15"/>
      <c r="AB754" s="15"/>
      <c r="AC754" s="15"/>
    </row>
    <row r="755" spans="9:29" ht="15.75" customHeight="1">
      <c r="I755" s="15"/>
      <c r="J755" s="15"/>
      <c r="L755" s="15"/>
      <c r="AB755" s="15"/>
      <c r="AC755" s="15"/>
    </row>
    <row r="756" spans="9:29" ht="15.75" customHeight="1">
      <c r="I756" s="15"/>
      <c r="J756" s="15"/>
      <c r="L756" s="15"/>
      <c r="AB756" s="15"/>
      <c r="AC756" s="15"/>
    </row>
    <row r="757" spans="9:29" ht="15.75" customHeight="1">
      <c r="I757" s="15"/>
      <c r="J757" s="15"/>
      <c r="L757" s="15"/>
      <c r="AB757" s="15"/>
      <c r="AC757" s="15"/>
    </row>
    <row r="758" spans="9:29" ht="15.75" customHeight="1">
      <c r="I758" s="15"/>
      <c r="J758" s="15"/>
      <c r="L758" s="15"/>
      <c r="AB758" s="15"/>
      <c r="AC758" s="15"/>
    </row>
    <row r="759" spans="9:29" ht="15.75" customHeight="1">
      <c r="I759" s="15"/>
      <c r="J759" s="15"/>
      <c r="L759" s="15"/>
      <c r="AB759" s="15"/>
      <c r="AC759" s="15"/>
    </row>
    <row r="760" spans="9:29" ht="15.75" customHeight="1">
      <c r="I760" s="15"/>
      <c r="J760" s="15"/>
      <c r="L760" s="15"/>
      <c r="AB760" s="15"/>
      <c r="AC760" s="15"/>
    </row>
    <row r="761" spans="9:29" ht="15.75" customHeight="1">
      <c r="I761" s="15"/>
      <c r="J761" s="15"/>
      <c r="L761" s="15"/>
      <c r="AB761" s="15"/>
      <c r="AC761" s="15"/>
    </row>
    <row r="762" spans="9:29" ht="15.75" customHeight="1">
      <c r="I762" s="15"/>
      <c r="J762" s="15"/>
      <c r="L762" s="15"/>
      <c r="AB762" s="15"/>
      <c r="AC762" s="15"/>
    </row>
    <row r="763" spans="9:29" ht="15.75" customHeight="1">
      <c r="I763" s="15"/>
      <c r="J763" s="15"/>
      <c r="L763" s="15"/>
      <c r="AB763" s="15"/>
      <c r="AC763" s="15"/>
    </row>
    <row r="764" spans="9:29" ht="15.75" customHeight="1">
      <c r="I764" s="15"/>
      <c r="J764" s="15"/>
      <c r="L764" s="15"/>
      <c r="AB764" s="15"/>
      <c r="AC764" s="15"/>
    </row>
    <row r="765" spans="9:29" ht="15.75" customHeight="1">
      <c r="I765" s="15"/>
      <c r="J765" s="15"/>
      <c r="L765" s="15"/>
      <c r="AB765" s="15"/>
      <c r="AC765" s="15"/>
    </row>
    <row r="766" spans="9:29" ht="15.75" customHeight="1">
      <c r="I766" s="15"/>
      <c r="J766" s="15"/>
      <c r="L766" s="15"/>
      <c r="AB766" s="15"/>
      <c r="AC766" s="15"/>
    </row>
    <row r="767" spans="9:29" ht="15.75" customHeight="1">
      <c r="I767" s="15"/>
      <c r="J767" s="15"/>
      <c r="L767" s="15"/>
      <c r="AB767" s="15"/>
      <c r="AC767" s="15"/>
    </row>
    <row r="768" spans="9:29" ht="15.75" customHeight="1">
      <c r="I768" s="15"/>
      <c r="J768" s="15"/>
      <c r="L768" s="15"/>
      <c r="AB768" s="15"/>
      <c r="AC768" s="15"/>
    </row>
    <row r="769" spans="9:29" ht="15.75" customHeight="1">
      <c r="I769" s="15"/>
      <c r="J769" s="15"/>
      <c r="L769" s="15"/>
      <c r="AB769" s="15"/>
      <c r="AC769" s="15"/>
    </row>
    <row r="770" spans="9:29" ht="15.75" customHeight="1">
      <c r="I770" s="15"/>
      <c r="J770" s="15"/>
      <c r="L770" s="15"/>
      <c r="AB770" s="15"/>
      <c r="AC770" s="15"/>
    </row>
    <row r="771" spans="9:29" ht="15.75" customHeight="1">
      <c r="I771" s="15"/>
      <c r="J771" s="15"/>
      <c r="L771" s="15"/>
      <c r="AB771" s="15"/>
      <c r="AC771" s="15"/>
    </row>
    <row r="772" spans="9:29" ht="15.75" customHeight="1">
      <c r="I772" s="15"/>
      <c r="J772" s="15"/>
      <c r="L772" s="15"/>
      <c r="AB772" s="15"/>
      <c r="AC772" s="15"/>
    </row>
    <row r="773" spans="9:29" ht="15.75" customHeight="1">
      <c r="I773" s="15"/>
      <c r="J773" s="15"/>
      <c r="L773" s="15"/>
      <c r="AB773" s="15"/>
      <c r="AC773" s="15"/>
    </row>
    <row r="774" spans="9:29" ht="15.75" customHeight="1">
      <c r="I774" s="15"/>
      <c r="J774" s="15"/>
      <c r="L774" s="15"/>
      <c r="AB774" s="15"/>
      <c r="AC774" s="15"/>
    </row>
    <row r="775" spans="9:29" ht="15.75" customHeight="1">
      <c r="I775" s="15"/>
      <c r="J775" s="15"/>
      <c r="L775" s="15"/>
      <c r="AB775" s="15"/>
      <c r="AC775" s="15"/>
    </row>
    <row r="776" spans="9:29" ht="15.75" customHeight="1">
      <c r="I776" s="15"/>
      <c r="J776" s="15"/>
      <c r="L776" s="15"/>
      <c r="AB776" s="15"/>
      <c r="AC776" s="15"/>
    </row>
    <row r="777" spans="9:29" ht="15.75" customHeight="1">
      <c r="I777" s="15"/>
      <c r="J777" s="15"/>
      <c r="L777" s="15"/>
      <c r="AB777" s="15"/>
      <c r="AC777" s="15"/>
    </row>
    <row r="778" spans="9:29" ht="15.75" customHeight="1">
      <c r="I778" s="15"/>
      <c r="J778" s="15"/>
      <c r="L778" s="15"/>
      <c r="AB778" s="15"/>
      <c r="AC778" s="15"/>
    </row>
    <row r="779" spans="9:29" ht="15.75" customHeight="1">
      <c r="I779" s="15"/>
      <c r="J779" s="15"/>
      <c r="L779" s="15"/>
      <c r="AB779" s="15"/>
      <c r="AC779" s="15"/>
    </row>
    <row r="780" spans="9:29" ht="15.75" customHeight="1">
      <c r="I780" s="15"/>
      <c r="J780" s="15"/>
      <c r="L780" s="15"/>
      <c r="AB780" s="15"/>
      <c r="AC780" s="15"/>
    </row>
    <row r="781" spans="9:29" ht="15.75" customHeight="1">
      <c r="I781" s="15"/>
      <c r="J781" s="15"/>
      <c r="L781" s="15"/>
      <c r="AB781" s="15"/>
      <c r="AC781" s="15"/>
    </row>
    <row r="782" spans="9:29" ht="15.75" customHeight="1">
      <c r="I782" s="15"/>
      <c r="J782" s="15"/>
      <c r="L782" s="15"/>
      <c r="AB782" s="15"/>
      <c r="AC782" s="15"/>
    </row>
    <row r="783" spans="9:29" ht="15.75" customHeight="1">
      <c r="I783" s="15"/>
      <c r="J783" s="15"/>
      <c r="L783" s="15"/>
      <c r="AB783" s="15"/>
      <c r="AC783" s="15"/>
    </row>
    <row r="784" spans="9:29" ht="15.75" customHeight="1">
      <c r="I784" s="15"/>
      <c r="J784" s="15"/>
      <c r="L784" s="15"/>
      <c r="AB784" s="15"/>
      <c r="AC784" s="15"/>
    </row>
    <row r="785" spans="9:29" ht="15.75" customHeight="1">
      <c r="I785" s="15"/>
      <c r="J785" s="15"/>
      <c r="L785" s="15"/>
      <c r="AB785" s="15"/>
      <c r="AC785" s="15"/>
    </row>
    <row r="786" spans="9:29" ht="15.75" customHeight="1">
      <c r="I786" s="15"/>
      <c r="J786" s="15"/>
      <c r="L786" s="15"/>
      <c r="AB786" s="15"/>
      <c r="AC786" s="15"/>
    </row>
    <row r="787" spans="9:29" ht="15.75" customHeight="1">
      <c r="I787" s="15"/>
      <c r="J787" s="15"/>
      <c r="L787" s="15"/>
      <c r="AB787" s="15"/>
      <c r="AC787" s="15"/>
    </row>
    <row r="788" spans="9:29" ht="15.75" customHeight="1">
      <c r="I788" s="15"/>
      <c r="J788" s="15"/>
      <c r="L788" s="15"/>
      <c r="AB788" s="15"/>
      <c r="AC788" s="15"/>
    </row>
    <row r="789" spans="9:29" ht="15.75" customHeight="1">
      <c r="I789" s="15"/>
      <c r="J789" s="15"/>
      <c r="L789" s="15"/>
      <c r="AB789" s="15"/>
      <c r="AC789" s="15"/>
    </row>
    <row r="790" spans="9:29" ht="15.75" customHeight="1">
      <c r="I790" s="15"/>
      <c r="J790" s="15"/>
      <c r="L790" s="15"/>
      <c r="AB790" s="15"/>
      <c r="AC790" s="15"/>
    </row>
    <row r="791" spans="9:29" ht="15.75" customHeight="1">
      <c r="I791" s="15"/>
      <c r="J791" s="15"/>
      <c r="L791" s="15"/>
      <c r="AB791" s="15"/>
      <c r="AC791" s="15"/>
    </row>
    <row r="792" spans="9:29" ht="15.75" customHeight="1">
      <c r="I792" s="15"/>
      <c r="J792" s="15"/>
      <c r="L792" s="15"/>
      <c r="AB792" s="15"/>
      <c r="AC792" s="15"/>
    </row>
    <row r="793" spans="9:29" ht="15.75" customHeight="1">
      <c r="I793" s="15"/>
      <c r="J793" s="15"/>
      <c r="L793" s="15"/>
      <c r="AB793" s="15"/>
      <c r="AC793" s="15"/>
    </row>
    <row r="794" spans="9:29" ht="15.75" customHeight="1">
      <c r="I794" s="15"/>
      <c r="J794" s="15"/>
      <c r="L794" s="15"/>
      <c r="AB794" s="15"/>
      <c r="AC794" s="15"/>
    </row>
    <row r="795" spans="9:29" ht="15.75" customHeight="1">
      <c r="I795" s="15"/>
      <c r="J795" s="15"/>
      <c r="L795" s="15"/>
      <c r="AB795" s="15"/>
      <c r="AC795" s="15"/>
    </row>
    <row r="796" spans="9:29" ht="15.75" customHeight="1">
      <c r="I796" s="15"/>
      <c r="J796" s="15"/>
      <c r="L796" s="15"/>
      <c r="AB796" s="15"/>
      <c r="AC796" s="15"/>
    </row>
    <row r="797" spans="9:29" ht="15.75" customHeight="1">
      <c r="I797" s="15"/>
      <c r="J797" s="15"/>
      <c r="L797" s="15"/>
      <c r="AB797" s="15"/>
      <c r="AC797" s="15"/>
    </row>
    <row r="798" spans="9:29" ht="15.75" customHeight="1">
      <c r="I798" s="15"/>
      <c r="J798" s="15"/>
      <c r="L798" s="15"/>
      <c r="AB798" s="15"/>
      <c r="AC798" s="15"/>
    </row>
    <row r="799" spans="9:29" ht="15.75" customHeight="1">
      <c r="I799" s="15"/>
      <c r="J799" s="15"/>
      <c r="L799" s="15"/>
      <c r="AB799" s="15"/>
      <c r="AC799" s="15"/>
    </row>
    <row r="800" spans="9:29" ht="15.75" customHeight="1">
      <c r="I800" s="15"/>
      <c r="J800" s="15"/>
      <c r="L800" s="15"/>
      <c r="AB800" s="15"/>
      <c r="AC800" s="15"/>
    </row>
    <row r="801" spans="9:29" ht="15.75" customHeight="1">
      <c r="I801" s="15"/>
      <c r="J801" s="15"/>
      <c r="L801" s="15"/>
      <c r="AB801" s="15"/>
      <c r="AC801" s="15"/>
    </row>
    <row r="802" spans="9:29" ht="15.75" customHeight="1">
      <c r="I802" s="15"/>
      <c r="J802" s="15"/>
      <c r="L802" s="15"/>
      <c r="AB802" s="15"/>
      <c r="AC802" s="15"/>
    </row>
    <row r="803" spans="9:29" ht="15.75" customHeight="1">
      <c r="I803" s="15"/>
      <c r="J803" s="15"/>
      <c r="L803" s="15"/>
      <c r="AB803" s="15"/>
      <c r="AC803" s="15"/>
    </row>
    <row r="804" spans="9:29" ht="15.75" customHeight="1">
      <c r="I804" s="15"/>
      <c r="J804" s="15"/>
      <c r="L804" s="15"/>
      <c r="AB804" s="15"/>
      <c r="AC804" s="15"/>
    </row>
    <row r="805" spans="9:29" ht="15.75" customHeight="1">
      <c r="I805" s="15"/>
      <c r="J805" s="15"/>
      <c r="L805" s="15"/>
      <c r="AB805" s="15"/>
      <c r="AC805" s="15"/>
    </row>
    <row r="806" spans="9:29" ht="15.75" customHeight="1">
      <c r="I806" s="15"/>
      <c r="J806" s="15"/>
      <c r="L806" s="15"/>
      <c r="AB806" s="15"/>
      <c r="AC806" s="15"/>
    </row>
    <row r="807" spans="9:29" ht="15.75" customHeight="1">
      <c r="I807" s="15"/>
      <c r="J807" s="15"/>
      <c r="L807" s="15"/>
      <c r="AB807" s="15"/>
      <c r="AC807" s="15"/>
    </row>
    <row r="808" spans="9:29" ht="15.75" customHeight="1">
      <c r="I808" s="15"/>
      <c r="J808" s="15"/>
      <c r="L808" s="15"/>
      <c r="AB808" s="15"/>
      <c r="AC808" s="15"/>
    </row>
    <row r="809" spans="9:29" ht="15.75" customHeight="1">
      <c r="I809" s="15"/>
      <c r="J809" s="15"/>
      <c r="L809" s="15"/>
      <c r="AB809" s="15"/>
      <c r="AC809" s="15"/>
    </row>
    <row r="810" spans="9:29" ht="15.75" customHeight="1">
      <c r="I810" s="15"/>
      <c r="J810" s="15"/>
      <c r="L810" s="15"/>
      <c r="AB810" s="15"/>
      <c r="AC810" s="15"/>
    </row>
    <row r="811" spans="9:29" ht="15.75" customHeight="1">
      <c r="I811" s="15"/>
      <c r="J811" s="15"/>
      <c r="L811" s="15"/>
      <c r="AB811" s="15"/>
      <c r="AC811" s="15"/>
    </row>
    <row r="812" spans="9:29" ht="15.75" customHeight="1">
      <c r="I812" s="15"/>
      <c r="J812" s="15"/>
      <c r="L812" s="15"/>
      <c r="AB812" s="15"/>
      <c r="AC812" s="15"/>
    </row>
    <row r="813" spans="9:29" ht="15.75" customHeight="1">
      <c r="I813" s="15"/>
      <c r="J813" s="15"/>
      <c r="L813" s="15"/>
      <c r="AB813" s="15"/>
      <c r="AC813" s="15"/>
    </row>
    <row r="814" spans="9:29" ht="15.75" customHeight="1">
      <c r="I814" s="15"/>
      <c r="J814" s="15"/>
      <c r="L814" s="15"/>
      <c r="AB814" s="15"/>
      <c r="AC814" s="15"/>
    </row>
    <row r="815" spans="9:29" ht="15.75" customHeight="1">
      <c r="I815" s="15"/>
      <c r="J815" s="15"/>
      <c r="L815" s="15"/>
      <c r="AB815" s="15"/>
      <c r="AC815" s="15"/>
    </row>
    <row r="816" spans="9:29" ht="15.75" customHeight="1">
      <c r="I816" s="15"/>
      <c r="J816" s="15"/>
      <c r="L816" s="15"/>
      <c r="AB816" s="15"/>
      <c r="AC816" s="15"/>
    </row>
    <row r="817" spans="9:29" ht="15.75" customHeight="1">
      <c r="I817" s="15"/>
      <c r="J817" s="15"/>
      <c r="L817" s="15"/>
      <c r="AB817" s="15"/>
      <c r="AC817" s="15"/>
    </row>
    <row r="818" spans="9:29" ht="15.75" customHeight="1">
      <c r="I818" s="15"/>
      <c r="J818" s="15"/>
      <c r="L818" s="15"/>
      <c r="AB818" s="15"/>
      <c r="AC818" s="15"/>
    </row>
    <row r="819" spans="9:29" ht="15.75" customHeight="1">
      <c r="I819" s="15"/>
      <c r="J819" s="15"/>
      <c r="L819" s="15"/>
      <c r="AB819" s="15"/>
      <c r="AC819" s="15"/>
    </row>
    <row r="820" spans="9:29" ht="15.75" customHeight="1">
      <c r="I820" s="15"/>
      <c r="J820" s="15"/>
      <c r="L820" s="15"/>
      <c r="AB820" s="15"/>
      <c r="AC820" s="15"/>
    </row>
    <row r="821" spans="9:29" ht="15.75" customHeight="1">
      <c r="I821" s="15"/>
      <c r="J821" s="15"/>
      <c r="L821" s="15"/>
      <c r="AB821" s="15"/>
      <c r="AC821" s="15"/>
    </row>
    <row r="822" spans="9:29" ht="15.75" customHeight="1">
      <c r="I822" s="15"/>
      <c r="J822" s="15"/>
      <c r="L822" s="15"/>
      <c r="AB822" s="15"/>
      <c r="AC822" s="15"/>
    </row>
    <row r="823" spans="9:29" ht="15.75" customHeight="1">
      <c r="I823" s="15"/>
      <c r="J823" s="15"/>
      <c r="L823" s="15"/>
      <c r="AB823" s="15"/>
      <c r="AC823" s="15"/>
    </row>
    <row r="824" spans="9:29" ht="15.75" customHeight="1">
      <c r="I824" s="15"/>
      <c r="J824" s="15"/>
      <c r="L824" s="15"/>
      <c r="AB824" s="15"/>
      <c r="AC824" s="15"/>
    </row>
    <row r="825" spans="9:29" ht="15.75" customHeight="1">
      <c r="I825" s="15"/>
      <c r="J825" s="15"/>
      <c r="L825" s="15"/>
      <c r="AB825" s="15"/>
      <c r="AC825" s="15"/>
    </row>
    <row r="826" spans="9:29" ht="15.75" customHeight="1">
      <c r="I826" s="15"/>
      <c r="J826" s="15"/>
      <c r="L826" s="15"/>
      <c r="AB826" s="15"/>
      <c r="AC826" s="15"/>
    </row>
    <row r="827" spans="9:29" ht="15.75" customHeight="1">
      <c r="I827" s="15"/>
      <c r="J827" s="15"/>
      <c r="L827" s="15"/>
      <c r="AB827" s="15"/>
      <c r="AC827" s="15"/>
    </row>
    <row r="828" spans="9:29" ht="15.75" customHeight="1">
      <c r="I828" s="15"/>
      <c r="J828" s="15"/>
      <c r="L828" s="15"/>
      <c r="AB828" s="15"/>
      <c r="AC828" s="15"/>
    </row>
    <row r="829" spans="9:29" ht="15.75" customHeight="1">
      <c r="I829" s="15"/>
      <c r="J829" s="15"/>
      <c r="L829" s="15"/>
      <c r="AB829" s="15"/>
      <c r="AC829" s="15"/>
    </row>
    <row r="830" spans="9:29" ht="15.75" customHeight="1">
      <c r="I830" s="15"/>
      <c r="J830" s="15"/>
      <c r="L830" s="15"/>
      <c r="AB830" s="15"/>
      <c r="AC830" s="15"/>
    </row>
    <row r="831" spans="9:29" ht="15.75" customHeight="1">
      <c r="I831" s="15"/>
      <c r="J831" s="15"/>
      <c r="L831" s="15"/>
      <c r="AB831" s="15"/>
      <c r="AC831" s="15"/>
    </row>
    <row r="832" spans="9:29" ht="15.75" customHeight="1">
      <c r="I832" s="15"/>
      <c r="J832" s="15"/>
      <c r="L832" s="15"/>
      <c r="AB832" s="15"/>
      <c r="AC832" s="15"/>
    </row>
    <row r="833" spans="9:29" ht="15.75" customHeight="1">
      <c r="I833" s="15"/>
      <c r="J833" s="15"/>
      <c r="L833" s="15"/>
      <c r="AB833" s="15"/>
      <c r="AC833" s="15"/>
    </row>
    <row r="834" spans="9:29" ht="15.75" customHeight="1">
      <c r="I834" s="15"/>
      <c r="J834" s="15"/>
      <c r="L834" s="15"/>
      <c r="AB834" s="15"/>
      <c r="AC834" s="15"/>
    </row>
    <row r="835" spans="9:29" ht="15.75" customHeight="1">
      <c r="I835" s="15"/>
      <c r="J835" s="15"/>
      <c r="L835" s="15"/>
      <c r="AB835" s="15"/>
      <c r="AC835" s="15"/>
    </row>
    <row r="836" spans="9:29" ht="15.75" customHeight="1">
      <c r="I836" s="15"/>
      <c r="J836" s="15"/>
      <c r="L836" s="15"/>
      <c r="AB836" s="15"/>
      <c r="AC836" s="15"/>
    </row>
    <row r="837" spans="9:29" ht="15.75" customHeight="1">
      <c r="I837" s="15"/>
      <c r="J837" s="15"/>
      <c r="L837" s="15"/>
      <c r="AB837" s="15"/>
      <c r="AC837" s="15"/>
    </row>
    <row r="838" spans="9:29" ht="15.75" customHeight="1">
      <c r="I838" s="15"/>
      <c r="J838" s="15"/>
      <c r="L838" s="15"/>
      <c r="AB838" s="15"/>
      <c r="AC838" s="15"/>
    </row>
    <row r="839" spans="9:29" ht="15.75" customHeight="1">
      <c r="I839" s="15"/>
      <c r="J839" s="15"/>
      <c r="L839" s="15"/>
      <c r="AB839" s="15"/>
      <c r="AC839" s="15"/>
    </row>
    <row r="840" spans="9:29" ht="15.75" customHeight="1">
      <c r="I840" s="15"/>
      <c r="J840" s="15"/>
      <c r="L840" s="15"/>
      <c r="AB840" s="15"/>
      <c r="AC840" s="15"/>
    </row>
    <row r="841" spans="9:29" ht="15.75" customHeight="1">
      <c r="I841" s="15"/>
      <c r="J841" s="15"/>
      <c r="L841" s="15"/>
      <c r="AB841" s="15"/>
      <c r="AC841" s="15"/>
    </row>
    <row r="842" spans="9:29" ht="15.75" customHeight="1">
      <c r="I842" s="15"/>
      <c r="J842" s="15"/>
      <c r="L842" s="15"/>
      <c r="AB842" s="15"/>
      <c r="AC842" s="15"/>
    </row>
    <row r="843" spans="9:29" ht="15.75" customHeight="1">
      <c r="I843" s="15"/>
      <c r="J843" s="15"/>
      <c r="L843" s="15"/>
      <c r="AB843" s="15"/>
      <c r="AC843" s="15"/>
    </row>
    <row r="844" spans="9:29" ht="15.75" customHeight="1">
      <c r="I844" s="15"/>
      <c r="J844" s="15"/>
      <c r="L844" s="15"/>
      <c r="AB844" s="15"/>
      <c r="AC844" s="15"/>
    </row>
    <row r="845" spans="9:29" ht="15.75" customHeight="1">
      <c r="I845" s="15"/>
      <c r="J845" s="15"/>
      <c r="L845" s="15"/>
      <c r="AB845" s="15"/>
      <c r="AC845" s="15"/>
    </row>
    <row r="846" spans="9:29" ht="15.75" customHeight="1">
      <c r="I846" s="15"/>
      <c r="J846" s="15"/>
      <c r="L846" s="15"/>
      <c r="AB846" s="15"/>
      <c r="AC846" s="15"/>
    </row>
    <row r="847" spans="9:29" ht="15.75" customHeight="1">
      <c r="I847" s="15"/>
      <c r="J847" s="15"/>
      <c r="L847" s="15"/>
      <c r="AB847" s="15"/>
      <c r="AC847" s="15"/>
    </row>
    <row r="848" spans="9:29" ht="15.75" customHeight="1">
      <c r="I848" s="15"/>
      <c r="J848" s="15"/>
      <c r="L848" s="15"/>
      <c r="AB848" s="15"/>
      <c r="AC848" s="15"/>
    </row>
    <row r="849" spans="9:29" ht="15.75" customHeight="1">
      <c r="I849" s="15"/>
      <c r="J849" s="15"/>
      <c r="L849" s="15"/>
      <c r="AB849" s="15"/>
      <c r="AC849" s="15"/>
    </row>
    <row r="850" spans="9:29" ht="15.75" customHeight="1">
      <c r="I850" s="15"/>
      <c r="J850" s="15"/>
      <c r="L850" s="15"/>
      <c r="AB850" s="15"/>
      <c r="AC850" s="15"/>
    </row>
    <row r="851" spans="9:29" ht="15.75" customHeight="1">
      <c r="I851" s="15"/>
      <c r="J851" s="15"/>
      <c r="L851" s="15"/>
      <c r="AB851" s="15"/>
      <c r="AC851" s="15"/>
    </row>
    <row r="852" spans="9:29" ht="15.75" customHeight="1">
      <c r="I852" s="15"/>
      <c r="J852" s="15"/>
      <c r="L852" s="15"/>
      <c r="AB852" s="15"/>
      <c r="AC852" s="15"/>
    </row>
    <row r="853" spans="9:29" ht="15.75" customHeight="1">
      <c r="I853" s="15"/>
      <c r="J853" s="15"/>
      <c r="L853" s="15"/>
      <c r="AB853" s="15"/>
      <c r="AC853" s="15"/>
    </row>
    <row r="854" spans="9:29" ht="15.75" customHeight="1">
      <c r="I854" s="15"/>
      <c r="J854" s="15"/>
      <c r="L854" s="15"/>
      <c r="AB854" s="15"/>
      <c r="AC854" s="15"/>
    </row>
    <row r="855" spans="9:29" ht="15.75" customHeight="1">
      <c r="I855" s="15"/>
      <c r="J855" s="15"/>
      <c r="L855" s="15"/>
      <c r="AB855" s="15"/>
      <c r="AC855" s="15"/>
    </row>
    <row r="856" spans="9:29" ht="15.75" customHeight="1">
      <c r="I856" s="15"/>
      <c r="J856" s="15"/>
      <c r="L856" s="15"/>
      <c r="AB856" s="15"/>
      <c r="AC856" s="15"/>
    </row>
    <row r="857" spans="9:29" ht="15.75" customHeight="1">
      <c r="I857" s="15"/>
      <c r="J857" s="15"/>
      <c r="L857" s="15"/>
      <c r="AB857" s="15"/>
      <c r="AC857" s="15"/>
    </row>
    <row r="858" spans="9:29" ht="15.75" customHeight="1">
      <c r="I858" s="15"/>
      <c r="J858" s="15"/>
      <c r="L858" s="15"/>
      <c r="AB858" s="15"/>
      <c r="AC858" s="15"/>
    </row>
    <row r="859" spans="9:29" ht="15.75" customHeight="1">
      <c r="I859" s="15"/>
      <c r="J859" s="15"/>
      <c r="L859" s="15"/>
      <c r="AB859" s="15"/>
      <c r="AC859" s="15"/>
    </row>
    <row r="860" spans="9:29" ht="15.75" customHeight="1">
      <c r="I860" s="15"/>
      <c r="J860" s="15"/>
      <c r="L860" s="15"/>
      <c r="AB860" s="15"/>
      <c r="AC860" s="15"/>
    </row>
    <row r="861" spans="9:29" ht="15.75" customHeight="1">
      <c r="I861" s="15"/>
      <c r="J861" s="15"/>
      <c r="L861" s="15"/>
      <c r="AB861" s="15"/>
      <c r="AC861" s="15"/>
    </row>
    <row r="862" spans="9:29" ht="15.75" customHeight="1">
      <c r="I862" s="15"/>
      <c r="J862" s="15"/>
      <c r="L862" s="15"/>
      <c r="AB862" s="15"/>
      <c r="AC862" s="15"/>
    </row>
    <row r="863" spans="9:29" ht="15.75" customHeight="1">
      <c r="I863" s="15"/>
      <c r="J863" s="15"/>
      <c r="L863" s="15"/>
      <c r="AB863" s="15"/>
      <c r="AC863" s="15"/>
    </row>
    <row r="864" spans="9:29" ht="15.75" customHeight="1">
      <c r="I864" s="15"/>
      <c r="J864" s="15"/>
      <c r="L864" s="15"/>
      <c r="AB864" s="15"/>
      <c r="AC864" s="15"/>
    </row>
    <row r="865" spans="9:29" ht="15.75" customHeight="1">
      <c r="I865" s="15"/>
      <c r="J865" s="15"/>
      <c r="L865" s="15"/>
      <c r="AB865" s="15"/>
      <c r="AC865" s="15"/>
    </row>
    <row r="866" spans="9:29" ht="15.75" customHeight="1">
      <c r="I866" s="15"/>
      <c r="J866" s="15"/>
      <c r="L866" s="15"/>
      <c r="AB866" s="15"/>
      <c r="AC866" s="15"/>
    </row>
    <row r="867" spans="9:29" ht="15.75" customHeight="1">
      <c r="I867" s="15"/>
      <c r="J867" s="15"/>
      <c r="L867" s="15"/>
      <c r="AB867" s="15"/>
      <c r="AC867" s="15"/>
    </row>
    <row r="868" spans="9:29" ht="15.75" customHeight="1">
      <c r="I868" s="15"/>
      <c r="J868" s="15"/>
      <c r="L868" s="15"/>
      <c r="AB868" s="15"/>
      <c r="AC868" s="15"/>
    </row>
    <row r="869" spans="9:29" ht="15.75" customHeight="1">
      <c r="I869" s="15"/>
      <c r="J869" s="15"/>
      <c r="L869" s="15"/>
      <c r="AB869" s="15"/>
      <c r="AC869" s="15"/>
    </row>
    <row r="870" spans="9:29" ht="15.75" customHeight="1">
      <c r="I870" s="15"/>
      <c r="J870" s="15"/>
      <c r="L870" s="15"/>
      <c r="AB870" s="15"/>
      <c r="AC870" s="15"/>
    </row>
    <row r="871" spans="9:29" ht="15.75" customHeight="1">
      <c r="I871" s="15"/>
      <c r="J871" s="15"/>
      <c r="L871" s="15"/>
      <c r="AB871" s="15"/>
      <c r="AC871" s="15"/>
    </row>
    <row r="872" spans="9:29" ht="15.75" customHeight="1">
      <c r="I872" s="15"/>
      <c r="J872" s="15"/>
      <c r="L872" s="15"/>
      <c r="AB872" s="15"/>
      <c r="AC872" s="15"/>
    </row>
    <row r="873" spans="9:29" ht="15.75" customHeight="1">
      <c r="I873" s="15"/>
      <c r="J873" s="15"/>
      <c r="L873" s="15"/>
      <c r="AB873" s="15"/>
      <c r="AC873" s="15"/>
    </row>
    <row r="874" spans="9:29" ht="15.75" customHeight="1">
      <c r="I874" s="15"/>
      <c r="J874" s="15"/>
      <c r="L874" s="15"/>
      <c r="AB874" s="15"/>
      <c r="AC874" s="15"/>
    </row>
    <row r="875" spans="9:29" ht="15.75" customHeight="1">
      <c r="I875" s="15"/>
      <c r="J875" s="15"/>
      <c r="L875" s="15"/>
      <c r="AB875" s="15"/>
      <c r="AC875" s="15"/>
    </row>
    <row r="876" spans="9:29" ht="15.75" customHeight="1">
      <c r="I876" s="15"/>
      <c r="J876" s="15"/>
      <c r="L876" s="15"/>
      <c r="AB876" s="15"/>
      <c r="AC876" s="15"/>
    </row>
    <row r="877" spans="9:29" ht="15.75" customHeight="1">
      <c r="I877" s="15"/>
      <c r="J877" s="15"/>
      <c r="L877" s="15"/>
      <c r="AB877" s="15"/>
      <c r="AC877" s="15"/>
    </row>
    <row r="878" spans="9:29" ht="15.75" customHeight="1">
      <c r="I878" s="15"/>
      <c r="J878" s="15"/>
      <c r="L878" s="15"/>
      <c r="AB878" s="15"/>
      <c r="AC878" s="15"/>
    </row>
    <row r="879" spans="9:29" ht="15.75" customHeight="1">
      <c r="I879" s="15"/>
      <c r="J879" s="15"/>
      <c r="L879" s="15"/>
      <c r="AB879" s="15"/>
      <c r="AC879" s="15"/>
    </row>
    <row r="880" spans="9:29" ht="15.75" customHeight="1">
      <c r="I880" s="15"/>
      <c r="J880" s="15"/>
      <c r="L880" s="15"/>
      <c r="AB880" s="15"/>
      <c r="AC880" s="15"/>
    </row>
    <row r="881" spans="9:29" ht="15.75" customHeight="1">
      <c r="I881" s="15"/>
      <c r="J881" s="15"/>
      <c r="L881" s="15"/>
      <c r="AB881" s="15"/>
      <c r="AC881" s="15"/>
    </row>
    <row r="882" spans="9:29" ht="15.75" customHeight="1">
      <c r="I882" s="15"/>
      <c r="J882" s="15"/>
      <c r="L882" s="15"/>
      <c r="AB882" s="15"/>
      <c r="AC882" s="15"/>
    </row>
    <row r="883" spans="9:29" ht="15.75" customHeight="1">
      <c r="I883" s="15"/>
      <c r="J883" s="15"/>
      <c r="L883" s="15"/>
      <c r="AB883" s="15"/>
      <c r="AC883" s="15"/>
    </row>
    <row r="884" spans="9:29" ht="15.75" customHeight="1">
      <c r="I884" s="15"/>
      <c r="J884" s="15"/>
      <c r="L884" s="15"/>
      <c r="AB884" s="15"/>
      <c r="AC884" s="15"/>
    </row>
    <row r="885" spans="9:29" ht="15.75" customHeight="1">
      <c r="I885" s="15"/>
      <c r="J885" s="15"/>
      <c r="L885" s="15"/>
      <c r="AB885" s="15"/>
      <c r="AC885" s="15"/>
    </row>
    <row r="886" spans="9:29" ht="15.75" customHeight="1">
      <c r="I886" s="15"/>
      <c r="J886" s="15"/>
      <c r="L886" s="15"/>
      <c r="AB886" s="15"/>
      <c r="AC886" s="15"/>
    </row>
    <row r="887" spans="9:29" ht="15.75" customHeight="1">
      <c r="I887" s="15"/>
      <c r="J887" s="15"/>
      <c r="L887" s="15"/>
      <c r="AB887" s="15"/>
      <c r="AC887" s="15"/>
    </row>
    <row r="888" spans="9:29" ht="15.75" customHeight="1">
      <c r="I888" s="15"/>
      <c r="J888" s="15"/>
      <c r="L888" s="15"/>
      <c r="AB888" s="15"/>
      <c r="AC888" s="15"/>
    </row>
    <row r="889" spans="9:29" ht="15.75" customHeight="1">
      <c r="I889" s="15"/>
      <c r="J889" s="15"/>
      <c r="L889" s="15"/>
      <c r="AB889" s="15"/>
      <c r="AC889" s="15"/>
    </row>
    <row r="890" spans="9:29" ht="15.75" customHeight="1">
      <c r="I890" s="15"/>
      <c r="J890" s="15"/>
      <c r="L890" s="15"/>
      <c r="AB890" s="15"/>
      <c r="AC890" s="15"/>
    </row>
    <row r="891" spans="9:29" ht="15.75" customHeight="1">
      <c r="I891" s="15"/>
      <c r="J891" s="15"/>
      <c r="L891" s="15"/>
      <c r="AB891" s="15"/>
      <c r="AC891" s="15"/>
    </row>
    <row r="892" spans="9:29" ht="15.75" customHeight="1">
      <c r="I892" s="15"/>
      <c r="J892" s="15"/>
      <c r="L892" s="15"/>
      <c r="AB892" s="15"/>
      <c r="AC892" s="15"/>
    </row>
    <row r="893" spans="9:29" ht="15.75" customHeight="1">
      <c r="I893" s="15"/>
      <c r="J893" s="15"/>
      <c r="L893" s="15"/>
      <c r="AB893" s="15"/>
      <c r="AC893" s="15"/>
    </row>
    <row r="894" spans="9:29" ht="15.75" customHeight="1">
      <c r="I894" s="15"/>
      <c r="J894" s="15"/>
      <c r="L894" s="15"/>
      <c r="AB894" s="15"/>
      <c r="AC894" s="15"/>
    </row>
    <row r="895" spans="9:29" ht="15.75" customHeight="1">
      <c r="I895" s="15"/>
      <c r="J895" s="15"/>
      <c r="L895" s="15"/>
      <c r="AB895" s="15"/>
      <c r="AC895" s="15"/>
    </row>
    <row r="896" spans="9:29" ht="15.75" customHeight="1">
      <c r="I896" s="15"/>
      <c r="J896" s="15"/>
      <c r="L896" s="15"/>
      <c r="AB896" s="15"/>
      <c r="AC896" s="15"/>
    </row>
    <row r="897" spans="9:29" ht="15.75" customHeight="1">
      <c r="I897" s="15"/>
      <c r="J897" s="15"/>
      <c r="L897" s="15"/>
      <c r="AB897" s="15"/>
      <c r="AC897" s="15"/>
    </row>
    <row r="898" spans="9:29" ht="15.75" customHeight="1">
      <c r="I898" s="15"/>
      <c r="J898" s="15"/>
      <c r="L898" s="15"/>
      <c r="AB898" s="15"/>
      <c r="AC898" s="15"/>
    </row>
    <row r="899" spans="9:29" ht="15.75" customHeight="1">
      <c r="I899" s="15"/>
      <c r="J899" s="15"/>
      <c r="L899" s="15"/>
      <c r="AB899" s="15"/>
      <c r="AC899" s="15"/>
    </row>
    <row r="900" spans="9:29" ht="15.75" customHeight="1">
      <c r="I900" s="15"/>
      <c r="J900" s="15"/>
      <c r="L900" s="15"/>
      <c r="AB900" s="15"/>
      <c r="AC900" s="15"/>
    </row>
    <row r="901" spans="9:29" ht="15.75" customHeight="1">
      <c r="I901" s="15"/>
      <c r="J901" s="15"/>
      <c r="L901" s="15"/>
      <c r="AB901" s="15"/>
      <c r="AC901" s="15"/>
    </row>
    <row r="902" spans="9:29" ht="15.75" customHeight="1">
      <c r="I902" s="15"/>
      <c r="J902" s="15"/>
      <c r="L902" s="15"/>
      <c r="AB902" s="15"/>
      <c r="AC902" s="15"/>
    </row>
    <row r="903" spans="9:29" ht="15.75" customHeight="1">
      <c r="I903" s="15"/>
      <c r="J903" s="15"/>
      <c r="L903" s="15"/>
      <c r="AB903" s="15"/>
      <c r="AC903" s="15"/>
    </row>
    <row r="904" spans="9:29" ht="15.75" customHeight="1">
      <c r="I904" s="15"/>
      <c r="J904" s="15"/>
      <c r="L904" s="15"/>
      <c r="AB904" s="15"/>
      <c r="AC904" s="15"/>
    </row>
    <row r="905" spans="9:29" ht="15.75" customHeight="1">
      <c r="I905" s="15"/>
      <c r="J905" s="15"/>
      <c r="L905" s="15"/>
      <c r="AB905" s="15"/>
      <c r="AC905" s="15"/>
    </row>
    <row r="906" spans="9:29" ht="15.75" customHeight="1">
      <c r="I906" s="15"/>
      <c r="J906" s="15"/>
      <c r="L906" s="15"/>
      <c r="AB906" s="15"/>
      <c r="AC906" s="15"/>
    </row>
    <row r="907" spans="9:29" ht="15.75" customHeight="1">
      <c r="I907" s="15"/>
      <c r="J907" s="15"/>
      <c r="L907" s="15"/>
      <c r="AB907" s="15"/>
      <c r="AC907" s="15"/>
    </row>
    <row r="908" spans="9:29" ht="15.75" customHeight="1">
      <c r="I908" s="15"/>
      <c r="J908" s="15"/>
      <c r="L908" s="15"/>
      <c r="AB908" s="15"/>
      <c r="AC908" s="15"/>
    </row>
    <row r="909" spans="9:29" ht="15.75" customHeight="1">
      <c r="I909" s="15"/>
      <c r="J909" s="15"/>
      <c r="L909" s="15"/>
      <c r="AB909" s="15"/>
      <c r="AC909" s="15"/>
    </row>
    <row r="910" spans="9:29" ht="15.75" customHeight="1">
      <c r="I910" s="15"/>
      <c r="J910" s="15"/>
      <c r="L910" s="15"/>
      <c r="AB910" s="15"/>
      <c r="AC910" s="15"/>
    </row>
    <row r="911" spans="9:29" ht="15.75" customHeight="1">
      <c r="I911" s="15"/>
      <c r="J911" s="15"/>
      <c r="L911" s="15"/>
      <c r="AB911" s="15"/>
      <c r="AC911" s="15"/>
    </row>
    <row r="912" spans="9:29" ht="15.75" customHeight="1">
      <c r="I912" s="15"/>
      <c r="J912" s="15"/>
      <c r="L912" s="15"/>
      <c r="AB912" s="15"/>
      <c r="AC912" s="15"/>
    </row>
    <row r="913" spans="9:29" ht="15.75" customHeight="1">
      <c r="I913" s="15"/>
      <c r="J913" s="15"/>
      <c r="L913" s="15"/>
      <c r="AB913" s="15"/>
      <c r="AC913" s="15"/>
    </row>
    <row r="914" spans="9:29" ht="15.75" customHeight="1">
      <c r="I914" s="15"/>
      <c r="J914" s="15"/>
      <c r="L914" s="15"/>
      <c r="AB914" s="15"/>
      <c r="AC914" s="15"/>
    </row>
    <row r="915" spans="9:29" ht="15.75" customHeight="1">
      <c r="I915" s="15"/>
      <c r="J915" s="15"/>
      <c r="L915" s="15"/>
      <c r="AB915" s="15"/>
      <c r="AC915" s="15"/>
    </row>
    <row r="916" spans="9:29" ht="15.75" customHeight="1">
      <c r="I916" s="15"/>
      <c r="J916" s="15"/>
      <c r="L916" s="15"/>
      <c r="AB916" s="15"/>
      <c r="AC916" s="15"/>
    </row>
    <row r="917" spans="9:29" ht="15.75" customHeight="1">
      <c r="I917" s="15"/>
      <c r="J917" s="15"/>
      <c r="L917" s="15"/>
      <c r="AB917" s="15"/>
      <c r="AC917" s="15"/>
    </row>
    <row r="918" spans="9:29" ht="15.75" customHeight="1">
      <c r="I918" s="15"/>
      <c r="J918" s="15"/>
      <c r="L918" s="15"/>
      <c r="AB918" s="15"/>
      <c r="AC918" s="15"/>
    </row>
    <row r="919" spans="9:29" ht="15.75" customHeight="1">
      <c r="I919" s="15"/>
      <c r="J919" s="15"/>
      <c r="L919" s="15"/>
      <c r="AB919" s="15"/>
      <c r="AC919" s="15"/>
    </row>
    <row r="920" spans="9:29" ht="15.75" customHeight="1">
      <c r="I920" s="15"/>
      <c r="J920" s="15"/>
      <c r="L920" s="15"/>
      <c r="AB920" s="15"/>
      <c r="AC920" s="15"/>
    </row>
    <row r="921" spans="9:29" ht="15.75" customHeight="1">
      <c r="I921" s="15"/>
      <c r="J921" s="15"/>
      <c r="L921" s="15"/>
      <c r="AB921" s="15"/>
      <c r="AC921" s="15"/>
    </row>
    <row r="922" spans="9:29" ht="15.75" customHeight="1">
      <c r="I922" s="15"/>
      <c r="J922" s="15"/>
      <c r="L922" s="15"/>
      <c r="AB922" s="15"/>
      <c r="AC922" s="15"/>
    </row>
    <row r="923" spans="9:29" ht="15.75" customHeight="1">
      <c r="I923" s="15"/>
      <c r="J923" s="15"/>
      <c r="L923" s="15"/>
      <c r="AB923" s="15"/>
      <c r="AC923" s="15"/>
    </row>
    <row r="924" spans="9:29" ht="15.75" customHeight="1">
      <c r="I924" s="15"/>
      <c r="J924" s="15"/>
      <c r="L924" s="15"/>
      <c r="AB924" s="15"/>
      <c r="AC924" s="15"/>
    </row>
    <row r="925" spans="9:29" ht="15.75" customHeight="1">
      <c r="I925" s="15"/>
      <c r="J925" s="15"/>
      <c r="L925" s="15"/>
      <c r="AB925" s="15"/>
      <c r="AC925" s="15"/>
    </row>
    <row r="926" spans="9:29" ht="15.75" customHeight="1">
      <c r="I926" s="15"/>
      <c r="J926" s="15"/>
      <c r="L926" s="15"/>
      <c r="AB926" s="15"/>
      <c r="AC926" s="15"/>
    </row>
    <row r="927" spans="9:29" ht="15.75" customHeight="1">
      <c r="I927" s="15"/>
      <c r="J927" s="15"/>
      <c r="L927" s="15"/>
      <c r="AB927" s="15"/>
      <c r="AC927" s="15"/>
    </row>
    <row r="928" spans="9:29" ht="15.75" customHeight="1">
      <c r="I928" s="15"/>
      <c r="J928" s="15"/>
      <c r="L928" s="15"/>
      <c r="AB928" s="15"/>
      <c r="AC928" s="15"/>
    </row>
    <row r="929" spans="9:29" ht="15.75" customHeight="1">
      <c r="I929" s="15"/>
      <c r="J929" s="15"/>
      <c r="L929" s="15"/>
      <c r="AB929" s="15"/>
      <c r="AC929" s="15"/>
    </row>
    <row r="930" spans="9:29" ht="15.75" customHeight="1">
      <c r="I930" s="15"/>
      <c r="J930" s="15"/>
      <c r="L930" s="15"/>
      <c r="AB930" s="15"/>
      <c r="AC930" s="15"/>
    </row>
    <row r="931" spans="9:29" ht="15.75" customHeight="1">
      <c r="I931" s="15"/>
      <c r="J931" s="15"/>
      <c r="L931" s="15"/>
      <c r="AB931" s="15"/>
      <c r="AC931" s="15"/>
    </row>
    <row r="932" spans="9:29" ht="15.75" customHeight="1">
      <c r="I932" s="15"/>
      <c r="J932" s="15"/>
      <c r="L932" s="15"/>
      <c r="AB932" s="15"/>
      <c r="AC932" s="15"/>
    </row>
    <row r="933" spans="9:29" ht="15.75" customHeight="1">
      <c r="I933" s="15"/>
      <c r="J933" s="15"/>
      <c r="L933" s="15"/>
      <c r="AB933" s="15"/>
      <c r="AC933" s="15"/>
    </row>
    <row r="934" spans="9:29" ht="15.75" customHeight="1">
      <c r="I934" s="15"/>
      <c r="J934" s="15"/>
      <c r="L934" s="15"/>
      <c r="AB934" s="15"/>
      <c r="AC934" s="15"/>
    </row>
    <row r="935" spans="9:29" ht="15.75" customHeight="1">
      <c r="I935" s="15"/>
      <c r="J935" s="15"/>
      <c r="L935" s="15"/>
      <c r="AB935" s="15"/>
      <c r="AC935" s="15"/>
    </row>
    <row r="936" spans="9:29" ht="15.75" customHeight="1">
      <c r="I936" s="15"/>
      <c r="J936" s="15"/>
      <c r="L936" s="15"/>
      <c r="AB936" s="15"/>
      <c r="AC936" s="15"/>
    </row>
    <row r="937" spans="9:29" ht="15.75" customHeight="1">
      <c r="I937" s="15"/>
      <c r="J937" s="15"/>
      <c r="L937" s="15"/>
      <c r="AB937" s="15"/>
      <c r="AC937" s="15"/>
    </row>
    <row r="938" spans="9:29" ht="15.75" customHeight="1">
      <c r="I938" s="15"/>
      <c r="J938" s="15"/>
      <c r="L938" s="15"/>
      <c r="AB938" s="15"/>
      <c r="AC938" s="15"/>
    </row>
    <row r="939" spans="9:29" ht="15.75" customHeight="1">
      <c r="I939" s="15"/>
      <c r="J939" s="15"/>
      <c r="L939" s="15"/>
      <c r="AB939" s="15"/>
      <c r="AC939" s="15"/>
    </row>
    <row r="940" spans="9:29" ht="15.75" customHeight="1">
      <c r="I940" s="15"/>
      <c r="J940" s="15"/>
      <c r="L940" s="15"/>
      <c r="AB940" s="15"/>
      <c r="AC940" s="15"/>
    </row>
    <row r="941" spans="9:29" ht="15.75" customHeight="1">
      <c r="I941" s="15"/>
      <c r="J941" s="15"/>
      <c r="L941" s="15"/>
      <c r="AB941" s="15"/>
      <c r="AC941" s="15"/>
    </row>
    <row r="942" spans="9:29" ht="15.75" customHeight="1">
      <c r="I942" s="15"/>
      <c r="J942" s="15"/>
      <c r="L942" s="15"/>
      <c r="AB942" s="15"/>
      <c r="AC942" s="15"/>
    </row>
    <row r="943" spans="9:29" ht="15.75" customHeight="1">
      <c r="I943" s="15"/>
      <c r="J943" s="15"/>
      <c r="L943" s="15"/>
      <c r="AB943" s="15"/>
      <c r="AC943" s="15"/>
    </row>
    <row r="944" spans="9:29" ht="15.75" customHeight="1">
      <c r="I944" s="15"/>
      <c r="J944" s="15"/>
      <c r="L944" s="15"/>
      <c r="AB944" s="15"/>
      <c r="AC944" s="15"/>
    </row>
    <row r="945" spans="9:29" ht="15.75" customHeight="1">
      <c r="I945" s="15"/>
      <c r="J945" s="15"/>
      <c r="L945" s="15"/>
      <c r="AB945" s="15"/>
      <c r="AC945" s="15"/>
    </row>
    <row r="946" spans="9:29" ht="15.75" customHeight="1">
      <c r="I946" s="15"/>
      <c r="J946" s="15"/>
      <c r="L946" s="15"/>
      <c r="AB946" s="15"/>
      <c r="AC946" s="15"/>
    </row>
    <row r="947" spans="9:29" ht="15.75" customHeight="1">
      <c r="I947" s="15"/>
      <c r="J947" s="15"/>
      <c r="L947" s="15"/>
      <c r="AB947" s="15"/>
      <c r="AC947" s="15"/>
    </row>
    <row r="948" spans="9:29" ht="15.75" customHeight="1">
      <c r="I948" s="15"/>
      <c r="J948" s="15"/>
      <c r="L948" s="15"/>
      <c r="AB948" s="15"/>
      <c r="AC948" s="15"/>
    </row>
    <row r="949" spans="9:29" ht="15.75" customHeight="1">
      <c r="I949" s="15"/>
      <c r="J949" s="15"/>
      <c r="L949" s="15"/>
      <c r="AB949" s="15"/>
      <c r="AC949" s="15"/>
    </row>
    <row r="950" spans="9:29" ht="15.75" customHeight="1">
      <c r="I950" s="15"/>
      <c r="J950" s="15"/>
      <c r="L950" s="15"/>
      <c r="AB950" s="15"/>
      <c r="AC950" s="15"/>
    </row>
    <row r="951" spans="9:29" ht="15.75" customHeight="1">
      <c r="I951" s="15"/>
      <c r="J951" s="15"/>
      <c r="L951" s="15"/>
      <c r="AB951" s="15"/>
      <c r="AC951" s="15"/>
    </row>
    <row r="952" spans="9:29" ht="15.75" customHeight="1">
      <c r="I952" s="15"/>
      <c r="J952" s="15"/>
      <c r="L952" s="15"/>
      <c r="AB952" s="15"/>
      <c r="AC952" s="15"/>
    </row>
    <row r="953" spans="9:29" ht="15.75" customHeight="1">
      <c r="I953" s="15"/>
      <c r="J953" s="15"/>
      <c r="L953" s="15"/>
      <c r="AB953" s="15"/>
      <c r="AC953" s="15"/>
    </row>
    <row r="954" spans="9:29" ht="15.75" customHeight="1">
      <c r="I954" s="15"/>
      <c r="J954" s="15"/>
      <c r="L954" s="15"/>
      <c r="AB954" s="15"/>
      <c r="AC954" s="15"/>
    </row>
    <row r="955" spans="9:29" ht="15.75" customHeight="1">
      <c r="I955" s="15"/>
      <c r="J955" s="15"/>
      <c r="L955" s="15"/>
      <c r="AB955" s="15"/>
      <c r="AC955" s="15"/>
    </row>
    <row r="956" spans="9:29" ht="15.75" customHeight="1">
      <c r="I956" s="15"/>
      <c r="J956" s="15"/>
      <c r="L956" s="15"/>
      <c r="AB956" s="15"/>
      <c r="AC956" s="15"/>
    </row>
    <row r="957" spans="9:29" ht="15.75" customHeight="1">
      <c r="I957" s="15"/>
      <c r="J957" s="15"/>
      <c r="L957" s="15"/>
      <c r="AB957" s="15"/>
      <c r="AC957" s="15"/>
    </row>
    <row r="958" spans="9:29" ht="15.75" customHeight="1">
      <c r="I958" s="15"/>
      <c r="J958" s="15"/>
      <c r="L958" s="15"/>
      <c r="AB958" s="15"/>
      <c r="AC958" s="15"/>
    </row>
    <row r="959" spans="9:29" ht="15.75" customHeight="1">
      <c r="I959" s="15"/>
      <c r="J959" s="15"/>
      <c r="L959" s="15"/>
      <c r="AB959" s="15"/>
      <c r="AC959" s="15"/>
    </row>
    <row r="960" spans="9:29" ht="15.75" customHeight="1">
      <c r="I960" s="15"/>
      <c r="J960" s="15"/>
      <c r="L960" s="15"/>
      <c r="AB960" s="15"/>
      <c r="AC960" s="15"/>
    </row>
    <row r="961" spans="9:29" ht="15.75" customHeight="1">
      <c r="I961" s="15"/>
      <c r="J961" s="15"/>
      <c r="L961" s="15"/>
      <c r="AB961" s="15"/>
      <c r="AC961" s="15"/>
    </row>
    <row r="962" spans="9:29" ht="15.75" customHeight="1">
      <c r="I962" s="15"/>
      <c r="J962" s="15"/>
      <c r="L962" s="15"/>
      <c r="AB962" s="15"/>
      <c r="AC962" s="15"/>
    </row>
    <row r="963" spans="9:29" ht="15.75" customHeight="1">
      <c r="I963" s="15"/>
      <c r="J963" s="15"/>
      <c r="L963" s="15"/>
      <c r="AB963" s="15"/>
      <c r="AC963" s="15"/>
    </row>
    <row r="964" spans="9:29" ht="15.75" customHeight="1">
      <c r="I964" s="15"/>
      <c r="J964" s="15"/>
      <c r="L964" s="15"/>
      <c r="AB964" s="15"/>
      <c r="AC964" s="15"/>
    </row>
    <row r="965" spans="9:29" ht="15.75" customHeight="1">
      <c r="I965" s="15"/>
      <c r="J965" s="15"/>
      <c r="L965" s="15"/>
      <c r="AB965" s="15"/>
      <c r="AC965" s="15"/>
    </row>
    <row r="966" spans="9:29" ht="15.75" customHeight="1">
      <c r="I966" s="15"/>
      <c r="J966" s="15"/>
      <c r="L966" s="15"/>
      <c r="AB966" s="15"/>
      <c r="AC966" s="15"/>
    </row>
    <row r="967" spans="9:29" ht="15.75" customHeight="1">
      <c r="I967" s="15"/>
      <c r="J967" s="15"/>
      <c r="L967" s="15"/>
      <c r="AB967" s="15"/>
      <c r="AC967" s="15"/>
    </row>
    <row r="968" spans="9:29" ht="15.75" customHeight="1">
      <c r="I968" s="15"/>
      <c r="J968" s="15"/>
      <c r="L968" s="15"/>
      <c r="AB968" s="15"/>
      <c r="AC968" s="15"/>
    </row>
    <row r="969" spans="9:29" ht="15.75" customHeight="1">
      <c r="I969" s="15"/>
      <c r="J969" s="15"/>
      <c r="L969" s="15"/>
      <c r="AB969" s="15"/>
      <c r="AC969" s="15"/>
    </row>
    <row r="970" spans="9:29" ht="15.75" customHeight="1">
      <c r="I970" s="15"/>
      <c r="J970" s="15"/>
      <c r="L970" s="15"/>
      <c r="AB970" s="15"/>
      <c r="AC970" s="15"/>
    </row>
    <row r="971" spans="9:29" ht="15.75" customHeight="1">
      <c r="I971" s="15"/>
      <c r="J971" s="15"/>
      <c r="L971" s="15"/>
      <c r="AB971" s="15"/>
      <c r="AC971" s="15"/>
    </row>
    <row r="972" spans="9:29" ht="15.75" customHeight="1">
      <c r="I972" s="15"/>
      <c r="J972" s="15"/>
      <c r="L972" s="15"/>
      <c r="AB972" s="15"/>
      <c r="AC972" s="15"/>
    </row>
    <row r="973" spans="9:29" ht="15.75" customHeight="1">
      <c r="I973" s="15"/>
      <c r="J973" s="15"/>
      <c r="L973" s="15"/>
      <c r="AB973" s="15"/>
      <c r="AC973" s="15"/>
    </row>
    <row r="974" spans="9:29" ht="15.75" customHeight="1">
      <c r="I974" s="15"/>
      <c r="J974" s="15"/>
      <c r="L974" s="15"/>
      <c r="AB974" s="15"/>
      <c r="AC974" s="15"/>
    </row>
    <row r="975" spans="9:29" ht="15.75" customHeight="1">
      <c r="I975" s="15"/>
      <c r="J975" s="15"/>
      <c r="L975" s="15"/>
      <c r="AB975" s="15"/>
      <c r="AC975" s="15"/>
    </row>
    <row r="976" spans="9:29" ht="15.75" customHeight="1">
      <c r="I976" s="15"/>
      <c r="J976" s="15"/>
      <c r="L976" s="15"/>
      <c r="AB976" s="15"/>
      <c r="AC976" s="15"/>
    </row>
    <row r="977" spans="9:29" ht="15.75" customHeight="1">
      <c r="I977" s="15"/>
      <c r="J977" s="15"/>
      <c r="L977" s="15"/>
      <c r="AB977" s="15"/>
      <c r="AC977" s="15"/>
    </row>
    <row r="978" spans="9:29" ht="15.75" customHeight="1">
      <c r="I978" s="15"/>
      <c r="J978" s="15"/>
      <c r="L978" s="15"/>
      <c r="AB978" s="15"/>
      <c r="AC978" s="15"/>
    </row>
    <row r="979" spans="9:29" ht="15.75" customHeight="1">
      <c r="I979" s="15"/>
      <c r="J979" s="15"/>
      <c r="L979" s="15"/>
      <c r="AB979" s="15"/>
      <c r="AC979" s="15"/>
    </row>
    <row r="980" spans="9:29" ht="15.75" customHeight="1">
      <c r="I980" s="15"/>
      <c r="J980" s="15"/>
      <c r="L980" s="15"/>
      <c r="AB980" s="15"/>
      <c r="AC980" s="15"/>
    </row>
    <row r="981" spans="9:29" ht="15.75" customHeight="1">
      <c r="I981" s="15"/>
      <c r="J981" s="15"/>
      <c r="L981" s="15"/>
      <c r="AB981" s="15"/>
      <c r="AC981" s="15"/>
    </row>
    <row r="982" spans="9:29" ht="15.75" customHeight="1">
      <c r="I982" s="15"/>
      <c r="J982" s="15"/>
      <c r="L982" s="15"/>
      <c r="AB982" s="15"/>
      <c r="AC982" s="15"/>
    </row>
    <row r="983" spans="9:29" ht="15.75" customHeight="1">
      <c r="I983" s="15"/>
      <c r="J983" s="15"/>
      <c r="L983" s="15"/>
      <c r="AB983" s="15"/>
      <c r="AC983" s="15"/>
    </row>
    <row r="984" spans="9:29" ht="15.75" customHeight="1">
      <c r="I984" s="15"/>
      <c r="J984" s="15"/>
      <c r="L984" s="15"/>
      <c r="AB984" s="15"/>
      <c r="AC984" s="15"/>
    </row>
    <row r="985" spans="9:29" ht="15.75" customHeight="1">
      <c r="I985" s="15"/>
      <c r="J985" s="15"/>
      <c r="L985" s="15"/>
      <c r="AB985" s="15"/>
      <c r="AC985" s="15"/>
    </row>
    <row r="986" spans="9:29" ht="15.75" customHeight="1">
      <c r="I986" s="15"/>
      <c r="J986" s="15"/>
      <c r="L986" s="15"/>
      <c r="AB986" s="15"/>
      <c r="AC986" s="15"/>
    </row>
    <row r="987" spans="9:29" ht="15.75" customHeight="1">
      <c r="I987" s="15"/>
      <c r="J987" s="15"/>
      <c r="L987" s="15"/>
      <c r="AB987" s="15"/>
      <c r="AC987" s="15"/>
    </row>
    <row r="988" spans="9:29" ht="15.75" customHeight="1">
      <c r="I988" s="15"/>
      <c r="J988" s="15"/>
      <c r="L988" s="15"/>
      <c r="AB988" s="15"/>
      <c r="AC988" s="15"/>
    </row>
    <row r="989" spans="9:29" ht="15.75" customHeight="1">
      <c r="I989" s="15"/>
      <c r="J989" s="15"/>
      <c r="L989" s="15"/>
      <c r="AB989" s="15"/>
      <c r="AC989" s="15"/>
    </row>
    <row r="990" spans="9:29" ht="15.75" customHeight="1">
      <c r="I990" s="15"/>
      <c r="J990" s="15"/>
      <c r="L990" s="15"/>
      <c r="AB990" s="15"/>
      <c r="AC990" s="15"/>
    </row>
    <row r="991" spans="9:29" ht="15.75" customHeight="1">
      <c r="I991" s="15"/>
      <c r="J991" s="15"/>
      <c r="L991" s="15"/>
      <c r="AB991" s="15"/>
      <c r="AC991" s="15"/>
    </row>
    <row r="992" spans="9:29" ht="15.75" customHeight="1">
      <c r="I992" s="15"/>
      <c r="J992" s="15"/>
      <c r="L992" s="15"/>
      <c r="AB992" s="15"/>
      <c r="AC992" s="15"/>
    </row>
    <row r="993" spans="9:29" ht="15.75" customHeight="1">
      <c r="I993" s="15"/>
      <c r="J993" s="15"/>
      <c r="L993" s="15"/>
      <c r="AB993" s="15"/>
      <c r="AC993" s="15"/>
    </row>
    <row r="994" spans="9:29" ht="15.75" customHeight="1">
      <c r="I994" s="15"/>
      <c r="J994" s="15"/>
      <c r="L994" s="15"/>
      <c r="AB994" s="15"/>
      <c r="AC994" s="15"/>
    </row>
    <row r="995" spans="9:29" ht="15.75" customHeight="1">
      <c r="I995" s="15"/>
      <c r="J995" s="15"/>
      <c r="L995" s="15"/>
      <c r="AB995" s="15"/>
      <c r="AC995" s="15"/>
    </row>
    <row r="996" spans="9:29" ht="15.75" customHeight="1">
      <c r="I996" s="15"/>
      <c r="J996" s="15"/>
      <c r="L996" s="15"/>
      <c r="AB996" s="15"/>
      <c r="AC996" s="15"/>
    </row>
    <row r="997" spans="9:29" ht="15.75" customHeight="1">
      <c r="I997" s="15"/>
      <c r="J997" s="15"/>
      <c r="L997" s="15"/>
      <c r="AB997" s="15"/>
      <c r="AC997" s="15"/>
    </row>
    <row r="998" spans="9:29" ht="15.75" customHeight="1">
      <c r="I998" s="15"/>
      <c r="J998" s="15"/>
      <c r="L998" s="15"/>
      <c r="AB998" s="15"/>
      <c r="AC998" s="15"/>
    </row>
    <row r="999" spans="9:29" ht="15.75" customHeight="1">
      <c r="I999" s="15"/>
      <c r="J999" s="15"/>
      <c r="L999" s="15"/>
      <c r="AB999" s="15"/>
      <c r="AC999" s="15"/>
    </row>
    <row r="1000" spans="9:29" ht="15.75" customHeight="1">
      <c r="I1000" s="15"/>
      <c r="J1000" s="15"/>
      <c r="L1000" s="15"/>
      <c r="AB1000" s="15"/>
      <c r="AC1000" s="15"/>
    </row>
  </sheetData>
  <autoFilter ref="B1:Y1000" xr:uid="{00000000-0009-0000-0000-000000000000}"/>
  <conditionalFormatting sqref="R1:R206">
    <cfRule type="containsText" dxfId="19" priority="1" stopIfTrue="1" operator="containsText" text="Got to walk through it today">
      <formula>NOT(ISERROR(SEARCH(("Got to walk through it today"),(R1))))</formula>
    </cfRule>
    <cfRule type="containsText" dxfId="18" priority="2" stopIfTrue="1" operator="containsText" text="There is 3 day left to clean before guests check in">
      <formula>NOT(ISERROR(SEARCH(("There is 3 day left to clean before guests check in"),(R1))))</formula>
    </cfRule>
    <cfRule type="containsText" dxfId="17" priority="3" stopIfTrue="1" operator="containsText" text="There is 2 day left to clean before guests check in">
      <formula>NOT(ISERROR(SEARCH(("There is 2 day left to clean before guests check in"),(R1))))</formula>
    </cfRule>
    <cfRule type="containsText" dxfId="16" priority="4" stopIfTrue="1" operator="containsText" text="There is 1 day left to clean before guests check in">
      <formula>NOT(ISERROR(SEARCH(("There is 1 day left to clean before guests check in"),(R1))))</formula>
    </cfRule>
  </conditionalFormatting>
  <conditionalFormatting sqref="T1:Z1 T2:T206">
    <cfRule type="containsText" dxfId="15" priority="5" stopIfTrue="1" operator="containsText" text="1 day left before guests check out">
      <formula>NOT(ISERROR(SEARCH(("1 day left before guests check out"),(T1))))</formula>
    </cfRule>
    <cfRule type="containsText" dxfId="14" priority="6" stopIfTrue="1" operator="containsText" text="Warning! Clean up after guests check out">
      <formula>NOT(ISERROR(SEARCH(("Warning! Clean up after guests check out"),(T1))))</formula>
    </cfRule>
    <cfRule type="containsText" dxfId="13" priority="7" stopIfTrue="1" operator="containsText" text="3 day left before guests check out">
      <formula>NOT(ISERROR(SEARCH(("3 day left before guests check out"),(T1))))</formula>
    </cfRule>
    <cfRule type="containsText" dxfId="12" priority="8" stopIfTrue="1" operator="containsText" text="2 day left before guests check out">
      <formula>NOT(ISERROR(SEARCH(("2 day left before guests check out"),(T1))))</formula>
    </cfRule>
    <cfRule type="containsText" dxfId="11" priority="9" stopIfTrue="1" operator="containsText" text="There is 2 day left to clean before guests check in">
      <formula>NOT(ISERROR(SEARCH(("There is 2 day left to clean before guests check in"),(T1))))</formula>
    </cfRule>
    <cfRule type="containsText" dxfId="10" priority="10" stopIfTrue="1" operator="containsText" text="1 day left before guests check out">
      <formula>NOT(ISERROR(SEARCH(("1 day left before guests check out"),(T1))))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workbookViewId="0"/>
  </sheetViews>
  <sheetFormatPr baseColWidth="10" defaultColWidth="12.6640625" defaultRowHeight="15" customHeight="1"/>
  <cols>
    <col min="1" max="1" width="24.1640625" customWidth="1"/>
    <col min="2" max="2" width="14.83203125" customWidth="1"/>
    <col min="3" max="3" width="14.33203125" customWidth="1"/>
    <col min="5" max="7" width="12.6640625" hidden="1"/>
    <col min="15" max="19" width="12.6640625" hidden="1"/>
    <col min="21" max="21" width="21.6640625" customWidth="1"/>
    <col min="22" max="22" width="17.5" customWidth="1"/>
  </cols>
  <sheetData>
    <row r="1" spans="1:23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 t="s">
        <v>14</v>
      </c>
      <c r="R1" s="1"/>
      <c r="S1" s="1" t="s">
        <v>15</v>
      </c>
      <c r="T1" s="3" t="s">
        <v>16</v>
      </c>
      <c r="U1" s="25" t="s">
        <v>549</v>
      </c>
      <c r="V1" s="26" t="s">
        <v>550</v>
      </c>
      <c r="W1" s="14" t="s">
        <v>551</v>
      </c>
    </row>
    <row r="2" spans="1:23" ht="15" customHeight="1">
      <c r="A2" s="5" t="s">
        <v>552</v>
      </c>
      <c r="B2" s="5" t="s">
        <v>24</v>
      </c>
      <c r="C2" s="5" t="s">
        <v>553</v>
      </c>
      <c r="D2" s="10" t="s">
        <v>554</v>
      </c>
      <c r="E2" s="10">
        <v>5</v>
      </c>
      <c r="F2" s="10">
        <v>2</v>
      </c>
      <c r="G2" s="10">
        <v>0</v>
      </c>
      <c r="H2" s="6">
        <v>45744</v>
      </c>
      <c r="I2" s="6">
        <v>45752</v>
      </c>
      <c r="J2" s="10">
        <v>8</v>
      </c>
      <c r="K2" s="6">
        <v>45500</v>
      </c>
      <c r="L2" s="10" t="s">
        <v>85</v>
      </c>
      <c r="M2" s="10">
        <v>2970.24</v>
      </c>
      <c r="N2" s="16" t="s">
        <v>86</v>
      </c>
      <c r="O2" s="8"/>
      <c r="P2" s="9"/>
      <c r="Q2" s="10"/>
      <c r="R2" s="10"/>
      <c r="S2" s="10"/>
      <c r="T2" s="11" t="str">
        <f t="shared" ref="T2:T7" si="0">IF(LEFT(A2,2)="HM","AIRBNB",IF(LEFT(A2,2)="HA","VRBO",IF(LEFT(A2,2)="Di","Directly","Owner staying")))</f>
        <v>AIRBNB</v>
      </c>
      <c r="U2" s="27" t="s">
        <v>555</v>
      </c>
      <c r="V2" s="28"/>
    </row>
    <row r="3" spans="1:23" ht="15" customHeight="1">
      <c r="A3" s="5" t="s">
        <v>556</v>
      </c>
      <c r="B3" s="5" t="s">
        <v>50</v>
      </c>
      <c r="C3" s="5" t="s">
        <v>557</v>
      </c>
      <c r="D3" s="10" t="s">
        <v>558</v>
      </c>
      <c r="E3" s="10">
        <v>7</v>
      </c>
      <c r="F3" s="10">
        <v>0</v>
      </c>
      <c r="G3" s="10">
        <v>0</v>
      </c>
      <c r="H3" s="6">
        <v>45751</v>
      </c>
      <c r="I3" s="6">
        <v>45754</v>
      </c>
      <c r="J3" s="10">
        <v>3</v>
      </c>
      <c r="K3" s="6">
        <v>45674</v>
      </c>
      <c r="L3" s="10" t="s">
        <v>204</v>
      </c>
      <c r="M3" s="10">
        <v>1891.5</v>
      </c>
      <c r="N3" s="16" t="s">
        <v>205</v>
      </c>
      <c r="O3" s="8"/>
      <c r="P3" s="9"/>
      <c r="Q3" s="10"/>
      <c r="R3" s="10"/>
      <c r="S3" s="10"/>
      <c r="T3" s="11" t="str">
        <f t="shared" si="0"/>
        <v>AIRBNB</v>
      </c>
      <c r="U3" s="27" t="s">
        <v>559</v>
      </c>
      <c r="V3" s="28"/>
    </row>
    <row r="4" spans="1:23" ht="15" customHeight="1">
      <c r="A4" s="14" t="s">
        <v>560</v>
      </c>
      <c r="B4" s="14" t="s">
        <v>50</v>
      </c>
      <c r="C4" s="14" t="s">
        <v>561</v>
      </c>
      <c r="D4" s="10" t="s">
        <v>562</v>
      </c>
      <c r="E4" s="10">
        <v>3</v>
      </c>
      <c r="F4" s="10">
        <v>0</v>
      </c>
      <c r="G4" s="10">
        <v>0</v>
      </c>
      <c r="H4" s="15">
        <v>45752</v>
      </c>
      <c r="I4" s="15">
        <v>45755</v>
      </c>
      <c r="J4" s="10">
        <v>3</v>
      </c>
      <c r="K4" s="15">
        <v>45742</v>
      </c>
      <c r="L4" s="10" t="s">
        <v>85</v>
      </c>
      <c r="M4" s="10">
        <v>1091.25</v>
      </c>
      <c r="N4" s="16" t="s">
        <v>86</v>
      </c>
      <c r="O4" s="8"/>
      <c r="P4" s="9"/>
      <c r="Q4" s="10"/>
      <c r="R4" s="10"/>
      <c r="S4" s="10"/>
      <c r="T4" s="11" t="str">
        <f t="shared" si="0"/>
        <v>AIRBNB</v>
      </c>
      <c r="U4" s="27" t="s">
        <v>563</v>
      </c>
      <c r="V4" s="28"/>
    </row>
    <row r="5" spans="1:23" ht="15" customHeight="1">
      <c r="A5" s="5" t="s">
        <v>564</v>
      </c>
      <c r="B5" s="5" t="s">
        <v>10</v>
      </c>
      <c r="C5" s="5" t="s">
        <v>565</v>
      </c>
      <c r="D5" s="10"/>
      <c r="E5" s="10"/>
      <c r="F5" s="10"/>
      <c r="G5" s="10"/>
      <c r="H5" s="6">
        <v>45757</v>
      </c>
      <c r="I5" s="6">
        <v>45762</v>
      </c>
      <c r="J5" s="10"/>
      <c r="K5" s="6">
        <v>45702</v>
      </c>
      <c r="L5" s="10"/>
      <c r="M5" s="10">
        <v>2748.3</v>
      </c>
      <c r="N5" s="7" t="s">
        <v>205</v>
      </c>
      <c r="O5" s="8"/>
      <c r="P5" s="9"/>
      <c r="Q5" s="10"/>
      <c r="R5" s="10"/>
      <c r="S5" s="10"/>
      <c r="T5" s="11" t="str">
        <f t="shared" si="0"/>
        <v>VRBO</v>
      </c>
      <c r="U5" s="27"/>
      <c r="V5" s="28" t="s">
        <v>566</v>
      </c>
    </row>
    <row r="6" spans="1:23" ht="15" customHeight="1">
      <c r="A6" s="5" t="s">
        <v>567</v>
      </c>
      <c r="B6" s="5" t="s">
        <v>24</v>
      </c>
      <c r="C6" s="5" t="s">
        <v>568</v>
      </c>
      <c r="D6" s="5" t="s">
        <v>569</v>
      </c>
      <c r="E6" s="5">
        <v>16</v>
      </c>
      <c r="F6" s="5">
        <v>0</v>
      </c>
      <c r="G6" s="5">
        <v>0</v>
      </c>
      <c r="H6" s="6">
        <v>45750</v>
      </c>
      <c r="I6" s="6">
        <v>45753</v>
      </c>
      <c r="J6" s="5">
        <v>3</v>
      </c>
      <c r="K6" s="6">
        <v>45612</v>
      </c>
      <c r="L6" s="5" t="s">
        <v>266</v>
      </c>
      <c r="M6" s="5">
        <v>2667.5</v>
      </c>
      <c r="N6" s="16" t="s">
        <v>185</v>
      </c>
      <c r="O6" s="8"/>
      <c r="P6" s="9"/>
      <c r="Q6" s="10"/>
      <c r="R6" s="10"/>
      <c r="S6" s="10"/>
      <c r="T6" s="11" t="str">
        <f t="shared" si="0"/>
        <v>AIRBNB</v>
      </c>
      <c r="U6" s="27" t="s">
        <v>570</v>
      </c>
      <c r="V6" s="28"/>
    </row>
    <row r="7" spans="1:23" ht="15" customHeight="1">
      <c r="A7" s="14" t="s">
        <v>571</v>
      </c>
      <c r="B7" s="14" t="s">
        <v>50</v>
      </c>
      <c r="C7" s="14" t="s">
        <v>572</v>
      </c>
      <c r="D7" s="10" t="s">
        <v>573</v>
      </c>
      <c r="E7" s="10">
        <v>5</v>
      </c>
      <c r="F7" s="10">
        <v>0</v>
      </c>
      <c r="G7" s="10">
        <v>0</v>
      </c>
      <c r="H7" s="15">
        <v>45753</v>
      </c>
      <c r="I7" s="15">
        <v>45758</v>
      </c>
      <c r="J7" s="10">
        <v>5</v>
      </c>
      <c r="K7" s="15">
        <v>45717</v>
      </c>
      <c r="L7" s="10" t="s">
        <v>226</v>
      </c>
      <c r="M7" s="10">
        <v>2279.5</v>
      </c>
      <c r="N7" s="16" t="s">
        <v>227</v>
      </c>
      <c r="O7" s="8"/>
      <c r="P7" s="9"/>
      <c r="Q7" s="10"/>
      <c r="R7" s="10"/>
      <c r="S7" s="10"/>
      <c r="T7" s="11" t="str">
        <f t="shared" si="0"/>
        <v>AIRBNB</v>
      </c>
      <c r="U7" s="27" t="s">
        <v>574</v>
      </c>
      <c r="V7" s="28"/>
    </row>
    <row r="8" spans="1:23" ht="15" customHeight="1">
      <c r="A8" s="14" t="s">
        <v>575</v>
      </c>
      <c r="B8" s="14" t="s">
        <v>24</v>
      </c>
      <c r="C8" s="14" t="s">
        <v>576</v>
      </c>
      <c r="D8" s="5" t="s">
        <v>577</v>
      </c>
      <c r="E8" s="5">
        <v>8</v>
      </c>
      <c r="F8" s="5">
        <v>0</v>
      </c>
      <c r="G8" s="5">
        <v>0</v>
      </c>
      <c r="H8" s="15">
        <v>45834</v>
      </c>
      <c r="I8" s="15">
        <v>45837</v>
      </c>
      <c r="J8" s="5">
        <v>3</v>
      </c>
      <c r="K8" s="15">
        <v>45758</v>
      </c>
      <c r="L8" s="5" t="s">
        <v>377</v>
      </c>
      <c r="M8" s="5">
        <v>792.49</v>
      </c>
      <c r="N8" s="16" t="s">
        <v>176</v>
      </c>
      <c r="U8" s="27"/>
      <c r="V8" s="28" t="s">
        <v>578</v>
      </c>
    </row>
    <row r="9" spans="1:23" ht="15" customHeight="1">
      <c r="U9" s="27"/>
      <c r="V9" s="28"/>
    </row>
    <row r="10" spans="1:23" ht="15" customHeight="1">
      <c r="U10" s="27"/>
      <c r="V10" s="28"/>
    </row>
    <row r="11" spans="1:23" ht="15" customHeight="1">
      <c r="U11" s="27"/>
      <c r="V11" s="28"/>
    </row>
    <row r="12" spans="1:23" ht="15" customHeight="1">
      <c r="U12" s="27"/>
      <c r="V12" s="28"/>
    </row>
    <row r="13" spans="1:23" ht="15" customHeight="1">
      <c r="U13" s="27"/>
      <c r="V13" s="28"/>
    </row>
    <row r="14" spans="1:23" ht="15" customHeight="1">
      <c r="U14" s="27"/>
      <c r="V14" s="28"/>
    </row>
    <row r="15" spans="1:23" ht="15" customHeight="1">
      <c r="U15" s="27"/>
      <c r="V15" s="28"/>
    </row>
    <row r="16" spans="1:23" ht="15" customHeight="1">
      <c r="U16" s="27"/>
      <c r="V16" s="28"/>
    </row>
    <row r="17" spans="21:22" ht="15" customHeight="1">
      <c r="U17" s="27"/>
      <c r="V17" s="28"/>
    </row>
    <row r="18" spans="21:22" ht="15" customHeight="1">
      <c r="U18" s="27"/>
      <c r="V18" s="28"/>
    </row>
    <row r="19" spans="21:22" ht="15" customHeight="1">
      <c r="U19" s="27"/>
      <c r="V19" s="28"/>
    </row>
    <row r="20" spans="21:22" ht="15" customHeight="1">
      <c r="U20" s="27"/>
      <c r="V20" s="28"/>
    </row>
    <row r="21" spans="21:22" ht="15" customHeight="1">
      <c r="U21" s="27"/>
      <c r="V21" s="28"/>
    </row>
    <row r="22" spans="21:22" ht="15" customHeight="1">
      <c r="U22" s="27"/>
      <c r="V22" s="28"/>
    </row>
    <row r="23" spans="21:22" ht="15" customHeight="1">
      <c r="U23" s="27"/>
      <c r="V23" s="28"/>
    </row>
    <row r="24" spans="21:22" ht="15" customHeight="1">
      <c r="U24" s="27"/>
      <c r="V24" s="28"/>
    </row>
    <row r="25" spans="21:22" ht="15" customHeight="1">
      <c r="U25" s="27"/>
      <c r="V25" s="28"/>
    </row>
    <row r="26" spans="21:22" ht="15" customHeight="1">
      <c r="U26" s="27"/>
      <c r="V26" s="28"/>
    </row>
    <row r="27" spans="21:22" ht="15" customHeight="1">
      <c r="U27" s="27"/>
      <c r="V27" s="28"/>
    </row>
    <row r="28" spans="21:22" ht="15" customHeight="1">
      <c r="U28" s="27"/>
      <c r="V28" s="28"/>
    </row>
    <row r="29" spans="21:22" ht="15" customHeight="1">
      <c r="U29" s="27"/>
      <c r="V29" s="28"/>
    </row>
    <row r="30" spans="21:22" ht="15" customHeight="1">
      <c r="U30" s="27"/>
      <c r="V30" s="28"/>
    </row>
    <row r="31" spans="21:22" ht="15" customHeight="1">
      <c r="U31" s="27"/>
      <c r="V31" s="28"/>
    </row>
    <row r="32" spans="21:22" ht="15" customHeight="1">
      <c r="U32" s="27"/>
      <c r="V32" s="28"/>
    </row>
    <row r="33" spans="21:22" ht="15" customHeight="1">
      <c r="U33" s="27"/>
      <c r="V33" s="28"/>
    </row>
    <row r="34" spans="21:22" ht="15" customHeight="1">
      <c r="U34" s="27"/>
      <c r="V34" s="28"/>
    </row>
    <row r="35" spans="21:22" ht="15" customHeight="1">
      <c r="U35" s="27"/>
      <c r="V35" s="28"/>
    </row>
    <row r="36" spans="21:22" ht="15" customHeight="1">
      <c r="U36" s="27"/>
      <c r="V36" s="28"/>
    </row>
    <row r="37" spans="21:22" ht="15" customHeight="1">
      <c r="U37" s="27"/>
      <c r="V37" s="28"/>
    </row>
    <row r="38" spans="21:22" ht="15" customHeight="1">
      <c r="U38" s="27"/>
      <c r="V38" s="28"/>
    </row>
    <row r="39" spans="21:22" ht="15" customHeight="1">
      <c r="U39" s="27"/>
      <c r="V39" s="28"/>
    </row>
    <row r="40" spans="21:22" ht="15" customHeight="1">
      <c r="U40" s="27"/>
      <c r="V40" s="28"/>
    </row>
    <row r="41" spans="21:22" ht="15" customHeight="1">
      <c r="U41" s="27"/>
      <c r="V41" s="28"/>
    </row>
    <row r="42" spans="21:22" ht="15" customHeight="1">
      <c r="U42" s="27"/>
      <c r="V42" s="28"/>
    </row>
    <row r="43" spans="21:22" ht="15" customHeight="1">
      <c r="U43" s="27"/>
      <c r="V43" s="28"/>
    </row>
    <row r="44" spans="21:22" ht="15" customHeight="1">
      <c r="U44" s="27"/>
      <c r="V44" s="28"/>
    </row>
    <row r="45" spans="21:22" ht="15" customHeight="1">
      <c r="U45" s="27"/>
      <c r="V45" s="28"/>
    </row>
    <row r="46" spans="21:22" ht="15" customHeight="1">
      <c r="U46" s="27"/>
      <c r="V46" s="28"/>
    </row>
    <row r="47" spans="21:22" ht="15" customHeight="1">
      <c r="U47" s="27"/>
      <c r="V47" s="28"/>
    </row>
    <row r="48" spans="21:22" ht="15" customHeight="1">
      <c r="U48" s="27"/>
      <c r="V48" s="28"/>
    </row>
    <row r="49" spans="21:22" ht="15" customHeight="1">
      <c r="U49" s="27"/>
      <c r="V49" s="28"/>
    </row>
    <row r="50" spans="21:22" ht="15" customHeight="1">
      <c r="U50" s="27"/>
      <c r="V50" s="28"/>
    </row>
    <row r="51" spans="21:22" ht="15" customHeight="1">
      <c r="U51" s="27"/>
      <c r="V51" s="28"/>
    </row>
    <row r="52" spans="21:22" ht="15" customHeight="1">
      <c r="U52" s="27"/>
      <c r="V52" s="28"/>
    </row>
    <row r="53" spans="21:22" ht="15" customHeight="1">
      <c r="U53" s="27"/>
      <c r="V53" s="28"/>
    </row>
    <row r="54" spans="21:22" ht="15" customHeight="1">
      <c r="U54" s="27"/>
      <c r="V54" s="28"/>
    </row>
    <row r="55" spans="21:22" ht="15" customHeight="1">
      <c r="U55" s="27"/>
      <c r="V55" s="28"/>
    </row>
    <row r="56" spans="21:22" ht="15" customHeight="1">
      <c r="U56" s="27"/>
      <c r="V56" s="28"/>
    </row>
    <row r="57" spans="21:22" ht="15" customHeight="1">
      <c r="U57" s="27"/>
      <c r="V57" s="28"/>
    </row>
    <row r="58" spans="21:22" ht="15" customHeight="1">
      <c r="U58" s="27"/>
      <c r="V58" s="28"/>
    </row>
    <row r="59" spans="21:22" ht="15" customHeight="1">
      <c r="U59" s="27"/>
      <c r="V59" s="28"/>
    </row>
    <row r="60" spans="21:22" ht="15" customHeight="1">
      <c r="U60" s="27"/>
      <c r="V60" s="28"/>
    </row>
    <row r="61" spans="21:22" ht="15" customHeight="1">
      <c r="U61" s="27"/>
      <c r="V61" s="28"/>
    </row>
    <row r="62" spans="21:22" ht="15" customHeight="1">
      <c r="U62" s="27"/>
      <c r="V62" s="28"/>
    </row>
    <row r="63" spans="21:22" ht="14">
      <c r="U63" s="27"/>
      <c r="V63" s="28"/>
    </row>
    <row r="64" spans="21:22" ht="14">
      <c r="U64" s="27"/>
      <c r="V64" s="28"/>
    </row>
    <row r="65" spans="21:22" ht="14">
      <c r="U65" s="27"/>
      <c r="V65" s="28"/>
    </row>
    <row r="66" spans="21:22" ht="14">
      <c r="U66" s="27"/>
      <c r="V66" s="28"/>
    </row>
    <row r="67" spans="21:22" ht="14">
      <c r="U67" s="27"/>
      <c r="V67" s="28"/>
    </row>
    <row r="68" spans="21:22" ht="14">
      <c r="U68" s="27"/>
      <c r="V68" s="28"/>
    </row>
    <row r="69" spans="21:22" ht="14">
      <c r="U69" s="27"/>
      <c r="V69" s="28"/>
    </row>
    <row r="70" spans="21:22" ht="14">
      <c r="U70" s="27"/>
      <c r="V70" s="28"/>
    </row>
    <row r="71" spans="21:22" ht="14">
      <c r="U71" s="27"/>
      <c r="V71" s="28"/>
    </row>
    <row r="72" spans="21:22" ht="14">
      <c r="U72" s="27"/>
      <c r="V72" s="28"/>
    </row>
    <row r="73" spans="21:22" ht="14">
      <c r="U73" s="27"/>
      <c r="V73" s="28"/>
    </row>
    <row r="74" spans="21:22" ht="14">
      <c r="U74" s="27"/>
      <c r="V74" s="28"/>
    </row>
    <row r="75" spans="21:22" ht="14">
      <c r="U75" s="27"/>
      <c r="V75" s="28"/>
    </row>
    <row r="76" spans="21:22" ht="14">
      <c r="U76" s="27"/>
      <c r="V76" s="28"/>
    </row>
    <row r="77" spans="21:22" ht="14">
      <c r="U77" s="27"/>
      <c r="V77" s="28"/>
    </row>
    <row r="78" spans="21:22" ht="14">
      <c r="U78" s="27"/>
      <c r="V78" s="28"/>
    </row>
    <row r="79" spans="21:22" ht="14">
      <c r="U79" s="27"/>
      <c r="V79" s="28"/>
    </row>
    <row r="80" spans="21:22" ht="14">
      <c r="U80" s="27"/>
      <c r="V80" s="28"/>
    </row>
    <row r="81" spans="21:22" ht="14">
      <c r="U81" s="27"/>
      <c r="V81" s="28"/>
    </row>
    <row r="82" spans="21:22" ht="14">
      <c r="U82" s="27"/>
      <c r="V82" s="28"/>
    </row>
    <row r="83" spans="21:22" ht="14">
      <c r="U83" s="27"/>
      <c r="V83" s="28"/>
    </row>
    <row r="84" spans="21:22" ht="14">
      <c r="U84" s="27"/>
      <c r="V84" s="28"/>
    </row>
    <row r="85" spans="21:22" ht="14">
      <c r="U85" s="27"/>
      <c r="V85" s="28"/>
    </row>
    <row r="86" spans="21:22" ht="14">
      <c r="U86" s="27"/>
      <c r="V86" s="28"/>
    </row>
    <row r="87" spans="21:22" ht="14">
      <c r="U87" s="27"/>
      <c r="V87" s="28"/>
    </row>
    <row r="88" spans="21:22" ht="14">
      <c r="U88" s="27"/>
      <c r="V88" s="28"/>
    </row>
    <row r="89" spans="21:22" ht="14">
      <c r="U89" s="27"/>
      <c r="V89" s="28"/>
    </row>
    <row r="90" spans="21:22" ht="14">
      <c r="U90" s="27"/>
      <c r="V90" s="28"/>
    </row>
    <row r="91" spans="21:22" ht="14">
      <c r="U91" s="27"/>
      <c r="V91" s="28"/>
    </row>
    <row r="92" spans="21:22" ht="14">
      <c r="U92" s="27"/>
      <c r="V92" s="28"/>
    </row>
    <row r="93" spans="21:22" ht="14">
      <c r="U93" s="27"/>
      <c r="V93" s="28"/>
    </row>
    <row r="94" spans="21:22" ht="14">
      <c r="U94" s="27"/>
      <c r="V94" s="28"/>
    </row>
    <row r="95" spans="21:22" ht="14">
      <c r="U95" s="27"/>
      <c r="V95" s="28"/>
    </row>
    <row r="96" spans="21:22" ht="14">
      <c r="U96" s="27"/>
      <c r="V96" s="28"/>
    </row>
    <row r="97" spans="21:22" ht="14">
      <c r="U97" s="27"/>
      <c r="V97" s="28"/>
    </row>
    <row r="98" spans="21:22" ht="14">
      <c r="U98" s="27"/>
      <c r="V98" s="28"/>
    </row>
    <row r="99" spans="21:22" ht="14">
      <c r="U99" s="27"/>
      <c r="V99" s="28"/>
    </row>
    <row r="100" spans="21:22" ht="14">
      <c r="U100" s="27"/>
      <c r="V100" s="28"/>
    </row>
    <row r="101" spans="21:22" ht="14">
      <c r="U101" s="27"/>
      <c r="V101" s="28"/>
    </row>
    <row r="102" spans="21:22" ht="14">
      <c r="U102" s="27"/>
      <c r="V102" s="28"/>
    </row>
    <row r="103" spans="21:22" ht="14">
      <c r="U103" s="27"/>
      <c r="V103" s="28"/>
    </row>
    <row r="104" spans="21:22" ht="14">
      <c r="U104" s="27"/>
      <c r="V104" s="28"/>
    </row>
    <row r="105" spans="21:22" ht="14">
      <c r="U105" s="27"/>
      <c r="V105" s="28"/>
    </row>
    <row r="106" spans="21:22" ht="14">
      <c r="U106" s="27"/>
      <c r="V106" s="28"/>
    </row>
    <row r="107" spans="21:22" ht="14">
      <c r="U107" s="27"/>
      <c r="V107" s="28"/>
    </row>
    <row r="108" spans="21:22" ht="14">
      <c r="U108" s="27"/>
      <c r="V108" s="28"/>
    </row>
    <row r="109" spans="21:22" ht="14">
      <c r="U109" s="27"/>
      <c r="V109" s="28"/>
    </row>
    <row r="110" spans="21:22" ht="14">
      <c r="U110" s="27"/>
      <c r="V110" s="28"/>
    </row>
    <row r="111" spans="21:22" ht="14">
      <c r="U111" s="27"/>
      <c r="V111" s="28"/>
    </row>
    <row r="112" spans="21:22" ht="14">
      <c r="U112" s="27"/>
      <c r="V112" s="28"/>
    </row>
    <row r="113" spans="21:22" ht="14">
      <c r="U113" s="27"/>
      <c r="V113" s="28"/>
    </row>
    <row r="114" spans="21:22" ht="14">
      <c r="U114" s="27"/>
      <c r="V114" s="28"/>
    </row>
    <row r="115" spans="21:22" ht="14">
      <c r="U115" s="27"/>
      <c r="V115" s="28"/>
    </row>
    <row r="116" spans="21:22" ht="14">
      <c r="U116" s="27"/>
      <c r="V116" s="28"/>
    </row>
    <row r="117" spans="21:22" ht="14">
      <c r="U117" s="27"/>
      <c r="V117" s="28"/>
    </row>
    <row r="118" spans="21:22" ht="14">
      <c r="U118" s="27"/>
      <c r="V118" s="28"/>
    </row>
    <row r="119" spans="21:22" ht="14">
      <c r="U119" s="27"/>
      <c r="V119" s="28"/>
    </row>
    <row r="120" spans="21:22" ht="14">
      <c r="U120" s="27"/>
      <c r="V120" s="28"/>
    </row>
    <row r="121" spans="21:22" ht="14">
      <c r="U121" s="27"/>
      <c r="V121" s="28"/>
    </row>
    <row r="122" spans="21:22" ht="14">
      <c r="U122" s="27"/>
      <c r="V122" s="28"/>
    </row>
    <row r="123" spans="21:22" ht="14">
      <c r="U123" s="27"/>
      <c r="V123" s="28"/>
    </row>
    <row r="124" spans="21:22" ht="14">
      <c r="U124" s="27"/>
      <c r="V124" s="28"/>
    </row>
    <row r="125" spans="21:22" ht="14">
      <c r="U125" s="27"/>
      <c r="V125" s="28"/>
    </row>
    <row r="126" spans="21:22" ht="14">
      <c r="U126" s="27"/>
      <c r="V126" s="28"/>
    </row>
    <row r="127" spans="21:22" ht="14">
      <c r="U127" s="27"/>
      <c r="V127" s="28"/>
    </row>
    <row r="128" spans="21:22" ht="14">
      <c r="U128" s="27"/>
      <c r="V128" s="28"/>
    </row>
    <row r="129" spans="21:22" ht="14">
      <c r="U129" s="27"/>
      <c r="V129" s="28"/>
    </row>
    <row r="130" spans="21:22" ht="14">
      <c r="U130" s="27"/>
      <c r="V130" s="28"/>
    </row>
    <row r="131" spans="21:22" ht="14">
      <c r="U131" s="27"/>
      <c r="V131" s="28"/>
    </row>
    <row r="132" spans="21:22" ht="14">
      <c r="U132" s="27"/>
      <c r="V132" s="28"/>
    </row>
    <row r="133" spans="21:22" ht="14">
      <c r="U133" s="27"/>
      <c r="V133" s="28"/>
    </row>
    <row r="134" spans="21:22" ht="14">
      <c r="U134" s="27"/>
      <c r="V134" s="28"/>
    </row>
    <row r="135" spans="21:22" ht="14">
      <c r="U135" s="27"/>
      <c r="V135" s="28"/>
    </row>
    <row r="136" spans="21:22" ht="14">
      <c r="U136" s="27"/>
      <c r="V136" s="28"/>
    </row>
    <row r="137" spans="21:22" ht="14">
      <c r="U137" s="27"/>
      <c r="V137" s="28"/>
    </row>
    <row r="138" spans="21:22" ht="14">
      <c r="U138" s="27"/>
      <c r="V138" s="28"/>
    </row>
    <row r="139" spans="21:22" ht="14">
      <c r="U139" s="27"/>
      <c r="V139" s="28"/>
    </row>
    <row r="140" spans="21:22" ht="14">
      <c r="U140" s="27"/>
      <c r="V140" s="28"/>
    </row>
    <row r="141" spans="21:22" ht="14">
      <c r="U141" s="27"/>
      <c r="V141" s="28"/>
    </row>
    <row r="142" spans="21:22" ht="14">
      <c r="U142" s="27"/>
      <c r="V142" s="28"/>
    </row>
    <row r="143" spans="21:22" ht="14">
      <c r="U143" s="27"/>
      <c r="V143" s="28"/>
    </row>
    <row r="144" spans="21:22" ht="14">
      <c r="U144" s="27"/>
      <c r="V144" s="28"/>
    </row>
    <row r="145" spans="21:22" ht="14">
      <c r="U145" s="27"/>
      <c r="V145" s="28"/>
    </row>
    <row r="146" spans="21:22" ht="14">
      <c r="U146" s="27"/>
      <c r="V146" s="28"/>
    </row>
    <row r="147" spans="21:22" ht="14">
      <c r="U147" s="27"/>
      <c r="V147" s="28"/>
    </row>
    <row r="148" spans="21:22" ht="14">
      <c r="U148" s="27"/>
      <c r="V148" s="28"/>
    </row>
    <row r="149" spans="21:22" ht="14">
      <c r="U149" s="27"/>
      <c r="V149" s="28"/>
    </row>
    <row r="150" spans="21:22" ht="14">
      <c r="U150" s="27"/>
      <c r="V150" s="28"/>
    </row>
    <row r="151" spans="21:22" ht="14">
      <c r="U151" s="27"/>
      <c r="V151" s="28"/>
    </row>
    <row r="152" spans="21:22" ht="14">
      <c r="U152" s="27"/>
      <c r="V152" s="28"/>
    </row>
    <row r="153" spans="21:22" ht="14">
      <c r="U153" s="27"/>
      <c r="V153" s="28"/>
    </row>
    <row r="154" spans="21:22" ht="14">
      <c r="U154" s="27"/>
      <c r="V154" s="28"/>
    </row>
    <row r="155" spans="21:22" ht="14">
      <c r="U155" s="27"/>
      <c r="V155" s="28"/>
    </row>
    <row r="156" spans="21:22" ht="14">
      <c r="U156" s="27"/>
      <c r="V156" s="28"/>
    </row>
    <row r="157" spans="21:22" ht="14">
      <c r="U157" s="27"/>
      <c r="V157" s="28"/>
    </row>
    <row r="158" spans="21:22" ht="14">
      <c r="U158" s="27"/>
      <c r="V158" s="28"/>
    </row>
    <row r="159" spans="21:22" ht="14">
      <c r="U159" s="27"/>
      <c r="V159" s="28"/>
    </row>
    <row r="160" spans="21:22" ht="14">
      <c r="U160" s="27"/>
      <c r="V160" s="28"/>
    </row>
    <row r="161" spans="21:22" ht="14">
      <c r="U161" s="27"/>
      <c r="V161" s="28"/>
    </row>
    <row r="162" spans="21:22" ht="14">
      <c r="U162" s="27"/>
      <c r="V162" s="28"/>
    </row>
    <row r="163" spans="21:22" ht="14">
      <c r="U163" s="27"/>
      <c r="V163" s="28"/>
    </row>
    <row r="164" spans="21:22" ht="14">
      <c r="U164" s="27"/>
      <c r="V164" s="28"/>
    </row>
    <row r="165" spans="21:22" ht="14">
      <c r="U165" s="27"/>
      <c r="V165" s="28"/>
    </row>
    <row r="166" spans="21:22" ht="14">
      <c r="U166" s="27"/>
      <c r="V166" s="28"/>
    </row>
    <row r="167" spans="21:22" ht="14">
      <c r="U167" s="27"/>
      <c r="V167" s="28"/>
    </row>
    <row r="168" spans="21:22" ht="14">
      <c r="U168" s="27"/>
      <c r="V168" s="28"/>
    </row>
    <row r="169" spans="21:22" ht="14">
      <c r="U169" s="27"/>
      <c r="V169" s="28"/>
    </row>
    <row r="170" spans="21:22" ht="14">
      <c r="U170" s="27"/>
      <c r="V170" s="28"/>
    </row>
    <row r="171" spans="21:22" ht="14">
      <c r="U171" s="27"/>
      <c r="V171" s="28"/>
    </row>
    <row r="172" spans="21:22" ht="14">
      <c r="U172" s="27"/>
      <c r="V172" s="28"/>
    </row>
    <row r="173" spans="21:22" ht="14">
      <c r="U173" s="27"/>
      <c r="V173" s="28"/>
    </row>
    <row r="174" spans="21:22" ht="14">
      <c r="U174" s="27"/>
      <c r="V174" s="28"/>
    </row>
    <row r="175" spans="21:22" ht="14">
      <c r="U175" s="27"/>
      <c r="V175" s="28"/>
    </row>
    <row r="176" spans="21:22" ht="14">
      <c r="U176" s="27"/>
      <c r="V176" s="28"/>
    </row>
    <row r="177" spans="21:22" ht="14">
      <c r="U177" s="27"/>
      <c r="V177" s="28"/>
    </row>
    <row r="178" spans="21:22" ht="14">
      <c r="U178" s="27"/>
      <c r="V178" s="28"/>
    </row>
    <row r="179" spans="21:22" ht="14">
      <c r="U179" s="27"/>
      <c r="V179" s="28"/>
    </row>
    <row r="180" spans="21:22" ht="14">
      <c r="U180" s="27"/>
      <c r="V180" s="28"/>
    </row>
    <row r="181" spans="21:22" ht="14">
      <c r="U181" s="27"/>
      <c r="V181" s="28"/>
    </row>
    <row r="182" spans="21:22" ht="14">
      <c r="U182" s="27"/>
      <c r="V182" s="28"/>
    </row>
    <row r="183" spans="21:22" ht="14">
      <c r="U183" s="27"/>
      <c r="V183" s="28"/>
    </row>
    <row r="184" spans="21:22" ht="14">
      <c r="U184" s="27"/>
      <c r="V184" s="28"/>
    </row>
    <row r="185" spans="21:22" ht="14">
      <c r="U185" s="27"/>
      <c r="V185" s="28"/>
    </row>
    <row r="186" spans="21:22" ht="14">
      <c r="U186" s="27"/>
      <c r="V186" s="28"/>
    </row>
    <row r="187" spans="21:22" ht="14">
      <c r="U187" s="27"/>
      <c r="V187" s="28"/>
    </row>
    <row r="188" spans="21:22" ht="14">
      <c r="U188" s="27"/>
      <c r="V188" s="28"/>
    </row>
    <row r="189" spans="21:22" ht="14">
      <c r="U189" s="27"/>
      <c r="V189" s="28"/>
    </row>
    <row r="190" spans="21:22" ht="14">
      <c r="U190" s="27"/>
      <c r="V190" s="28"/>
    </row>
    <row r="191" spans="21:22" ht="14">
      <c r="U191" s="27"/>
      <c r="V191" s="28"/>
    </row>
    <row r="192" spans="21:22" ht="14">
      <c r="U192" s="27"/>
      <c r="V192" s="28"/>
    </row>
    <row r="193" spans="21:22" ht="14">
      <c r="U193" s="27"/>
      <c r="V193" s="28"/>
    </row>
    <row r="194" spans="21:22" ht="14">
      <c r="U194" s="27"/>
      <c r="V194" s="28"/>
    </row>
    <row r="195" spans="21:22" ht="14">
      <c r="U195" s="27"/>
      <c r="V195" s="28"/>
    </row>
    <row r="196" spans="21:22" ht="14">
      <c r="U196" s="27"/>
      <c r="V196" s="28"/>
    </row>
    <row r="197" spans="21:22" ht="14">
      <c r="U197" s="27"/>
      <c r="V197" s="28"/>
    </row>
    <row r="198" spans="21:22" ht="14">
      <c r="U198" s="27"/>
      <c r="V198" s="28"/>
    </row>
    <row r="199" spans="21:22" ht="14">
      <c r="U199" s="27"/>
      <c r="V199" s="28"/>
    </row>
    <row r="200" spans="21:22" ht="14">
      <c r="U200" s="27"/>
      <c r="V200" s="28"/>
    </row>
    <row r="201" spans="21:22" ht="14">
      <c r="U201" s="27"/>
      <c r="V201" s="28"/>
    </row>
    <row r="202" spans="21:22" ht="14">
      <c r="U202" s="27"/>
      <c r="V202" s="28"/>
    </row>
    <row r="203" spans="21:22" ht="14">
      <c r="U203" s="27"/>
      <c r="V203" s="28"/>
    </row>
    <row r="204" spans="21:22" ht="14">
      <c r="U204" s="27"/>
      <c r="V204" s="28"/>
    </row>
    <row r="205" spans="21:22" ht="14">
      <c r="U205" s="27"/>
      <c r="V205" s="28"/>
    </row>
    <row r="206" spans="21:22" ht="14">
      <c r="U206" s="27"/>
      <c r="V206" s="28"/>
    </row>
    <row r="207" spans="21:22" ht="14">
      <c r="U207" s="27"/>
      <c r="V207" s="28"/>
    </row>
    <row r="208" spans="21:22" ht="14">
      <c r="U208" s="27"/>
      <c r="V208" s="28"/>
    </row>
    <row r="209" spans="21:22" ht="14">
      <c r="U209" s="27"/>
      <c r="V209" s="28"/>
    </row>
    <row r="210" spans="21:22" ht="14">
      <c r="U210" s="27"/>
      <c r="V210" s="28"/>
    </row>
    <row r="211" spans="21:22" ht="14">
      <c r="U211" s="27"/>
      <c r="V211" s="28"/>
    </row>
    <row r="212" spans="21:22" ht="14">
      <c r="U212" s="27"/>
      <c r="V212" s="28"/>
    </row>
    <row r="213" spans="21:22" ht="14">
      <c r="U213" s="27"/>
      <c r="V213" s="28"/>
    </row>
    <row r="214" spans="21:22" ht="14">
      <c r="U214" s="27"/>
      <c r="V214" s="28"/>
    </row>
    <row r="215" spans="21:22" ht="14">
      <c r="U215" s="27"/>
      <c r="V215" s="28"/>
    </row>
    <row r="216" spans="21:22" ht="14">
      <c r="U216" s="27"/>
      <c r="V216" s="28"/>
    </row>
    <row r="217" spans="21:22" ht="14">
      <c r="U217" s="27"/>
      <c r="V217" s="28"/>
    </row>
    <row r="218" spans="21:22" ht="14">
      <c r="U218" s="27"/>
      <c r="V218" s="28"/>
    </row>
    <row r="219" spans="21:22" ht="14">
      <c r="U219" s="27"/>
      <c r="V219" s="28"/>
    </row>
    <row r="220" spans="21:22" ht="14">
      <c r="U220" s="27"/>
      <c r="V220" s="28"/>
    </row>
    <row r="221" spans="21:22" ht="14">
      <c r="U221" s="27"/>
      <c r="V221" s="28"/>
    </row>
    <row r="222" spans="21:22" ht="14">
      <c r="U222" s="27"/>
      <c r="V222" s="28"/>
    </row>
    <row r="223" spans="21:22" ht="14">
      <c r="U223" s="27"/>
      <c r="V223" s="28"/>
    </row>
    <row r="224" spans="21:22" ht="14">
      <c r="U224" s="27"/>
      <c r="V224" s="28"/>
    </row>
    <row r="225" spans="21:22" ht="14">
      <c r="U225" s="27"/>
      <c r="V225" s="28"/>
    </row>
    <row r="226" spans="21:22" ht="14">
      <c r="U226" s="27"/>
      <c r="V226" s="28"/>
    </row>
    <row r="227" spans="21:22" ht="14">
      <c r="U227" s="27"/>
      <c r="V227" s="28"/>
    </row>
    <row r="228" spans="21:22" ht="14">
      <c r="U228" s="27"/>
      <c r="V228" s="28"/>
    </row>
    <row r="229" spans="21:22" ht="14">
      <c r="U229" s="27"/>
      <c r="V229" s="28"/>
    </row>
    <row r="230" spans="21:22" ht="14">
      <c r="U230" s="27"/>
      <c r="V230" s="28"/>
    </row>
    <row r="231" spans="21:22" ht="14">
      <c r="U231" s="27"/>
      <c r="V231" s="28"/>
    </row>
    <row r="232" spans="21:22" ht="14">
      <c r="U232" s="27"/>
      <c r="V232" s="28"/>
    </row>
    <row r="233" spans="21:22" ht="14">
      <c r="U233" s="27"/>
      <c r="V233" s="28"/>
    </row>
    <row r="234" spans="21:22" ht="14">
      <c r="U234" s="27"/>
      <c r="V234" s="28"/>
    </row>
    <row r="235" spans="21:22" ht="14">
      <c r="U235" s="27"/>
      <c r="V235" s="28"/>
    </row>
    <row r="236" spans="21:22" ht="14">
      <c r="U236" s="27"/>
      <c r="V236" s="28"/>
    </row>
    <row r="237" spans="21:22" ht="14">
      <c r="U237" s="27"/>
      <c r="V237" s="28"/>
    </row>
    <row r="238" spans="21:22" ht="14">
      <c r="U238" s="27"/>
      <c r="V238" s="28"/>
    </row>
    <row r="239" spans="21:22" ht="14">
      <c r="U239" s="27"/>
      <c r="V239" s="28"/>
    </row>
    <row r="240" spans="21:22" ht="14">
      <c r="U240" s="27"/>
      <c r="V240" s="28"/>
    </row>
    <row r="241" spans="21:22" ht="14">
      <c r="U241" s="27"/>
      <c r="V241" s="28"/>
    </row>
    <row r="242" spans="21:22" ht="14">
      <c r="U242" s="27"/>
      <c r="V242" s="28"/>
    </row>
    <row r="243" spans="21:22" ht="14">
      <c r="U243" s="27"/>
      <c r="V243" s="28"/>
    </row>
    <row r="244" spans="21:22" ht="14">
      <c r="U244" s="27"/>
      <c r="V244" s="28"/>
    </row>
    <row r="245" spans="21:22" ht="14">
      <c r="U245" s="27"/>
      <c r="V245" s="28"/>
    </row>
    <row r="246" spans="21:22" ht="14">
      <c r="U246" s="27"/>
      <c r="V246" s="28"/>
    </row>
    <row r="247" spans="21:22" ht="14">
      <c r="U247" s="27"/>
      <c r="V247" s="28"/>
    </row>
    <row r="248" spans="21:22" ht="14">
      <c r="U248" s="27"/>
      <c r="V248" s="28"/>
    </row>
    <row r="249" spans="21:22" ht="14">
      <c r="U249" s="27"/>
      <c r="V249" s="28"/>
    </row>
    <row r="250" spans="21:22" ht="14">
      <c r="U250" s="27"/>
      <c r="V250" s="28"/>
    </row>
    <row r="251" spans="21:22" ht="14">
      <c r="U251" s="27"/>
      <c r="V251" s="28"/>
    </row>
    <row r="252" spans="21:22" ht="14">
      <c r="U252" s="27"/>
      <c r="V252" s="28"/>
    </row>
    <row r="253" spans="21:22" ht="14">
      <c r="U253" s="27"/>
      <c r="V253" s="28"/>
    </row>
    <row r="254" spans="21:22" ht="14">
      <c r="U254" s="27"/>
      <c r="V254" s="28"/>
    </row>
    <row r="255" spans="21:22" ht="14">
      <c r="U255" s="27"/>
      <c r="V255" s="28"/>
    </row>
    <row r="256" spans="21:22" ht="14">
      <c r="U256" s="27"/>
      <c r="V256" s="28"/>
    </row>
    <row r="257" spans="21:22" ht="14">
      <c r="U257" s="27"/>
      <c r="V257" s="28"/>
    </row>
    <row r="258" spans="21:22" ht="14">
      <c r="U258" s="27"/>
      <c r="V258" s="28"/>
    </row>
    <row r="259" spans="21:22" ht="14">
      <c r="U259" s="27"/>
      <c r="V259" s="28"/>
    </row>
    <row r="260" spans="21:22" ht="14">
      <c r="U260" s="27"/>
      <c r="V260" s="28"/>
    </row>
    <row r="261" spans="21:22" ht="14">
      <c r="U261" s="27"/>
      <c r="V261" s="28"/>
    </row>
    <row r="262" spans="21:22" ht="14">
      <c r="U262" s="27"/>
      <c r="V262" s="28"/>
    </row>
    <row r="263" spans="21:22" ht="14">
      <c r="U263" s="27"/>
      <c r="V263" s="28"/>
    </row>
    <row r="264" spans="21:22" ht="14">
      <c r="U264" s="27"/>
      <c r="V264" s="28"/>
    </row>
    <row r="265" spans="21:22" ht="14">
      <c r="U265" s="27"/>
      <c r="V265" s="28"/>
    </row>
    <row r="266" spans="21:22" ht="14">
      <c r="U266" s="27"/>
      <c r="V266" s="28"/>
    </row>
    <row r="267" spans="21:22" ht="14">
      <c r="U267" s="27"/>
      <c r="V267" s="28"/>
    </row>
    <row r="268" spans="21:22" ht="14">
      <c r="U268" s="27"/>
      <c r="V268" s="28"/>
    </row>
    <row r="269" spans="21:22" ht="14">
      <c r="U269" s="27"/>
      <c r="V269" s="28"/>
    </row>
    <row r="270" spans="21:22" ht="14">
      <c r="U270" s="27"/>
      <c r="V270" s="28"/>
    </row>
    <row r="271" spans="21:22" ht="14">
      <c r="U271" s="27"/>
      <c r="V271" s="28"/>
    </row>
    <row r="272" spans="21:22" ht="14">
      <c r="U272" s="27"/>
      <c r="V272" s="28"/>
    </row>
    <row r="273" spans="21:22" ht="14">
      <c r="U273" s="27"/>
      <c r="V273" s="28"/>
    </row>
    <row r="274" spans="21:22" ht="14">
      <c r="U274" s="27"/>
      <c r="V274" s="28"/>
    </row>
    <row r="275" spans="21:22" ht="14">
      <c r="U275" s="27"/>
      <c r="V275" s="28"/>
    </row>
    <row r="276" spans="21:22" ht="14">
      <c r="U276" s="27"/>
      <c r="V276" s="28"/>
    </row>
    <row r="277" spans="21:22" ht="14">
      <c r="U277" s="27"/>
      <c r="V277" s="28"/>
    </row>
    <row r="278" spans="21:22" ht="14">
      <c r="U278" s="27"/>
      <c r="V278" s="28"/>
    </row>
    <row r="279" spans="21:22" ht="14">
      <c r="U279" s="27"/>
      <c r="V279" s="28"/>
    </row>
    <row r="280" spans="21:22" ht="14">
      <c r="U280" s="27"/>
      <c r="V280" s="28"/>
    </row>
    <row r="281" spans="21:22" ht="14">
      <c r="U281" s="27"/>
      <c r="V281" s="28"/>
    </row>
    <row r="282" spans="21:22" ht="14">
      <c r="U282" s="27"/>
      <c r="V282" s="28"/>
    </row>
    <row r="283" spans="21:22" ht="14">
      <c r="U283" s="27"/>
      <c r="V283" s="28"/>
    </row>
    <row r="284" spans="21:22" ht="14">
      <c r="U284" s="27"/>
      <c r="V284" s="28"/>
    </row>
    <row r="285" spans="21:22" ht="14">
      <c r="U285" s="27"/>
      <c r="V285" s="28"/>
    </row>
    <row r="286" spans="21:22" ht="14">
      <c r="U286" s="27"/>
      <c r="V286" s="28"/>
    </row>
    <row r="287" spans="21:22" ht="14">
      <c r="U287" s="27"/>
      <c r="V287" s="28"/>
    </row>
    <row r="288" spans="21:22" ht="14">
      <c r="U288" s="27"/>
      <c r="V288" s="28"/>
    </row>
    <row r="289" spans="21:22" ht="14">
      <c r="U289" s="27"/>
      <c r="V289" s="28"/>
    </row>
    <row r="290" spans="21:22" ht="14">
      <c r="U290" s="27"/>
      <c r="V290" s="28"/>
    </row>
    <row r="291" spans="21:22" ht="14">
      <c r="U291" s="27"/>
      <c r="V291" s="28"/>
    </row>
    <row r="292" spans="21:22" ht="14">
      <c r="U292" s="27"/>
      <c r="V292" s="28"/>
    </row>
    <row r="293" spans="21:22" ht="14">
      <c r="U293" s="27"/>
      <c r="V293" s="28"/>
    </row>
    <row r="294" spans="21:22" ht="14">
      <c r="U294" s="27"/>
      <c r="V294" s="28"/>
    </row>
    <row r="295" spans="21:22" ht="14">
      <c r="U295" s="27"/>
      <c r="V295" s="28"/>
    </row>
    <row r="296" spans="21:22" ht="14">
      <c r="U296" s="27"/>
      <c r="V296" s="28"/>
    </row>
    <row r="297" spans="21:22" ht="14">
      <c r="U297" s="27"/>
      <c r="V297" s="28"/>
    </row>
    <row r="298" spans="21:22" ht="14">
      <c r="U298" s="27"/>
      <c r="V298" s="28"/>
    </row>
    <row r="299" spans="21:22" ht="14">
      <c r="U299" s="27"/>
      <c r="V299" s="28"/>
    </row>
    <row r="300" spans="21:22" ht="14">
      <c r="U300" s="27"/>
      <c r="V300" s="28"/>
    </row>
    <row r="301" spans="21:22" ht="14">
      <c r="U301" s="27"/>
      <c r="V301" s="28"/>
    </row>
    <row r="302" spans="21:22" ht="14">
      <c r="U302" s="27"/>
      <c r="V302" s="28"/>
    </row>
    <row r="303" spans="21:22" ht="14">
      <c r="U303" s="27"/>
      <c r="V303" s="28"/>
    </row>
    <row r="304" spans="21:22" ht="14">
      <c r="U304" s="27"/>
      <c r="V304" s="28"/>
    </row>
    <row r="305" spans="21:22" ht="14">
      <c r="U305" s="27"/>
      <c r="V305" s="28"/>
    </row>
    <row r="306" spans="21:22" ht="14">
      <c r="U306" s="27"/>
      <c r="V306" s="28"/>
    </row>
    <row r="307" spans="21:22" ht="14">
      <c r="U307" s="27"/>
      <c r="V307" s="28"/>
    </row>
    <row r="308" spans="21:22" ht="14">
      <c r="U308" s="27"/>
      <c r="V308" s="28"/>
    </row>
    <row r="309" spans="21:22" ht="14">
      <c r="U309" s="27"/>
      <c r="V309" s="28"/>
    </row>
    <row r="310" spans="21:22" ht="14">
      <c r="U310" s="27"/>
      <c r="V310" s="28"/>
    </row>
    <row r="311" spans="21:22" ht="14">
      <c r="U311" s="27"/>
      <c r="V311" s="28"/>
    </row>
    <row r="312" spans="21:22" ht="14">
      <c r="U312" s="27"/>
      <c r="V312" s="28"/>
    </row>
    <row r="313" spans="21:22" ht="14">
      <c r="U313" s="27"/>
      <c r="V313" s="28"/>
    </row>
    <row r="314" spans="21:22" ht="14">
      <c r="U314" s="27"/>
      <c r="V314" s="28"/>
    </row>
    <row r="315" spans="21:22" ht="14">
      <c r="U315" s="27"/>
      <c r="V315" s="28"/>
    </row>
    <row r="316" spans="21:22" ht="14">
      <c r="U316" s="27"/>
      <c r="V316" s="28"/>
    </row>
    <row r="317" spans="21:22" ht="14">
      <c r="U317" s="27"/>
      <c r="V317" s="28"/>
    </row>
    <row r="318" spans="21:22" ht="14">
      <c r="U318" s="27"/>
      <c r="V318" s="28"/>
    </row>
    <row r="319" spans="21:22" ht="14">
      <c r="U319" s="27"/>
      <c r="V319" s="28"/>
    </row>
    <row r="320" spans="21:22" ht="14">
      <c r="U320" s="27"/>
      <c r="V320" s="28"/>
    </row>
    <row r="321" spans="21:22" ht="14">
      <c r="U321" s="27"/>
      <c r="V321" s="28"/>
    </row>
    <row r="322" spans="21:22" ht="14">
      <c r="U322" s="27"/>
      <c r="V322" s="28"/>
    </row>
    <row r="323" spans="21:22" ht="14">
      <c r="U323" s="27"/>
      <c r="V323" s="28"/>
    </row>
    <row r="324" spans="21:22" ht="14">
      <c r="U324" s="27"/>
      <c r="V324" s="28"/>
    </row>
    <row r="325" spans="21:22" ht="14">
      <c r="U325" s="27"/>
      <c r="V325" s="28"/>
    </row>
    <row r="326" spans="21:22" ht="14">
      <c r="U326" s="27"/>
      <c r="V326" s="28"/>
    </row>
    <row r="327" spans="21:22" ht="14">
      <c r="U327" s="27"/>
      <c r="V327" s="28"/>
    </row>
    <row r="328" spans="21:22" ht="14">
      <c r="U328" s="27"/>
      <c r="V328" s="28"/>
    </row>
    <row r="329" spans="21:22" ht="14">
      <c r="U329" s="27"/>
      <c r="V329" s="28"/>
    </row>
    <row r="330" spans="21:22" ht="14">
      <c r="U330" s="27"/>
      <c r="V330" s="28"/>
    </row>
    <row r="331" spans="21:22" ht="14">
      <c r="U331" s="27"/>
      <c r="V331" s="28"/>
    </row>
    <row r="332" spans="21:22" ht="14">
      <c r="U332" s="27"/>
      <c r="V332" s="28"/>
    </row>
    <row r="333" spans="21:22" ht="14">
      <c r="U333" s="27"/>
      <c r="V333" s="28"/>
    </row>
    <row r="334" spans="21:22" ht="14">
      <c r="U334" s="27"/>
      <c r="V334" s="28"/>
    </row>
    <row r="335" spans="21:22" ht="14">
      <c r="U335" s="27"/>
      <c r="V335" s="28"/>
    </row>
    <row r="336" spans="21:22" ht="14">
      <c r="U336" s="27"/>
      <c r="V336" s="28"/>
    </row>
    <row r="337" spans="21:22" ht="14">
      <c r="U337" s="27"/>
      <c r="V337" s="28"/>
    </row>
    <row r="338" spans="21:22" ht="14">
      <c r="U338" s="27"/>
      <c r="V338" s="28"/>
    </row>
    <row r="339" spans="21:22" ht="14">
      <c r="U339" s="27"/>
      <c r="V339" s="28"/>
    </row>
    <row r="340" spans="21:22" ht="14">
      <c r="U340" s="27"/>
      <c r="V340" s="28"/>
    </row>
    <row r="341" spans="21:22" ht="14">
      <c r="U341" s="27"/>
      <c r="V341" s="28"/>
    </row>
    <row r="342" spans="21:22" ht="14">
      <c r="U342" s="27"/>
      <c r="V342" s="28"/>
    </row>
    <row r="343" spans="21:22" ht="14">
      <c r="U343" s="27"/>
      <c r="V343" s="28"/>
    </row>
    <row r="344" spans="21:22" ht="14">
      <c r="U344" s="27"/>
      <c r="V344" s="28"/>
    </row>
    <row r="345" spans="21:22" ht="14">
      <c r="U345" s="27"/>
      <c r="V345" s="28"/>
    </row>
    <row r="346" spans="21:22" ht="14">
      <c r="U346" s="27"/>
      <c r="V346" s="28"/>
    </row>
    <row r="347" spans="21:22" ht="14">
      <c r="U347" s="27"/>
      <c r="V347" s="28"/>
    </row>
    <row r="348" spans="21:22" ht="14">
      <c r="U348" s="27"/>
      <c r="V348" s="28"/>
    </row>
    <row r="349" spans="21:22" ht="14">
      <c r="U349" s="27"/>
      <c r="V349" s="28"/>
    </row>
    <row r="350" spans="21:22" ht="14">
      <c r="U350" s="27"/>
      <c r="V350" s="28"/>
    </row>
    <row r="351" spans="21:22" ht="14">
      <c r="U351" s="27"/>
      <c r="V351" s="28"/>
    </row>
    <row r="352" spans="21:22" ht="14">
      <c r="U352" s="27"/>
      <c r="V352" s="28"/>
    </row>
    <row r="353" spans="21:22" ht="14">
      <c r="U353" s="27"/>
      <c r="V353" s="28"/>
    </row>
    <row r="354" spans="21:22" ht="14">
      <c r="U354" s="27"/>
      <c r="V354" s="28"/>
    </row>
    <row r="355" spans="21:22" ht="14">
      <c r="U355" s="27"/>
      <c r="V355" s="28"/>
    </row>
    <row r="356" spans="21:22" ht="14">
      <c r="U356" s="27"/>
      <c r="V356" s="28"/>
    </row>
    <row r="357" spans="21:22" ht="14">
      <c r="U357" s="27"/>
      <c r="V357" s="28"/>
    </row>
    <row r="358" spans="21:22" ht="14">
      <c r="U358" s="27"/>
      <c r="V358" s="28"/>
    </row>
    <row r="359" spans="21:22" ht="14">
      <c r="U359" s="27"/>
      <c r="V359" s="28"/>
    </row>
    <row r="360" spans="21:22" ht="14">
      <c r="U360" s="27"/>
      <c r="V360" s="28"/>
    </row>
    <row r="361" spans="21:22" ht="14">
      <c r="U361" s="27"/>
      <c r="V361" s="28"/>
    </row>
    <row r="362" spans="21:22" ht="14">
      <c r="U362" s="27"/>
      <c r="V362" s="28"/>
    </row>
    <row r="363" spans="21:22" ht="14">
      <c r="U363" s="27"/>
      <c r="V363" s="28"/>
    </row>
    <row r="364" spans="21:22" ht="14">
      <c r="U364" s="27"/>
      <c r="V364" s="28"/>
    </row>
    <row r="365" spans="21:22" ht="14">
      <c r="U365" s="27"/>
      <c r="V365" s="28"/>
    </row>
    <row r="366" spans="21:22" ht="14">
      <c r="U366" s="27"/>
      <c r="V366" s="28"/>
    </row>
    <row r="367" spans="21:22" ht="14">
      <c r="U367" s="27"/>
      <c r="V367" s="28"/>
    </row>
    <row r="368" spans="21:22" ht="14">
      <c r="U368" s="27"/>
      <c r="V368" s="28"/>
    </row>
    <row r="369" spans="21:22" ht="14">
      <c r="U369" s="27"/>
      <c r="V369" s="28"/>
    </row>
    <row r="370" spans="21:22" ht="14">
      <c r="U370" s="27"/>
      <c r="V370" s="28"/>
    </row>
    <row r="371" spans="21:22" ht="14">
      <c r="U371" s="27"/>
      <c r="V371" s="28"/>
    </row>
    <row r="372" spans="21:22" ht="14">
      <c r="U372" s="27"/>
      <c r="V372" s="28"/>
    </row>
    <row r="373" spans="21:22" ht="14">
      <c r="U373" s="27"/>
      <c r="V373" s="28"/>
    </row>
    <row r="374" spans="21:22" ht="14">
      <c r="U374" s="27"/>
      <c r="V374" s="28"/>
    </row>
    <row r="375" spans="21:22" ht="14">
      <c r="U375" s="27"/>
      <c r="V375" s="28"/>
    </row>
    <row r="376" spans="21:22" ht="14">
      <c r="U376" s="27"/>
      <c r="V376" s="28"/>
    </row>
    <row r="377" spans="21:22" ht="14">
      <c r="U377" s="27"/>
      <c r="V377" s="28"/>
    </row>
    <row r="378" spans="21:22" ht="14">
      <c r="U378" s="27"/>
      <c r="V378" s="28"/>
    </row>
    <row r="379" spans="21:22" ht="14">
      <c r="U379" s="27"/>
      <c r="V379" s="28"/>
    </row>
    <row r="380" spans="21:22" ht="14">
      <c r="U380" s="27"/>
      <c r="V380" s="28"/>
    </row>
    <row r="381" spans="21:22" ht="14">
      <c r="U381" s="27"/>
      <c r="V381" s="28"/>
    </row>
    <row r="382" spans="21:22" ht="14">
      <c r="U382" s="27"/>
      <c r="V382" s="28"/>
    </row>
    <row r="383" spans="21:22" ht="14">
      <c r="U383" s="27"/>
      <c r="V383" s="28"/>
    </row>
    <row r="384" spans="21:22" ht="14">
      <c r="U384" s="27"/>
      <c r="V384" s="28"/>
    </row>
    <row r="385" spans="21:22" ht="14">
      <c r="U385" s="27"/>
      <c r="V385" s="28"/>
    </row>
    <row r="386" spans="21:22" ht="14">
      <c r="U386" s="27"/>
      <c r="V386" s="28"/>
    </row>
    <row r="387" spans="21:22" ht="14">
      <c r="U387" s="27"/>
      <c r="V387" s="28"/>
    </row>
    <row r="388" spans="21:22" ht="14">
      <c r="U388" s="27"/>
      <c r="V388" s="28"/>
    </row>
    <row r="389" spans="21:22" ht="14">
      <c r="U389" s="27"/>
      <c r="V389" s="28"/>
    </row>
    <row r="390" spans="21:22" ht="14">
      <c r="U390" s="27"/>
      <c r="V390" s="28"/>
    </row>
    <row r="391" spans="21:22" ht="14">
      <c r="U391" s="27"/>
      <c r="V391" s="28"/>
    </row>
    <row r="392" spans="21:22" ht="14">
      <c r="U392" s="27"/>
      <c r="V392" s="28"/>
    </row>
    <row r="393" spans="21:22" ht="14">
      <c r="U393" s="27"/>
      <c r="V393" s="28"/>
    </row>
    <row r="394" spans="21:22" ht="14">
      <c r="U394" s="27"/>
      <c r="V394" s="28"/>
    </row>
    <row r="395" spans="21:22" ht="14">
      <c r="U395" s="27"/>
      <c r="V395" s="28"/>
    </row>
    <row r="396" spans="21:22" ht="14">
      <c r="U396" s="27"/>
      <c r="V396" s="28"/>
    </row>
    <row r="397" spans="21:22" ht="14">
      <c r="U397" s="27"/>
      <c r="V397" s="28"/>
    </row>
    <row r="398" spans="21:22" ht="14">
      <c r="U398" s="27"/>
      <c r="V398" s="28"/>
    </row>
    <row r="399" spans="21:22" ht="14">
      <c r="U399" s="27"/>
      <c r="V399" s="28"/>
    </row>
    <row r="400" spans="21:22" ht="14">
      <c r="U400" s="27"/>
      <c r="V400" s="28"/>
    </row>
    <row r="401" spans="21:22" ht="14">
      <c r="U401" s="27"/>
      <c r="V401" s="28"/>
    </row>
    <row r="402" spans="21:22" ht="14">
      <c r="U402" s="27"/>
      <c r="V402" s="28"/>
    </row>
    <row r="403" spans="21:22" ht="14">
      <c r="U403" s="27"/>
      <c r="V403" s="28"/>
    </row>
    <row r="404" spans="21:22" ht="14">
      <c r="U404" s="27"/>
      <c r="V404" s="28"/>
    </row>
    <row r="405" spans="21:22" ht="14">
      <c r="U405" s="27"/>
      <c r="V405" s="28"/>
    </row>
    <row r="406" spans="21:22" ht="14">
      <c r="U406" s="27"/>
      <c r="V406" s="28"/>
    </row>
    <row r="407" spans="21:22" ht="14">
      <c r="U407" s="27"/>
      <c r="V407" s="28"/>
    </row>
    <row r="408" spans="21:22" ht="14">
      <c r="U408" s="27"/>
      <c r="V408" s="28"/>
    </row>
    <row r="409" spans="21:22" ht="14">
      <c r="U409" s="27"/>
      <c r="V409" s="28"/>
    </row>
    <row r="410" spans="21:22" ht="14">
      <c r="U410" s="27"/>
      <c r="V410" s="28"/>
    </row>
    <row r="411" spans="21:22" ht="14">
      <c r="U411" s="27"/>
      <c r="V411" s="28"/>
    </row>
    <row r="412" spans="21:22" ht="14">
      <c r="U412" s="27"/>
      <c r="V412" s="28"/>
    </row>
    <row r="413" spans="21:22" ht="14">
      <c r="U413" s="27"/>
      <c r="V413" s="28"/>
    </row>
    <row r="414" spans="21:22" ht="14">
      <c r="U414" s="27"/>
      <c r="V414" s="28"/>
    </row>
    <row r="415" spans="21:22" ht="14">
      <c r="U415" s="27"/>
      <c r="V415" s="28"/>
    </row>
    <row r="416" spans="21:22" ht="14">
      <c r="U416" s="27"/>
      <c r="V416" s="28"/>
    </row>
    <row r="417" spans="21:22" ht="14">
      <c r="U417" s="27"/>
      <c r="V417" s="28"/>
    </row>
    <row r="418" spans="21:22" ht="14">
      <c r="U418" s="27"/>
      <c r="V418" s="28"/>
    </row>
    <row r="419" spans="21:22" ht="14">
      <c r="U419" s="27"/>
      <c r="V419" s="28"/>
    </row>
    <row r="420" spans="21:22" ht="14">
      <c r="U420" s="27"/>
      <c r="V420" s="28"/>
    </row>
    <row r="421" spans="21:22" ht="14">
      <c r="U421" s="27"/>
      <c r="V421" s="28"/>
    </row>
    <row r="422" spans="21:22" ht="14">
      <c r="U422" s="27"/>
      <c r="V422" s="28"/>
    </row>
    <row r="423" spans="21:22" ht="14">
      <c r="U423" s="27"/>
      <c r="V423" s="28"/>
    </row>
    <row r="424" spans="21:22" ht="14">
      <c r="U424" s="27"/>
      <c r="V424" s="28"/>
    </row>
    <row r="425" spans="21:22" ht="14">
      <c r="U425" s="27"/>
      <c r="V425" s="28"/>
    </row>
    <row r="426" spans="21:22" ht="14">
      <c r="U426" s="27"/>
      <c r="V426" s="28"/>
    </row>
    <row r="427" spans="21:22" ht="14">
      <c r="U427" s="27"/>
      <c r="V427" s="28"/>
    </row>
    <row r="428" spans="21:22" ht="14">
      <c r="U428" s="27"/>
      <c r="V428" s="28"/>
    </row>
    <row r="429" spans="21:22" ht="14">
      <c r="U429" s="27"/>
      <c r="V429" s="28"/>
    </row>
    <row r="430" spans="21:22" ht="14">
      <c r="U430" s="27"/>
      <c r="V430" s="28"/>
    </row>
    <row r="431" spans="21:22" ht="14">
      <c r="U431" s="27"/>
      <c r="V431" s="28"/>
    </row>
    <row r="432" spans="21:22" ht="14">
      <c r="U432" s="27"/>
      <c r="V432" s="28"/>
    </row>
    <row r="433" spans="21:22" ht="14">
      <c r="U433" s="27"/>
      <c r="V433" s="28"/>
    </row>
    <row r="434" spans="21:22" ht="14">
      <c r="U434" s="27"/>
      <c r="V434" s="28"/>
    </row>
    <row r="435" spans="21:22" ht="14">
      <c r="U435" s="27"/>
      <c r="V435" s="28"/>
    </row>
    <row r="436" spans="21:22" ht="14">
      <c r="U436" s="27"/>
      <c r="V436" s="28"/>
    </row>
    <row r="437" spans="21:22" ht="14">
      <c r="U437" s="27"/>
      <c r="V437" s="28"/>
    </row>
    <row r="438" spans="21:22" ht="14">
      <c r="U438" s="27"/>
      <c r="V438" s="28"/>
    </row>
    <row r="439" spans="21:22" ht="14">
      <c r="U439" s="27"/>
      <c r="V439" s="28"/>
    </row>
    <row r="440" spans="21:22" ht="14">
      <c r="U440" s="27"/>
      <c r="V440" s="28"/>
    </row>
    <row r="441" spans="21:22" ht="14">
      <c r="U441" s="27"/>
      <c r="V441" s="28"/>
    </row>
    <row r="442" spans="21:22" ht="14">
      <c r="U442" s="27"/>
      <c r="V442" s="28"/>
    </row>
    <row r="443" spans="21:22" ht="14">
      <c r="U443" s="27"/>
      <c r="V443" s="28"/>
    </row>
    <row r="444" spans="21:22" ht="14">
      <c r="U444" s="27"/>
      <c r="V444" s="28"/>
    </row>
    <row r="445" spans="21:22" ht="14">
      <c r="U445" s="27"/>
      <c r="V445" s="28"/>
    </row>
    <row r="446" spans="21:22" ht="14">
      <c r="U446" s="27"/>
      <c r="V446" s="28"/>
    </row>
    <row r="447" spans="21:22" ht="14">
      <c r="U447" s="27"/>
      <c r="V447" s="28"/>
    </row>
    <row r="448" spans="21:22" ht="14">
      <c r="U448" s="27"/>
      <c r="V448" s="28"/>
    </row>
    <row r="449" spans="21:22" ht="14">
      <c r="U449" s="27"/>
      <c r="V449" s="28"/>
    </row>
    <row r="450" spans="21:22" ht="14">
      <c r="U450" s="27"/>
      <c r="V450" s="28"/>
    </row>
    <row r="451" spans="21:22" ht="14">
      <c r="U451" s="27"/>
      <c r="V451" s="28"/>
    </row>
    <row r="452" spans="21:22" ht="14">
      <c r="U452" s="27"/>
      <c r="V452" s="28"/>
    </row>
    <row r="453" spans="21:22" ht="14">
      <c r="U453" s="27"/>
      <c r="V453" s="28"/>
    </row>
    <row r="454" spans="21:22" ht="14">
      <c r="U454" s="27"/>
      <c r="V454" s="28"/>
    </row>
    <row r="455" spans="21:22" ht="14">
      <c r="U455" s="27"/>
      <c r="V455" s="28"/>
    </row>
    <row r="456" spans="21:22" ht="14">
      <c r="U456" s="27"/>
      <c r="V456" s="28"/>
    </row>
    <row r="457" spans="21:22" ht="14">
      <c r="U457" s="27"/>
      <c r="V457" s="28"/>
    </row>
    <row r="458" spans="21:22" ht="14">
      <c r="U458" s="27"/>
      <c r="V458" s="28"/>
    </row>
    <row r="459" spans="21:22" ht="14">
      <c r="U459" s="27"/>
      <c r="V459" s="28"/>
    </row>
    <row r="460" spans="21:22" ht="14">
      <c r="U460" s="27"/>
      <c r="V460" s="28"/>
    </row>
    <row r="461" spans="21:22" ht="14">
      <c r="U461" s="27"/>
      <c r="V461" s="28"/>
    </row>
    <row r="462" spans="21:22" ht="14">
      <c r="U462" s="27"/>
      <c r="V462" s="28"/>
    </row>
    <row r="463" spans="21:22" ht="14">
      <c r="U463" s="27"/>
      <c r="V463" s="28"/>
    </row>
    <row r="464" spans="21:22" ht="14">
      <c r="U464" s="27"/>
      <c r="V464" s="28"/>
    </row>
    <row r="465" spans="21:22" ht="14">
      <c r="U465" s="27"/>
      <c r="V465" s="28"/>
    </row>
    <row r="466" spans="21:22" ht="14">
      <c r="U466" s="27"/>
      <c r="V466" s="28"/>
    </row>
    <row r="467" spans="21:22" ht="14">
      <c r="U467" s="27"/>
      <c r="V467" s="28"/>
    </row>
    <row r="468" spans="21:22" ht="14">
      <c r="U468" s="27"/>
      <c r="V468" s="28"/>
    </row>
    <row r="469" spans="21:22" ht="14">
      <c r="U469" s="27"/>
      <c r="V469" s="28"/>
    </row>
    <row r="470" spans="21:22" ht="14">
      <c r="U470" s="27"/>
      <c r="V470" s="28"/>
    </row>
    <row r="471" spans="21:22" ht="14">
      <c r="U471" s="27"/>
      <c r="V471" s="28"/>
    </row>
    <row r="472" spans="21:22" ht="14">
      <c r="U472" s="27"/>
      <c r="V472" s="28"/>
    </row>
    <row r="473" spans="21:22" ht="14">
      <c r="U473" s="27"/>
      <c r="V473" s="28"/>
    </row>
    <row r="474" spans="21:22" ht="14">
      <c r="U474" s="27"/>
      <c r="V474" s="28"/>
    </row>
    <row r="475" spans="21:22" ht="14">
      <c r="U475" s="27"/>
      <c r="V475" s="28"/>
    </row>
    <row r="476" spans="21:22" ht="14">
      <c r="U476" s="27"/>
      <c r="V476" s="28"/>
    </row>
    <row r="477" spans="21:22" ht="14">
      <c r="U477" s="27"/>
      <c r="V477" s="28"/>
    </row>
    <row r="478" spans="21:22" ht="14">
      <c r="U478" s="27"/>
      <c r="V478" s="28"/>
    </row>
    <row r="479" spans="21:22" ht="14">
      <c r="U479" s="27"/>
      <c r="V479" s="28"/>
    </row>
    <row r="480" spans="21:22" ht="14">
      <c r="U480" s="27"/>
      <c r="V480" s="28"/>
    </row>
    <row r="481" spans="21:22" ht="14">
      <c r="U481" s="27"/>
      <c r="V481" s="28"/>
    </row>
    <row r="482" spans="21:22" ht="14">
      <c r="U482" s="27"/>
      <c r="V482" s="28"/>
    </row>
    <row r="483" spans="21:22" ht="14">
      <c r="U483" s="27"/>
      <c r="V483" s="28"/>
    </row>
    <row r="484" spans="21:22" ht="14">
      <c r="U484" s="27"/>
      <c r="V484" s="28"/>
    </row>
    <row r="485" spans="21:22" ht="14">
      <c r="U485" s="27"/>
      <c r="V485" s="28"/>
    </row>
    <row r="486" spans="21:22" ht="14">
      <c r="U486" s="27"/>
      <c r="V486" s="28"/>
    </row>
    <row r="487" spans="21:22" ht="14">
      <c r="U487" s="27"/>
      <c r="V487" s="28"/>
    </row>
    <row r="488" spans="21:22" ht="14">
      <c r="U488" s="27"/>
      <c r="V488" s="28"/>
    </row>
    <row r="489" spans="21:22" ht="14">
      <c r="U489" s="27"/>
      <c r="V489" s="28"/>
    </row>
    <row r="490" spans="21:22" ht="14">
      <c r="U490" s="27"/>
      <c r="V490" s="28"/>
    </row>
    <row r="491" spans="21:22" ht="14">
      <c r="U491" s="27"/>
      <c r="V491" s="28"/>
    </row>
    <row r="492" spans="21:22" ht="14">
      <c r="U492" s="27"/>
      <c r="V492" s="28"/>
    </row>
    <row r="493" spans="21:22" ht="14">
      <c r="U493" s="27"/>
      <c r="V493" s="28"/>
    </row>
    <row r="494" spans="21:22" ht="14">
      <c r="U494" s="27"/>
      <c r="V494" s="28"/>
    </row>
    <row r="495" spans="21:22" ht="14">
      <c r="U495" s="27"/>
      <c r="V495" s="28"/>
    </row>
    <row r="496" spans="21:22" ht="14">
      <c r="U496" s="27"/>
      <c r="V496" s="28"/>
    </row>
    <row r="497" spans="21:22" ht="14">
      <c r="U497" s="27"/>
      <c r="V497" s="28"/>
    </row>
    <row r="498" spans="21:22" ht="14">
      <c r="U498" s="27"/>
      <c r="V498" s="28"/>
    </row>
    <row r="499" spans="21:22" ht="14">
      <c r="U499" s="27"/>
      <c r="V499" s="28"/>
    </row>
    <row r="500" spans="21:22" ht="14">
      <c r="U500" s="27"/>
      <c r="V500" s="28"/>
    </row>
    <row r="501" spans="21:22" ht="14">
      <c r="U501" s="27"/>
      <c r="V501" s="28"/>
    </row>
    <row r="502" spans="21:22" ht="14">
      <c r="U502" s="27"/>
      <c r="V502" s="28"/>
    </row>
    <row r="503" spans="21:22" ht="14">
      <c r="U503" s="27"/>
      <c r="V503" s="28"/>
    </row>
    <row r="504" spans="21:22" ht="14">
      <c r="U504" s="27"/>
      <c r="V504" s="28"/>
    </row>
    <row r="505" spans="21:22" ht="14">
      <c r="U505" s="27"/>
      <c r="V505" s="28"/>
    </row>
    <row r="506" spans="21:22" ht="14">
      <c r="U506" s="27"/>
      <c r="V506" s="28"/>
    </row>
    <row r="507" spans="21:22" ht="14">
      <c r="U507" s="27"/>
      <c r="V507" s="28"/>
    </row>
    <row r="508" spans="21:22" ht="14">
      <c r="U508" s="27"/>
      <c r="V508" s="28"/>
    </row>
    <row r="509" spans="21:22" ht="14">
      <c r="U509" s="27"/>
      <c r="V509" s="28"/>
    </row>
    <row r="510" spans="21:22" ht="14">
      <c r="U510" s="27"/>
      <c r="V510" s="28"/>
    </row>
    <row r="511" spans="21:22" ht="14">
      <c r="U511" s="27"/>
      <c r="V511" s="28"/>
    </row>
    <row r="512" spans="21:22" ht="14">
      <c r="U512" s="27"/>
      <c r="V512" s="28"/>
    </row>
    <row r="513" spans="21:22" ht="14">
      <c r="U513" s="27"/>
      <c r="V513" s="28"/>
    </row>
    <row r="514" spans="21:22" ht="14">
      <c r="U514" s="27"/>
      <c r="V514" s="28"/>
    </row>
    <row r="515" spans="21:22" ht="14">
      <c r="U515" s="27"/>
      <c r="V515" s="28"/>
    </row>
    <row r="516" spans="21:22" ht="14">
      <c r="U516" s="27"/>
      <c r="V516" s="28"/>
    </row>
    <row r="517" spans="21:22" ht="14">
      <c r="U517" s="27"/>
      <c r="V517" s="28"/>
    </row>
    <row r="518" spans="21:22" ht="14">
      <c r="U518" s="27"/>
      <c r="V518" s="28"/>
    </row>
    <row r="519" spans="21:22" ht="14">
      <c r="U519" s="27"/>
      <c r="V519" s="28"/>
    </row>
    <row r="520" spans="21:22" ht="14">
      <c r="U520" s="27"/>
      <c r="V520" s="28"/>
    </row>
    <row r="521" spans="21:22" ht="14">
      <c r="U521" s="27"/>
      <c r="V521" s="28"/>
    </row>
    <row r="522" spans="21:22" ht="14">
      <c r="U522" s="27"/>
      <c r="V522" s="28"/>
    </row>
    <row r="523" spans="21:22" ht="14">
      <c r="U523" s="27"/>
      <c r="V523" s="28"/>
    </row>
    <row r="524" spans="21:22" ht="14">
      <c r="U524" s="27"/>
      <c r="V524" s="28"/>
    </row>
    <row r="525" spans="21:22" ht="14">
      <c r="U525" s="27"/>
      <c r="V525" s="28"/>
    </row>
    <row r="526" spans="21:22" ht="14">
      <c r="U526" s="27"/>
      <c r="V526" s="28"/>
    </row>
    <row r="527" spans="21:22" ht="14">
      <c r="U527" s="27"/>
      <c r="V527" s="28"/>
    </row>
    <row r="528" spans="21:22" ht="14">
      <c r="U528" s="27"/>
      <c r="V528" s="28"/>
    </row>
    <row r="529" spans="21:22" ht="14">
      <c r="U529" s="27"/>
      <c r="V529" s="28"/>
    </row>
    <row r="530" spans="21:22" ht="14">
      <c r="U530" s="27"/>
      <c r="V530" s="28"/>
    </row>
    <row r="531" spans="21:22" ht="14">
      <c r="U531" s="27"/>
      <c r="V531" s="28"/>
    </row>
    <row r="532" spans="21:22" ht="14">
      <c r="U532" s="27"/>
      <c r="V532" s="28"/>
    </row>
    <row r="533" spans="21:22" ht="14">
      <c r="U533" s="27"/>
      <c r="V533" s="28"/>
    </row>
    <row r="534" spans="21:22" ht="14">
      <c r="U534" s="27"/>
      <c r="V534" s="28"/>
    </row>
    <row r="535" spans="21:22" ht="14">
      <c r="U535" s="27"/>
      <c r="V535" s="28"/>
    </row>
    <row r="536" spans="21:22" ht="14">
      <c r="U536" s="27"/>
      <c r="V536" s="28"/>
    </row>
    <row r="537" spans="21:22" ht="14">
      <c r="U537" s="27"/>
      <c r="V537" s="28"/>
    </row>
    <row r="538" spans="21:22" ht="14">
      <c r="U538" s="27"/>
      <c r="V538" s="28"/>
    </row>
    <row r="539" spans="21:22" ht="14">
      <c r="U539" s="27"/>
      <c r="V539" s="28"/>
    </row>
    <row r="540" spans="21:22" ht="14">
      <c r="U540" s="27"/>
      <c r="V540" s="28"/>
    </row>
    <row r="541" spans="21:22" ht="14">
      <c r="U541" s="27"/>
      <c r="V541" s="28"/>
    </row>
    <row r="542" spans="21:22" ht="14">
      <c r="U542" s="27"/>
      <c r="V542" s="28"/>
    </row>
    <row r="543" spans="21:22" ht="14">
      <c r="U543" s="27"/>
      <c r="V543" s="28"/>
    </row>
    <row r="544" spans="21:22" ht="14">
      <c r="U544" s="27"/>
      <c r="V544" s="28"/>
    </row>
    <row r="545" spans="21:22" ht="14">
      <c r="U545" s="27"/>
      <c r="V545" s="28"/>
    </row>
    <row r="546" spans="21:22" ht="14">
      <c r="U546" s="27"/>
      <c r="V546" s="28"/>
    </row>
    <row r="547" spans="21:22" ht="14">
      <c r="U547" s="27"/>
      <c r="V547" s="28"/>
    </row>
    <row r="548" spans="21:22" ht="14">
      <c r="U548" s="27"/>
      <c r="V548" s="28"/>
    </row>
    <row r="549" spans="21:22" ht="14">
      <c r="U549" s="27"/>
      <c r="V549" s="28"/>
    </row>
    <row r="550" spans="21:22" ht="14">
      <c r="U550" s="27"/>
      <c r="V550" s="28"/>
    </row>
    <row r="551" spans="21:22" ht="14">
      <c r="U551" s="27"/>
      <c r="V551" s="28"/>
    </row>
    <row r="552" spans="21:22" ht="14">
      <c r="U552" s="27"/>
      <c r="V552" s="28"/>
    </row>
    <row r="553" spans="21:22" ht="14">
      <c r="U553" s="27"/>
      <c r="V553" s="28"/>
    </row>
    <row r="554" spans="21:22" ht="14">
      <c r="U554" s="27"/>
      <c r="V554" s="28"/>
    </row>
    <row r="555" spans="21:22" ht="14">
      <c r="U555" s="27"/>
      <c r="V555" s="28"/>
    </row>
    <row r="556" spans="21:22" ht="14">
      <c r="U556" s="27"/>
      <c r="V556" s="28"/>
    </row>
    <row r="557" spans="21:22" ht="14">
      <c r="U557" s="27"/>
      <c r="V557" s="28"/>
    </row>
    <row r="558" spans="21:22" ht="14">
      <c r="U558" s="27"/>
      <c r="V558" s="28"/>
    </row>
    <row r="559" spans="21:22" ht="14">
      <c r="U559" s="27"/>
      <c r="V559" s="28"/>
    </row>
    <row r="560" spans="21:22" ht="14">
      <c r="U560" s="27"/>
      <c r="V560" s="28"/>
    </row>
    <row r="561" spans="21:22" ht="14">
      <c r="U561" s="27"/>
      <c r="V561" s="28"/>
    </row>
    <row r="562" spans="21:22" ht="14">
      <c r="U562" s="27"/>
      <c r="V562" s="28"/>
    </row>
    <row r="563" spans="21:22" ht="14">
      <c r="U563" s="27"/>
      <c r="V563" s="28"/>
    </row>
    <row r="564" spans="21:22" ht="14">
      <c r="U564" s="27"/>
      <c r="V564" s="28"/>
    </row>
    <row r="565" spans="21:22" ht="14">
      <c r="U565" s="27"/>
      <c r="V565" s="28"/>
    </row>
    <row r="566" spans="21:22" ht="14">
      <c r="U566" s="27"/>
      <c r="V566" s="28"/>
    </row>
    <row r="567" spans="21:22" ht="14">
      <c r="U567" s="27"/>
      <c r="V567" s="28"/>
    </row>
    <row r="568" spans="21:22" ht="14">
      <c r="U568" s="27"/>
      <c r="V568" s="28"/>
    </row>
    <row r="569" spans="21:22" ht="14">
      <c r="U569" s="27"/>
      <c r="V569" s="28"/>
    </row>
    <row r="570" spans="21:22" ht="14">
      <c r="U570" s="27"/>
      <c r="V570" s="28"/>
    </row>
    <row r="571" spans="21:22" ht="14">
      <c r="U571" s="27"/>
      <c r="V571" s="28"/>
    </row>
    <row r="572" spans="21:22" ht="14">
      <c r="U572" s="27"/>
      <c r="V572" s="28"/>
    </row>
    <row r="573" spans="21:22" ht="14">
      <c r="U573" s="27"/>
      <c r="V573" s="28"/>
    </row>
    <row r="574" spans="21:22" ht="14">
      <c r="U574" s="27"/>
      <c r="V574" s="28"/>
    </row>
    <row r="575" spans="21:22" ht="14">
      <c r="U575" s="27"/>
      <c r="V575" s="28"/>
    </row>
    <row r="576" spans="21:22" ht="14">
      <c r="U576" s="27"/>
      <c r="V576" s="28"/>
    </row>
    <row r="577" spans="21:22" ht="14">
      <c r="U577" s="27"/>
      <c r="V577" s="28"/>
    </row>
    <row r="578" spans="21:22" ht="14">
      <c r="U578" s="27"/>
      <c r="V578" s="28"/>
    </row>
    <row r="579" spans="21:22" ht="14">
      <c r="U579" s="27"/>
      <c r="V579" s="28"/>
    </row>
    <row r="580" spans="21:22" ht="14">
      <c r="U580" s="27"/>
      <c r="V580" s="28"/>
    </row>
    <row r="581" spans="21:22" ht="14">
      <c r="U581" s="27"/>
      <c r="V581" s="28"/>
    </row>
    <row r="582" spans="21:22" ht="14">
      <c r="U582" s="27"/>
      <c r="V582" s="28"/>
    </row>
    <row r="583" spans="21:22" ht="14">
      <c r="U583" s="27"/>
      <c r="V583" s="28"/>
    </row>
    <row r="584" spans="21:22" ht="14">
      <c r="U584" s="27"/>
      <c r="V584" s="28"/>
    </row>
    <row r="585" spans="21:22" ht="14">
      <c r="U585" s="27"/>
      <c r="V585" s="28"/>
    </row>
    <row r="586" spans="21:22" ht="14">
      <c r="U586" s="27"/>
      <c r="V586" s="28"/>
    </row>
    <row r="587" spans="21:22" ht="14">
      <c r="U587" s="27"/>
      <c r="V587" s="28"/>
    </row>
    <row r="588" spans="21:22" ht="14">
      <c r="U588" s="27"/>
      <c r="V588" s="28"/>
    </row>
    <row r="589" spans="21:22" ht="14">
      <c r="U589" s="27"/>
      <c r="V589" s="28"/>
    </row>
    <row r="590" spans="21:22" ht="14">
      <c r="U590" s="27"/>
      <c r="V590" s="28"/>
    </row>
    <row r="591" spans="21:22" ht="14">
      <c r="U591" s="27"/>
      <c r="V591" s="28"/>
    </row>
    <row r="592" spans="21:22" ht="14">
      <c r="U592" s="27"/>
      <c r="V592" s="28"/>
    </row>
    <row r="593" spans="21:22" ht="14">
      <c r="U593" s="27"/>
      <c r="V593" s="28"/>
    </row>
    <row r="594" spans="21:22" ht="14">
      <c r="U594" s="27"/>
      <c r="V594" s="28"/>
    </row>
    <row r="595" spans="21:22" ht="14">
      <c r="U595" s="27"/>
      <c r="V595" s="28"/>
    </row>
    <row r="596" spans="21:22" ht="14">
      <c r="U596" s="27"/>
      <c r="V596" s="28"/>
    </row>
    <row r="597" spans="21:22" ht="14">
      <c r="U597" s="27"/>
      <c r="V597" s="28"/>
    </row>
    <row r="598" spans="21:22" ht="14">
      <c r="U598" s="27"/>
      <c r="V598" s="28"/>
    </row>
    <row r="599" spans="21:22" ht="14">
      <c r="U599" s="27"/>
      <c r="V599" s="28"/>
    </row>
    <row r="600" spans="21:22" ht="14">
      <c r="U600" s="27"/>
      <c r="V600" s="28"/>
    </row>
    <row r="601" spans="21:22" ht="14">
      <c r="U601" s="27"/>
      <c r="V601" s="28"/>
    </row>
    <row r="602" spans="21:22" ht="14">
      <c r="U602" s="27"/>
      <c r="V602" s="28"/>
    </row>
    <row r="603" spans="21:22" ht="14">
      <c r="U603" s="27"/>
      <c r="V603" s="28"/>
    </row>
    <row r="604" spans="21:22" ht="14">
      <c r="U604" s="27"/>
      <c r="V604" s="28"/>
    </row>
    <row r="605" spans="21:22" ht="14">
      <c r="U605" s="27"/>
      <c r="V605" s="28"/>
    </row>
    <row r="606" spans="21:22" ht="14">
      <c r="U606" s="27"/>
      <c r="V606" s="28"/>
    </row>
    <row r="607" spans="21:22" ht="14">
      <c r="U607" s="27"/>
      <c r="V607" s="28"/>
    </row>
    <row r="608" spans="21:22" ht="14">
      <c r="U608" s="27"/>
      <c r="V608" s="28"/>
    </row>
    <row r="609" spans="21:22" ht="14">
      <c r="U609" s="27"/>
      <c r="V609" s="28"/>
    </row>
    <row r="610" spans="21:22" ht="14">
      <c r="U610" s="27"/>
      <c r="V610" s="28"/>
    </row>
    <row r="611" spans="21:22" ht="14">
      <c r="U611" s="27"/>
      <c r="V611" s="28"/>
    </row>
    <row r="612" spans="21:22" ht="14">
      <c r="U612" s="27"/>
      <c r="V612" s="28"/>
    </row>
    <row r="613" spans="21:22" ht="14">
      <c r="U613" s="27"/>
      <c r="V613" s="28"/>
    </row>
    <row r="614" spans="21:22" ht="14">
      <c r="U614" s="27"/>
      <c r="V614" s="28"/>
    </row>
    <row r="615" spans="21:22" ht="14">
      <c r="U615" s="27"/>
      <c r="V615" s="28"/>
    </row>
    <row r="616" spans="21:22" ht="14">
      <c r="U616" s="27"/>
      <c r="V616" s="28"/>
    </row>
    <row r="617" spans="21:22" ht="14">
      <c r="U617" s="27"/>
      <c r="V617" s="28"/>
    </row>
    <row r="618" spans="21:22" ht="14">
      <c r="U618" s="27"/>
      <c r="V618" s="28"/>
    </row>
    <row r="619" spans="21:22" ht="14">
      <c r="U619" s="27"/>
      <c r="V619" s="28"/>
    </row>
    <row r="620" spans="21:22" ht="14">
      <c r="U620" s="27"/>
      <c r="V620" s="28"/>
    </row>
    <row r="621" spans="21:22" ht="14">
      <c r="U621" s="27"/>
      <c r="V621" s="28"/>
    </row>
    <row r="622" spans="21:22" ht="14">
      <c r="U622" s="27"/>
      <c r="V622" s="28"/>
    </row>
    <row r="623" spans="21:22" ht="14">
      <c r="U623" s="27"/>
      <c r="V623" s="28"/>
    </row>
    <row r="624" spans="21:22" ht="14">
      <c r="U624" s="27"/>
      <c r="V624" s="28"/>
    </row>
    <row r="625" spans="21:22" ht="14">
      <c r="U625" s="27"/>
      <c r="V625" s="28"/>
    </row>
    <row r="626" spans="21:22" ht="14">
      <c r="U626" s="27"/>
      <c r="V626" s="28"/>
    </row>
    <row r="627" spans="21:22" ht="14">
      <c r="U627" s="27"/>
      <c r="V627" s="28"/>
    </row>
    <row r="628" spans="21:22" ht="14">
      <c r="U628" s="27"/>
      <c r="V628" s="28"/>
    </row>
    <row r="629" spans="21:22" ht="14">
      <c r="U629" s="27"/>
      <c r="V629" s="28"/>
    </row>
    <row r="630" spans="21:22" ht="14">
      <c r="U630" s="27"/>
      <c r="V630" s="28"/>
    </row>
    <row r="631" spans="21:22" ht="14">
      <c r="U631" s="27"/>
      <c r="V631" s="28"/>
    </row>
    <row r="632" spans="21:22" ht="14">
      <c r="U632" s="27"/>
      <c r="V632" s="28"/>
    </row>
    <row r="633" spans="21:22" ht="14">
      <c r="U633" s="27"/>
      <c r="V633" s="28"/>
    </row>
    <row r="634" spans="21:22" ht="14">
      <c r="U634" s="27"/>
      <c r="V634" s="28"/>
    </row>
    <row r="635" spans="21:22" ht="14">
      <c r="U635" s="27"/>
      <c r="V635" s="28"/>
    </row>
    <row r="636" spans="21:22" ht="14">
      <c r="U636" s="27"/>
      <c r="V636" s="28"/>
    </row>
    <row r="637" spans="21:22" ht="14">
      <c r="U637" s="27"/>
      <c r="V637" s="28"/>
    </row>
    <row r="638" spans="21:22" ht="14">
      <c r="U638" s="27"/>
      <c r="V638" s="28"/>
    </row>
    <row r="639" spans="21:22" ht="14">
      <c r="U639" s="27"/>
      <c r="V639" s="28"/>
    </row>
    <row r="640" spans="21:22" ht="14">
      <c r="U640" s="27"/>
      <c r="V640" s="28"/>
    </row>
    <row r="641" spans="21:22" ht="14">
      <c r="U641" s="27"/>
      <c r="V641" s="28"/>
    </row>
    <row r="642" spans="21:22" ht="14">
      <c r="U642" s="27"/>
      <c r="V642" s="28"/>
    </row>
    <row r="643" spans="21:22" ht="14">
      <c r="U643" s="27"/>
      <c r="V643" s="28"/>
    </row>
    <row r="644" spans="21:22" ht="14">
      <c r="U644" s="27"/>
      <c r="V644" s="28"/>
    </row>
    <row r="645" spans="21:22" ht="14">
      <c r="U645" s="27"/>
      <c r="V645" s="28"/>
    </row>
    <row r="646" spans="21:22" ht="14">
      <c r="U646" s="27"/>
      <c r="V646" s="28"/>
    </row>
    <row r="647" spans="21:22" ht="14">
      <c r="U647" s="27"/>
      <c r="V647" s="28"/>
    </row>
    <row r="648" spans="21:22" ht="14">
      <c r="U648" s="27"/>
      <c r="V648" s="28"/>
    </row>
    <row r="649" spans="21:22" ht="14">
      <c r="U649" s="27"/>
      <c r="V649" s="28"/>
    </row>
    <row r="650" spans="21:22" ht="14">
      <c r="U650" s="27"/>
      <c r="V650" s="28"/>
    </row>
    <row r="651" spans="21:22" ht="14">
      <c r="U651" s="27"/>
      <c r="V651" s="28"/>
    </row>
    <row r="652" spans="21:22" ht="14">
      <c r="U652" s="27"/>
      <c r="V652" s="28"/>
    </row>
    <row r="653" spans="21:22" ht="14">
      <c r="U653" s="27"/>
      <c r="V653" s="28"/>
    </row>
    <row r="654" spans="21:22" ht="14">
      <c r="U654" s="27"/>
      <c r="V654" s="28"/>
    </row>
    <row r="655" spans="21:22" ht="14">
      <c r="U655" s="27"/>
      <c r="V655" s="28"/>
    </row>
    <row r="656" spans="21:22" ht="14">
      <c r="U656" s="27"/>
      <c r="V656" s="28"/>
    </row>
    <row r="657" spans="21:22" ht="14">
      <c r="U657" s="27"/>
      <c r="V657" s="28"/>
    </row>
    <row r="658" spans="21:22" ht="14">
      <c r="U658" s="27"/>
      <c r="V658" s="28"/>
    </row>
    <row r="659" spans="21:22" ht="14">
      <c r="U659" s="27"/>
      <c r="V659" s="28"/>
    </row>
    <row r="660" spans="21:22" ht="14">
      <c r="U660" s="27"/>
      <c r="V660" s="28"/>
    </row>
    <row r="661" spans="21:22" ht="14">
      <c r="U661" s="27"/>
      <c r="V661" s="28"/>
    </row>
    <row r="662" spans="21:22" ht="14">
      <c r="U662" s="27"/>
      <c r="V662" s="28"/>
    </row>
    <row r="663" spans="21:22" ht="14">
      <c r="U663" s="27"/>
      <c r="V663" s="28"/>
    </row>
    <row r="664" spans="21:22" ht="14">
      <c r="U664" s="27"/>
      <c r="V664" s="28"/>
    </row>
    <row r="665" spans="21:22" ht="14">
      <c r="U665" s="27"/>
      <c r="V665" s="28"/>
    </row>
    <row r="666" spans="21:22" ht="14">
      <c r="U666" s="27"/>
      <c r="V666" s="28"/>
    </row>
    <row r="667" spans="21:22" ht="14">
      <c r="U667" s="27"/>
      <c r="V667" s="28"/>
    </row>
    <row r="668" spans="21:22" ht="14">
      <c r="U668" s="27"/>
      <c r="V668" s="28"/>
    </row>
    <row r="669" spans="21:22" ht="14">
      <c r="U669" s="27"/>
      <c r="V669" s="28"/>
    </row>
    <row r="670" spans="21:22" ht="14">
      <c r="U670" s="27"/>
      <c r="V670" s="28"/>
    </row>
    <row r="671" spans="21:22" ht="14">
      <c r="U671" s="27"/>
      <c r="V671" s="28"/>
    </row>
    <row r="672" spans="21:22" ht="14">
      <c r="U672" s="27"/>
      <c r="V672" s="28"/>
    </row>
    <row r="673" spans="21:22" ht="14">
      <c r="U673" s="27"/>
      <c r="V673" s="28"/>
    </row>
    <row r="674" spans="21:22" ht="14">
      <c r="U674" s="27"/>
      <c r="V674" s="28"/>
    </row>
    <row r="675" spans="21:22" ht="14">
      <c r="U675" s="27"/>
      <c r="V675" s="28"/>
    </row>
    <row r="676" spans="21:22" ht="14">
      <c r="U676" s="27"/>
      <c r="V676" s="28"/>
    </row>
    <row r="677" spans="21:22" ht="14">
      <c r="U677" s="27"/>
      <c r="V677" s="28"/>
    </row>
    <row r="678" spans="21:22" ht="14">
      <c r="U678" s="27"/>
      <c r="V678" s="28"/>
    </row>
    <row r="679" spans="21:22" ht="14">
      <c r="U679" s="27"/>
      <c r="V679" s="28"/>
    </row>
    <row r="680" spans="21:22" ht="14">
      <c r="U680" s="27"/>
      <c r="V680" s="28"/>
    </row>
    <row r="681" spans="21:22" ht="14">
      <c r="U681" s="27"/>
      <c r="V681" s="28"/>
    </row>
    <row r="682" spans="21:22" ht="14">
      <c r="U682" s="27"/>
      <c r="V682" s="28"/>
    </row>
    <row r="683" spans="21:22" ht="14">
      <c r="U683" s="27"/>
      <c r="V683" s="28"/>
    </row>
    <row r="684" spans="21:22" ht="14">
      <c r="U684" s="27"/>
      <c r="V684" s="28"/>
    </row>
    <row r="685" spans="21:22" ht="14">
      <c r="U685" s="27"/>
      <c r="V685" s="28"/>
    </row>
    <row r="686" spans="21:22" ht="14">
      <c r="U686" s="27"/>
      <c r="V686" s="28"/>
    </row>
    <row r="687" spans="21:22" ht="14">
      <c r="U687" s="27"/>
      <c r="V687" s="28"/>
    </row>
    <row r="688" spans="21:22" ht="14">
      <c r="U688" s="27"/>
      <c r="V688" s="28"/>
    </row>
    <row r="689" spans="21:22" ht="14">
      <c r="U689" s="27"/>
      <c r="V689" s="28"/>
    </row>
    <row r="690" spans="21:22" ht="14">
      <c r="U690" s="27"/>
      <c r="V690" s="28"/>
    </row>
    <row r="691" spans="21:22" ht="14">
      <c r="U691" s="27"/>
      <c r="V691" s="28"/>
    </row>
    <row r="692" spans="21:22" ht="14">
      <c r="U692" s="27"/>
      <c r="V692" s="28"/>
    </row>
    <row r="693" spans="21:22" ht="14">
      <c r="U693" s="27"/>
      <c r="V693" s="28"/>
    </row>
    <row r="694" spans="21:22" ht="14">
      <c r="U694" s="27"/>
      <c r="V694" s="28"/>
    </row>
    <row r="695" spans="21:22" ht="14">
      <c r="U695" s="27"/>
      <c r="V695" s="28"/>
    </row>
    <row r="696" spans="21:22" ht="14">
      <c r="U696" s="27"/>
      <c r="V696" s="28"/>
    </row>
    <row r="697" spans="21:22" ht="14">
      <c r="U697" s="27"/>
      <c r="V697" s="28"/>
    </row>
    <row r="698" spans="21:22" ht="14">
      <c r="U698" s="27"/>
      <c r="V698" s="28"/>
    </row>
    <row r="699" spans="21:22" ht="14">
      <c r="U699" s="27"/>
      <c r="V699" s="28"/>
    </row>
    <row r="700" spans="21:22" ht="14">
      <c r="U700" s="27"/>
      <c r="V700" s="28"/>
    </row>
    <row r="701" spans="21:22" ht="14">
      <c r="U701" s="27"/>
      <c r="V701" s="28"/>
    </row>
    <row r="702" spans="21:22" ht="14">
      <c r="U702" s="27"/>
      <c r="V702" s="28"/>
    </row>
    <row r="703" spans="21:22" ht="14">
      <c r="U703" s="27"/>
      <c r="V703" s="28"/>
    </row>
    <row r="704" spans="21:22" ht="14">
      <c r="U704" s="27"/>
      <c r="V704" s="28"/>
    </row>
    <row r="705" spans="21:22" ht="14">
      <c r="U705" s="27"/>
      <c r="V705" s="28"/>
    </row>
    <row r="706" spans="21:22" ht="14">
      <c r="U706" s="27"/>
      <c r="V706" s="28"/>
    </row>
    <row r="707" spans="21:22" ht="14">
      <c r="U707" s="27"/>
      <c r="V707" s="28"/>
    </row>
    <row r="708" spans="21:22" ht="14">
      <c r="U708" s="27"/>
      <c r="V708" s="28"/>
    </row>
    <row r="709" spans="21:22" ht="14">
      <c r="U709" s="27"/>
      <c r="V709" s="28"/>
    </row>
    <row r="710" spans="21:22" ht="14">
      <c r="U710" s="27"/>
      <c r="V710" s="28"/>
    </row>
    <row r="711" spans="21:22" ht="14">
      <c r="U711" s="27"/>
      <c r="V711" s="28"/>
    </row>
    <row r="712" spans="21:22" ht="14">
      <c r="U712" s="27"/>
      <c r="V712" s="28"/>
    </row>
    <row r="713" spans="21:22" ht="14">
      <c r="U713" s="27"/>
      <c r="V713" s="28"/>
    </row>
    <row r="714" spans="21:22" ht="14">
      <c r="U714" s="27"/>
      <c r="V714" s="28"/>
    </row>
    <row r="715" spans="21:22" ht="14">
      <c r="U715" s="27"/>
      <c r="V715" s="28"/>
    </row>
    <row r="716" spans="21:22" ht="14">
      <c r="U716" s="27"/>
      <c r="V716" s="28"/>
    </row>
    <row r="717" spans="21:22" ht="14">
      <c r="U717" s="27"/>
      <c r="V717" s="28"/>
    </row>
    <row r="718" spans="21:22" ht="14">
      <c r="U718" s="27"/>
      <c r="V718" s="28"/>
    </row>
    <row r="719" spans="21:22" ht="14">
      <c r="U719" s="27"/>
      <c r="V719" s="28"/>
    </row>
    <row r="720" spans="21:22" ht="14">
      <c r="U720" s="27"/>
      <c r="V720" s="28"/>
    </row>
    <row r="721" spans="21:22" ht="14">
      <c r="U721" s="27"/>
      <c r="V721" s="28"/>
    </row>
    <row r="722" spans="21:22" ht="14">
      <c r="U722" s="27"/>
      <c r="V722" s="28"/>
    </row>
    <row r="723" spans="21:22" ht="14">
      <c r="U723" s="27"/>
      <c r="V723" s="28"/>
    </row>
    <row r="724" spans="21:22" ht="14">
      <c r="U724" s="27"/>
      <c r="V724" s="28"/>
    </row>
    <row r="725" spans="21:22" ht="14">
      <c r="U725" s="27"/>
      <c r="V725" s="28"/>
    </row>
    <row r="726" spans="21:22" ht="14">
      <c r="U726" s="27"/>
      <c r="V726" s="28"/>
    </row>
    <row r="727" spans="21:22" ht="14">
      <c r="U727" s="27"/>
      <c r="V727" s="28"/>
    </row>
    <row r="728" spans="21:22" ht="14">
      <c r="U728" s="27"/>
      <c r="V728" s="28"/>
    </row>
    <row r="729" spans="21:22" ht="14">
      <c r="U729" s="27"/>
      <c r="V729" s="28"/>
    </row>
    <row r="730" spans="21:22" ht="14">
      <c r="U730" s="27"/>
      <c r="V730" s="28"/>
    </row>
    <row r="731" spans="21:22" ht="14">
      <c r="U731" s="27"/>
      <c r="V731" s="28"/>
    </row>
    <row r="732" spans="21:22" ht="14">
      <c r="U732" s="27"/>
      <c r="V732" s="28"/>
    </row>
    <row r="733" spans="21:22" ht="14">
      <c r="U733" s="27"/>
      <c r="V733" s="28"/>
    </row>
    <row r="734" spans="21:22" ht="14">
      <c r="U734" s="27"/>
      <c r="V734" s="28"/>
    </row>
    <row r="735" spans="21:22" ht="14">
      <c r="U735" s="27"/>
      <c r="V735" s="28"/>
    </row>
    <row r="736" spans="21:22" ht="14">
      <c r="U736" s="27"/>
      <c r="V736" s="28"/>
    </row>
    <row r="737" spans="21:22" ht="14">
      <c r="U737" s="27"/>
      <c r="V737" s="28"/>
    </row>
    <row r="738" spans="21:22" ht="14">
      <c r="U738" s="27"/>
      <c r="V738" s="28"/>
    </row>
    <row r="739" spans="21:22" ht="14">
      <c r="U739" s="27"/>
      <c r="V739" s="28"/>
    </row>
    <row r="740" spans="21:22" ht="14">
      <c r="U740" s="27"/>
      <c r="V740" s="28"/>
    </row>
    <row r="741" spans="21:22" ht="14">
      <c r="U741" s="27"/>
      <c r="V741" s="28"/>
    </row>
    <row r="742" spans="21:22" ht="14">
      <c r="U742" s="27"/>
      <c r="V742" s="28"/>
    </row>
    <row r="743" spans="21:22" ht="14">
      <c r="U743" s="27"/>
      <c r="V743" s="28"/>
    </row>
    <row r="744" spans="21:22" ht="14">
      <c r="U744" s="27"/>
      <c r="V744" s="28"/>
    </row>
    <row r="745" spans="21:22" ht="14">
      <c r="U745" s="27"/>
      <c r="V745" s="28"/>
    </row>
    <row r="746" spans="21:22" ht="14">
      <c r="U746" s="27"/>
      <c r="V746" s="28"/>
    </row>
    <row r="747" spans="21:22" ht="14">
      <c r="U747" s="27"/>
      <c r="V747" s="28"/>
    </row>
    <row r="748" spans="21:22" ht="14">
      <c r="U748" s="27"/>
      <c r="V748" s="28"/>
    </row>
    <row r="749" spans="21:22" ht="14">
      <c r="U749" s="27"/>
      <c r="V749" s="28"/>
    </row>
    <row r="750" spans="21:22" ht="14">
      <c r="U750" s="27"/>
      <c r="V750" s="28"/>
    </row>
    <row r="751" spans="21:22" ht="14">
      <c r="U751" s="27"/>
      <c r="V751" s="28"/>
    </row>
    <row r="752" spans="21:22" ht="14">
      <c r="U752" s="27"/>
      <c r="V752" s="28"/>
    </row>
    <row r="753" spans="21:22" ht="14">
      <c r="U753" s="27"/>
      <c r="V753" s="28"/>
    </row>
    <row r="754" spans="21:22" ht="14">
      <c r="U754" s="27"/>
      <c r="V754" s="28"/>
    </row>
    <row r="755" spans="21:22" ht="14">
      <c r="U755" s="27"/>
      <c r="V755" s="28"/>
    </row>
    <row r="756" spans="21:22" ht="14">
      <c r="U756" s="27"/>
      <c r="V756" s="28"/>
    </row>
    <row r="757" spans="21:22" ht="14">
      <c r="U757" s="27"/>
      <c r="V757" s="28"/>
    </row>
    <row r="758" spans="21:22" ht="14">
      <c r="U758" s="27"/>
      <c r="V758" s="28"/>
    </row>
    <row r="759" spans="21:22" ht="14">
      <c r="U759" s="27"/>
      <c r="V759" s="28"/>
    </row>
    <row r="760" spans="21:22" ht="14">
      <c r="U760" s="27"/>
      <c r="V760" s="28"/>
    </row>
    <row r="761" spans="21:22" ht="14">
      <c r="U761" s="27"/>
      <c r="V761" s="28"/>
    </row>
    <row r="762" spans="21:22" ht="14">
      <c r="U762" s="27"/>
      <c r="V762" s="28"/>
    </row>
    <row r="763" spans="21:22" ht="14">
      <c r="U763" s="27"/>
      <c r="V763" s="28"/>
    </row>
    <row r="764" spans="21:22" ht="14">
      <c r="U764" s="27"/>
      <c r="V764" s="28"/>
    </row>
    <row r="765" spans="21:22" ht="14">
      <c r="U765" s="27"/>
      <c r="V765" s="28"/>
    </row>
    <row r="766" spans="21:22" ht="14">
      <c r="U766" s="27"/>
      <c r="V766" s="28"/>
    </row>
    <row r="767" spans="21:22" ht="14">
      <c r="U767" s="27"/>
      <c r="V767" s="28"/>
    </row>
    <row r="768" spans="21:22" ht="14">
      <c r="U768" s="27"/>
      <c r="V768" s="28"/>
    </row>
    <row r="769" spans="21:22" ht="14">
      <c r="U769" s="27"/>
      <c r="V769" s="28"/>
    </row>
    <row r="770" spans="21:22" ht="14">
      <c r="U770" s="27"/>
      <c r="V770" s="28"/>
    </row>
    <row r="771" spans="21:22" ht="14">
      <c r="U771" s="27"/>
      <c r="V771" s="28"/>
    </row>
    <row r="772" spans="21:22" ht="14">
      <c r="U772" s="27"/>
      <c r="V772" s="28"/>
    </row>
    <row r="773" spans="21:22" ht="14">
      <c r="U773" s="27"/>
      <c r="V773" s="28"/>
    </row>
    <row r="774" spans="21:22" ht="14">
      <c r="U774" s="27"/>
      <c r="V774" s="28"/>
    </row>
    <row r="775" spans="21:22" ht="14">
      <c r="U775" s="27"/>
      <c r="V775" s="28"/>
    </row>
    <row r="776" spans="21:22" ht="14">
      <c r="U776" s="27"/>
      <c r="V776" s="28"/>
    </row>
    <row r="777" spans="21:22" ht="14">
      <c r="U777" s="27"/>
      <c r="V777" s="28"/>
    </row>
    <row r="778" spans="21:22" ht="14">
      <c r="U778" s="27"/>
      <c r="V778" s="28"/>
    </row>
    <row r="779" spans="21:22" ht="14">
      <c r="U779" s="27"/>
      <c r="V779" s="28"/>
    </row>
    <row r="780" spans="21:22" ht="14">
      <c r="U780" s="27"/>
      <c r="V780" s="28"/>
    </row>
    <row r="781" spans="21:22" ht="14">
      <c r="U781" s="27"/>
      <c r="V781" s="28"/>
    </row>
    <row r="782" spans="21:22" ht="14">
      <c r="U782" s="27"/>
      <c r="V782" s="28"/>
    </row>
    <row r="783" spans="21:22" ht="14">
      <c r="U783" s="27"/>
      <c r="V783" s="28"/>
    </row>
    <row r="784" spans="21:22" ht="14">
      <c r="U784" s="27"/>
      <c r="V784" s="28"/>
    </row>
    <row r="785" spans="21:22" ht="14">
      <c r="U785" s="27"/>
      <c r="V785" s="28"/>
    </row>
    <row r="786" spans="21:22" ht="14">
      <c r="U786" s="27"/>
      <c r="V786" s="28"/>
    </row>
    <row r="787" spans="21:22" ht="14">
      <c r="U787" s="27"/>
      <c r="V787" s="28"/>
    </row>
    <row r="788" spans="21:22" ht="14">
      <c r="U788" s="27"/>
      <c r="V788" s="28"/>
    </row>
    <row r="789" spans="21:22" ht="14">
      <c r="U789" s="27"/>
      <c r="V789" s="28"/>
    </row>
    <row r="790" spans="21:22" ht="14">
      <c r="U790" s="27"/>
      <c r="V790" s="28"/>
    </row>
    <row r="791" spans="21:22" ht="14">
      <c r="U791" s="27"/>
      <c r="V791" s="28"/>
    </row>
    <row r="792" spans="21:22" ht="14">
      <c r="U792" s="27"/>
      <c r="V792" s="28"/>
    </row>
    <row r="793" spans="21:22" ht="14">
      <c r="U793" s="27"/>
      <c r="V793" s="28"/>
    </row>
    <row r="794" spans="21:22" ht="14">
      <c r="U794" s="27"/>
      <c r="V794" s="28"/>
    </row>
    <row r="795" spans="21:22" ht="14">
      <c r="U795" s="27"/>
      <c r="V795" s="28"/>
    </row>
    <row r="796" spans="21:22" ht="14">
      <c r="U796" s="27"/>
      <c r="V796" s="28"/>
    </row>
    <row r="797" spans="21:22" ht="14">
      <c r="U797" s="27"/>
      <c r="V797" s="28"/>
    </row>
    <row r="798" spans="21:22" ht="14">
      <c r="U798" s="27"/>
      <c r="V798" s="28"/>
    </row>
    <row r="799" spans="21:22" ht="14">
      <c r="U799" s="27"/>
      <c r="V799" s="28"/>
    </row>
    <row r="800" spans="21:22" ht="14">
      <c r="U800" s="27"/>
      <c r="V800" s="28"/>
    </row>
    <row r="801" spans="21:22" ht="14">
      <c r="U801" s="27"/>
      <c r="V801" s="28"/>
    </row>
    <row r="802" spans="21:22" ht="14">
      <c r="U802" s="27"/>
      <c r="V802" s="28"/>
    </row>
    <row r="803" spans="21:22" ht="14">
      <c r="U803" s="27"/>
      <c r="V803" s="28"/>
    </row>
    <row r="804" spans="21:22" ht="14">
      <c r="U804" s="27"/>
      <c r="V804" s="28"/>
    </row>
    <row r="805" spans="21:22" ht="14">
      <c r="U805" s="27"/>
      <c r="V805" s="28"/>
    </row>
    <row r="806" spans="21:22" ht="14">
      <c r="U806" s="27"/>
      <c r="V806" s="28"/>
    </row>
    <row r="807" spans="21:22" ht="14">
      <c r="U807" s="27"/>
      <c r="V807" s="28"/>
    </row>
    <row r="808" spans="21:22" ht="14">
      <c r="U808" s="27"/>
      <c r="V808" s="28"/>
    </row>
    <row r="809" spans="21:22" ht="14">
      <c r="U809" s="27"/>
      <c r="V809" s="28"/>
    </row>
    <row r="810" spans="21:22" ht="14">
      <c r="U810" s="27"/>
      <c r="V810" s="28"/>
    </row>
    <row r="811" spans="21:22" ht="14">
      <c r="U811" s="27"/>
      <c r="V811" s="28"/>
    </row>
    <row r="812" spans="21:22" ht="14">
      <c r="U812" s="27"/>
      <c r="V812" s="28"/>
    </row>
    <row r="813" spans="21:22" ht="14">
      <c r="U813" s="27"/>
      <c r="V813" s="28"/>
    </row>
    <row r="814" spans="21:22" ht="14">
      <c r="U814" s="27"/>
      <c r="V814" s="28"/>
    </row>
    <row r="815" spans="21:22" ht="14">
      <c r="U815" s="27"/>
      <c r="V815" s="28"/>
    </row>
    <row r="816" spans="21:22" ht="14">
      <c r="U816" s="27"/>
      <c r="V816" s="28"/>
    </row>
    <row r="817" spans="21:22" ht="14">
      <c r="U817" s="27"/>
      <c r="V817" s="28"/>
    </row>
    <row r="818" spans="21:22" ht="14">
      <c r="U818" s="27"/>
      <c r="V818" s="28"/>
    </row>
    <row r="819" spans="21:22" ht="14">
      <c r="U819" s="27"/>
      <c r="V819" s="28"/>
    </row>
    <row r="820" spans="21:22" ht="14">
      <c r="U820" s="27"/>
      <c r="V820" s="28"/>
    </row>
    <row r="821" spans="21:22" ht="14">
      <c r="U821" s="27"/>
      <c r="V821" s="28"/>
    </row>
    <row r="822" spans="21:22" ht="14">
      <c r="U822" s="27"/>
      <c r="V822" s="28"/>
    </row>
    <row r="823" spans="21:22" ht="14">
      <c r="U823" s="27"/>
      <c r="V823" s="28"/>
    </row>
    <row r="824" spans="21:22" ht="14">
      <c r="U824" s="27"/>
      <c r="V824" s="28"/>
    </row>
    <row r="825" spans="21:22" ht="14">
      <c r="U825" s="27"/>
      <c r="V825" s="28"/>
    </row>
    <row r="826" spans="21:22" ht="14">
      <c r="U826" s="27"/>
      <c r="V826" s="28"/>
    </row>
    <row r="827" spans="21:22" ht="14">
      <c r="U827" s="27"/>
      <c r="V827" s="28"/>
    </row>
    <row r="828" spans="21:22" ht="14">
      <c r="U828" s="27"/>
      <c r="V828" s="28"/>
    </row>
    <row r="829" spans="21:22" ht="14">
      <c r="U829" s="27"/>
      <c r="V829" s="28"/>
    </row>
    <row r="830" spans="21:22" ht="14">
      <c r="U830" s="27"/>
      <c r="V830" s="28"/>
    </row>
    <row r="831" spans="21:22" ht="14">
      <c r="U831" s="27"/>
      <c r="V831" s="28"/>
    </row>
    <row r="832" spans="21:22" ht="14">
      <c r="U832" s="27"/>
      <c r="V832" s="28"/>
    </row>
    <row r="833" spans="21:22" ht="14">
      <c r="U833" s="27"/>
      <c r="V833" s="28"/>
    </row>
    <row r="834" spans="21:22" ht="14">
      <c r="U834" s="27"/>
      <c r="V834" s="28"/>
    </row>
    <row r="835" spans="21:22" ht="14">
      <c r="U835" s="27"/>
      <c r="V835" s="28"/>
    </row>
    <row r="836" spans="21:22" ht="14">
      <c r="U836" s="27"/>
      <c r="V836" s="28"/>
    </row>
    <row r="837" spans="21:22" ht="14">
      <c r="U837" s="27"/>
      <c r="V837" s="28"/>
    </row>
    <row r="838" spans="21:22" ht="14">
      <c r="U838" s="27"/>
      <c r="V838" s="28"/>
    </row>
    <row r="839" spans="21:22" ht="14">
      <c r="U839" s="27"/>
      <c r="V839" s="28"/>
    </row>
    <row r="840" spans="21:22" ht="14">
      <c r="U840" s="27"/>
      <c r="V840" s="28"/>
    </row>
    <row r="841" spans="21:22" ht="14">
      <c r="U841" s="27"/>
      <c r="V841" s="28"/>
    </row>
    <row r="842" spans="21:22" ht="14">
      <c r="U842" s="27"/>
      <c r="V842" s="28"/>
    </row>
    <row r="843" spans="21:22" ht="14">
      <c r="U843" s="27"/>
      <c r="V843" s="28"/>
    </row>
    <row r="844" spans="21:22" ht="14">
      <c r="U844" s="27"/>
      <c r="V844" s="28"/>
    </row>
    <row r="845" spans="21:22" ht="14">
      <c r="U845" s="27"/>
      <c r="V845" s="28"/>
    </row>
    <row r="846" spans="21:22" ht="14">
      <c r="U846" s="27"/>
      <c r="V846" s="28"/>
    </row>
    <row r="847" spans="21:22" ht="14">
      <c r="U847" s="27"/>
      <c r="V847" s="28"/>
    </row>
    <row r="848" spans="21:22" ht="14">
      <c r="U848" s="27"/>
      <c r="V848" s="28"/>
    </row>
    <row r="849" spans="21:22" ht="14">
      <c r="U849" s="27"/>
      <c r="V849" s="28"/>
    </row>
    <row r="850" spans="21:22" ht="14">
      <c r="U850" s="27"/>
      <c r="V850" s="28"/>
    </row>
    <row r="851" spans="21:22" ht="14">
      <c r="U851" s="27"/>
      <c r="V851" s="28"/>
    </row>
    <row r="852" spans="21:22" ht="14">
      <c r="U852" s="27"/>
      <c r="V852" s="28"/>
    </row>
    <row r="853" spans="21:22" ht="14">
      <c r="U853" s="27"/>
      <c r="V853" s="28"/>
    </row>
    <row r="854" spans="21:22" ht="14">
      <c r="U854" s="27"/>
      <c r="V854" s="28"/>
    </row>
    <row r="855" spans="21:22" ht="14">
      <c r="U855" s="27"/>
      <c r="V855" s="28"/>
    </row>
    <row r="856" spans="21:22" ht="14">
      <c r="U856" s="27"/>
      <c r="V856" s="28"/>
    </row>
    <row r="857" spans="21:22" ht="14">
      <c r="U857" s="27"/>
      <c r="V857" s="28"/>
    </row>
    <row r="858" spans="21:22" ht="14">
      <c r="U858" s="27"/>
      <c r="V858" s="28"/>
    </row>
    <row r="859" spans="21:22" ht="14">
      <c r="U859" s="27"/>
      <c r="V859" s="28"/>
    </row>
    <row r="860" spans="21:22" ht="14">
      <c r="U860" s="27"/>
      <c r="V860" s="28"/>
    </row>
    <row r="861" spans="21:22" ht="14">
      <c r="U861" s="27"/>
      <c r="V861" s="28"/>
    </row>
    <row r="862" spans="21:22" ht="14">
      <c r="U862" s="27"/>
      <c r="V862" s="28"/>
    </row>
    <row r="863" spans="21:22" ht="14">
      <c r="U863" s="27"/>
      <c r="V863" s="28"/>
    </row>
    <row r="864" spans="21:22" ht="14">
      <c r="U864" s="27"/>
      <c r="V864" s="28"/>
    </row>
    <row r="865" spans="21:22" ht="14">
      <c r="U865" s="27"/>
      <c r="V865" s="28"/>
    </row>
    <row r="866" spans="21:22" ht="14">
      <c r="U866" s="27"/>
      <c r="V866" s="28"/>
    </row>
    <row r="867" spans="21:22" ht="14">
      <c r="U867" s="27"/>
      <c r="V867" s="28"/>
    </row>
    <row r="868" spans="21:22" ht="14">
      <c r="U868" s="27"/>
      <c r="V868" s="28"/>
    </row>
    <row r="869" spans="21:22" ht="14">
      <c r="U869" s="27"/>
      <c r="V869" s="28"/>
    </row>
    <row r="870" spans="21:22" ht="14">
      <c r="U870" s="27"/>
      <c r="V870" s="28"/>
    </row>
    <row r="871" spans="21:22" ht="14">
      <c r="U871" s="27"/>
      <c r="V871" s="28"/>
    </row>
    <row r="872" spans="21:22" ht="14">
      <c r="U872" s="27"/>
      <c r="V872" s="28"/>
    </row>
    <row r="873" spans="21:22" ht="14">
      <c r="U873" s="27"/>
      <c r="V873" s="28"/>
    </row>
    <row r="874" spans="21:22" ht="14">
      <c r="U874" s="27"/>
      <c r="V874" s="28"/>
    </row>
    <row r="875" spans="21:22" ht="14">
      <c r="U875" s="27"/>
      <c r="V875" s="28"/>
    </row>
    <row r="876" spans="21:22" ht="14">
      <c r="U876" s="27"/>
      <c r="V876" s="28"/>
    </row>
    <row r="877" spans="21:22" ht="14">
      <c r="U877" s="27"/>
      <c r="V877" s="28"/>
    </row>
    <row r="878" spans="21:22" ht="14">
      <c r="U878" s="27"/>
      <c r="V878" s="28"/>
    </row>
    <row r="879" spans="21:22" ht="14">
      <c r="U879" s="27"/>
      <c r="V879" s="28"/>
    </row>
    <row r="880" spans="21:22" ht="14">
      <c r="U880" s="27"/>
      <c r="V880" s="28"/>
    </row>
    <row r="881" spans="21:22" ht="14">
      <c r="U881" s="27"/>
      <c r="V881" s="28"/>
    </row>
    <row r="882" spans="21:22" ht="14">
      <c r="U882" s="27"/>
      <c r="V882" s="28"/>
    </row>
    <row r="883" spans="21:22" ht="14">
      <c r="U883" s="27"/>
      <c r="V883" s="28"/>
    </row>
    <row r="884" spans="21:22" ht="14">
      <c r="U884" s="27"/>
      <c r="V884" s="28"/>
    </row>
    <row r="885" spans="21:22" ht="14">
      <c r="U885" s="27"/>
      <c r="V885" s="28"/>
    </row>
    <row r="886" spans="21:22" ht="14">
      <c r="U886" s="27"/>
      <c r="V886" s="28"/>
    </row>
    <row r="887" spans="21:22" ht="14">
      <c r="U887" s="27"/>
      <c r="V887" s="28"/>
    </row>
    <row r="888" spans="21:22" ht="14">
      <c r="U888" s="27"/>
      <c r="V888" s="28"/>
    </row>
    <row r="889" spans="21:22" ht="14">
      <c r="U889" s="27"/>
      <c r="V889" s="28"/>
    </row>
    <row r="890" spans="21:22" ht="14">
      <c r="U890" s="27"/>
      <c r="V890" s="28"/>
    </row>
    <row r="891" spans="21:22" ht="14">
      <c r="U891" s="27"/>
      <c r="V891" s="28"/>
    </row>
    <row r="892" spans="21:22" ht="14">
      <c r="U892" s="27"/>
      <c r="V892" s="28"/>
    </row>
    <row r="893" spans="21:22" ht="14">
      <c r="U893" s="27"/>
      <c r="V893" s="28"/>
    </row>
    <row r="894" spans="21:22" ht="14">
      <c r="U894" s="27"/>
      <c r="V894" s="28"/>
    </row>
    <row r="895" spans="21:22" ht="14">
      <c r="U895" s="27"/>
      <c r="V895" s="28"/>
    </row>
    <row r="896" spans="21:22" ht="14">
      <c r="U896" s="27"/>
      <c r="V896" s="28"/>
    </row>
    <row r="897" spans="21:22" ht="14">
      <c r="U897" s="27"/>
      <c r="V897" s="28"/>
    </row>
    <row r="898" spans="21:22" ht="14">
      <c r="U898" s="27"/>
      <c r="V898" s="28"/>
    </row>
    <row r="899" spans="21:22" ht="14">
      <c r="U899" s="27"/>
      <c r="V899" s="28"/>
    </row>
    <row r="900" spans="21:22" ht="14">
      <c r="U900" s="27"/>
      <c r="V900" s="28"/>
    </row>
    <row r="901" spans="21:22" ht="14">
      <c r="U901" s="27"/>
      <c r="V901" s="28"/>
    </row>
    <row r="902" spans="21:22" ht="14">
      <c r="U902" s="27"/>
      <c r="V902" s="28"/>
    </row>
    <row r="903" spans="21:22" ht="14">
      <c r="U903" s="27"/>
      <c r="V903" s="28"/>
    </row>
    <row r="904" spans="21:22" ht="14">
      <c r="U904" s="27"/>
      <c r="V904" s="28"/>
    </row>
    <row r="905" spans="21:22" ht="14">
      <c r="U905" s="27"/>
      <c r="V905" s="28"/>
    </row>
    <row r="906" spans="21:22" ht="14">
      <c r="U906" s="27"/>
      <c r="V906" s="28"/>
    </row>
    <row r="907" spans="21:22" ht="14">
      <c r="U907" s="27"/>
      <c r="V907" s="28"/>
    </row>
    <row r="908" spans="21:22" ht="14">
      <c r="U908" s="27"/>
      <c r="V908" s="28"/>
    </row>
    <row r="909" spans="21:22" ht="14">
      <c r="U909" s="27"/>
      <c r="V909" s="28"/>
    </row>
    <row r="910" spans="21:22" ht="14">
      <c r="U910" s="27"/>
      <c r="V910" s="28"/>
    </row>
    <row r="911" spans="21:22" ht="14">
      <c r="U911" s="27"/>
      <c r="V911" s="28"/>
    </row>
    <row r="912" spans="21:22" ht="14">
      <c r="U912" s="27"/>
      <c r="V912" s="28"/>
    </row>
    <row r="913" spans="21:22" ht="14">
      <c r="U913" s="27"/>
      <c r="V913" s="28"/>
    </row>
    <row r="914" spans="21:22" ht="14">
      <c r="U914" s="27"/>
      <c r="V914" s="28"/>
    </row>
    <row r="915" spans="21:22" ht="14">
      <c r="U915" s="27"/>
      <c r="V915" s="28"/>
    </row>
    <row r="916" spans="21:22" ht="14">
      <c r="U916" s="27"/>
      <c r="V916" s="28"/>
    </row>
    <row r="917" spans="21:22" ht="14">
      <c r="U917" s="27"/>
      <c r="V917" s="28"/>
    </row>
    <row r="918" spans="21:22" ht="14">
      <c r="U918" s="27"/>
      <c r="V918" s="28"/>
    </row>
    <row r="919" spans="21:22" ht="14">
      <c r="U919" s="27"/>
      <c r="V919" s="28"/>
    </row>
    <row r="920" spans="21:22" ht="14">
      <c r="U920" s="27"/>
      <c r="V920" s="28"/>
    </row>
    <row r="921" spans="21:22" ht="14">
      <c r="U921" s="27"/>
      <c r="V921" s="28"/>
    </row>
    <row r="922" spans="21:22" ht="14">
      <c r="U922" s="27"/>
      <c r="V922" s="28"/>
    </row>
    <row r="923" spans="21:22" ht="14">
      <c r="U923" s="27"/>
      <c r="V923" s="28"/>
    </row>
    <row r="924" spans="21:22" ht="14">
      <c r="U924" s="27"/>
      <c r="V924" s="28"/>
    </row>
    <row r="925" spans="21:22" ht="14">
      <c r="U925" s="27"/>
      <c r="V925" s="28"/>
    </row>
    <row r="926" spans="21:22" ht="14">
      <c r="U926" s="27"/>
      <c r="V926" s="28"/>
    </row>
    <row r="927" spans="21:22" ht="14">
      <c r="U927" s="27"/>
      <c r="V927" s="28"/>
    </row>
    <row r="928" spans="21:22" ht="14">
      <c r="U928" s="27"/>
      <c r="V928" s="28"/>
    </row>
    <row r="929" spans="21:22" ht="14">
      <c r="U929" s="27"/>
      <c r="V929" s="28"/>
    </row>
    <row r="930" spans="21:22" ht="14">
      <c r="U930" s="27"/>
      <c r="V930" s="28"/>
    </row>
    <row r="931" spans="21:22" ht="14">
      <c r="U931" s="27"/>
      <c r="V931" s="28"/>
    </row>
    <row r="932" spans="21:22" ht="14">
      <c r="U932" s="27"/>
      <c r="V932" s="28"/>
    </row>
    <row r="933" spans="21:22" ht="14">
      <c r="U933" s="27"/>
      <c r="V933" s="28"/>
    </row>
    <row r="934" spans="21:22" ht="14">
      <c r="U934" s="27"/>
      <c r="V934" s="28"/>
    </row>
    <row r="935" spans="21:22" ht="14">
      <c r="U935" s="27"/>
      <c r="V935" s="28"/>
    </row>
    <row r="936" spans="21:22" ht="14">
      <c r="U936" s="27"/>
      <c r="V936" s="28"/>
    </row>
    <row r="937" spans="21:22" ht="14">
      <c r="U937" s="27"/>
      <c r="V937" s="28"/>
    </row>
    <row r="938" spans="21:22" ht="14">
      <c r="U938" s="27"/>
      <c r="V938" s="28"/>
    </row>
    <row r="939" spans="21:22" ht="14">
      <c r="U939" s="27"/>
      <c r="V939" s="28"/>
    </row>
    <row r="940" spans="21:22" ht="14">
      <c r="U940" s="27"/>
      <c r="V940" s="28"/>
    </row>
    <row r="941" spans="21:22" ht="14">
      <c r="U941" s="27"/>
      <c r="V941" s="28"/>
    </row>
    <row r="942" spans="21:22" ht="14">
      <c r="U942" s="27"/>
      <c r="V942" s="28"/>
    </row>
    <row r="943" spans="21:22" ht="14">
      <c r="U943" s="27"/>
      <c r="V943" s="28"/>
    </row>
    <row r="944" spans="21:22" ht="14">
      <c r="U944" s="27"/>
      <c r="V944" s="28"/>
    </row>
    <row r="945" spans="21:22" ht="14">
      <c r="U945" s="27"/>
      <c r="V945" s="28"/>
    </row>
    <row r="946" spans="21:22" ht="14">
      <c r="U946" s="27"/>
      <c r="V946" s="28"/>
    </row>
    <row r="947" spans="21:22" ht="14">
      <c r="U947" s="27"/>
      <c r="V947" s="28"/>
    </row>
    <row r="948" spans="21:22" ht="14">
      <c r="U948" s="27"/>
      <c r="V948" s="28"/>
    </row>
    <row r="949" spans="21:22" ht="14">
      <c r="U949" s="27"/>
      <c r="V949" s="28"/>
    </row>
    <row r="950" spans="21:22" ht="14">
      <c r="U950" s="27"/>
      <c r="V950" s="28"/>
    </row>
    <row r="951" spans="21:22" ht="14">
      <c r="U951" s="27"/>
      <c r="V951" s="28"/>
    </row>
    <row r="952" spans="21:22" ht="14">
      <c r="U952" s="27"/>
      <c r="V952" s="28"/>
    </row>
    <row r="953" spans="21:22" ht="14">
      <c r="U953" s="27"/>
      <c r="V953" s="28"/>
    </row>
    <row r="954" spans="21:22" ht="14">
      <c r="U954" s="27"/>
      <c r="V954" s="28"/>
    </row>
    <row r="955" spans="21:22" ht="14">
      <c r="U955" s="27"/>
      <c r="V955" s="28"/>
    </row>
    <row r="956" spans="21:22" ht="14">
      <c r="U956" s="27"/>
      <c r="V956" s="28"/>
    </row>
    <row r="957" spans="21:22" ht="14">
      <c r="U957" s="27"/>
      <c r="V957" s="28"/>
    </row>
    <row r="958" spans="21:22" ht="14">
      <c r="U958" s="27"/>
      <c r="V958" s="28"/>
    </row>
    <row r="959" spans="21:22" ht="14">
      <c r="U959" s="27"/>
      <c r="V959" s="28"/>
    </row>
    <row r="960" spans="21:22" ht="14">
      <c r="U960" s="27"/>
      <c r="V960" s="28"/>
    </row>
    <row r="961" spans="21:22" ht="14">
      <c r="U961" s="27"/>
      <c r="V961" s="28"/>
    </row>
    <row r="962" spans="21:22" ht="14">
      <c r="U962" s="27"/>
      <c r="V962" s="28"/>
    </row>
    <row r="963" spans="21:22" ht="14">
      <c r="U963" s="27"/>
      <c r="V963" s="28"/>
    </row>
    <row r="964" spans="21:22" ht="14">
      <c r="U964" s="27"/>
      <c r="V964" s="28"/>
    </row>
    <row r="965" spans="21:22" ht="14">
      <c r="U965" s="27"/>
      <c r="V965" s="28"/>
    </row>
    <row r="966" spans="21:22" ht="14">
      <c r="U966" s="27"/>
      <c r="V966" s="28"/>
    </row>
    <row r="967" spans="21:22" ht="14">
      <c r="U967" s="27"/>
      <c r="V967" s="28"/>
    </row>
    <row r="968" spans="21:22" ht="14">
      <c r="U968" s="27"/>
      <c r="V968" s="28"/>
    </row>
    <row r="969" spans="21:22" ht="14">
      <c r="U969" s="27"/>
      <c r="V969" s="28"/>
    </row>
    <row r="970" spans="21:22" ht="14">
      <c r="U970" s="27"/>
      <c r="V970" s="28"/>
    </row>
    <row r="971" spans="21:22" ht="14">
      <c r="U971" s="27"/>
      <c r="V971" s="28"/>
    </row>
    <row r="972" spans="21:22" ht="14">
      <c r="U972" s="27"/>
      <c r="V972" s="28"/>
    </row>
    <row r="973" spans="21:22" ht="14">
      <c r="U973" s="27"/>
      <c r="V973" s="28"/>
    </row>
    <row r="974" spans="21:22" ht="14">
      <c r="U974" s="27"/>
      <c r="V974" s="28"/>
    </row>
    <row r="975" spans="21:22" ht="14">
      <c r="U975" s="27"/>
      <c r="V975" s="28"/>
    </row>
    <row r="976" spans="21:22" ht="14">
      <c r="U976" s="27"/>
      <c r="V976" s="28"/>
    </row>
    <row r="977" spans="21:22" ht="14">
      <c r="U977" s="27"/>
      <c r="V977" s="28"/>
    </row>
    <row r="978" spans="21:22" ht="14">
      <c r="U978" s="27"/>
      <c r="V978" s="28"/>
    </row>
    <row r="979" spans="21:22" ht="14">
      <c r="U979" s="27"/>
      <c r="V979" s="28"/>
    </row>
    <row r="980" spans="21:22" ht="14">
      <c r="U980" s="27"/>
      <c r="V980" s="28"/>
    </row>
    <row r="981" spans="21:22" ht="14">
      <c r="U981" s="27"/>
      <c r="V981" s="28"/>
    </row>
    <row r="982" spans="21:22" ht="14">
      <c r="U982" s="27"/>
      <c r="V982" s="28"/>
    </row>
    <row r="983" spans="21:22" ht="14">
      <c r="U983" s="27"/>
      <c r="V983" s="28"/>
    </row>
    <row r="984" spans="21:22" ht="14">
      <c r="U984" s="27"/>
      <c r="V984" s="28"/>
    </row>
    <row r="985" spans="21:22" ht="14">
      <c r="U985" s="27"/>
      <c r="V985" s="28"/>
    </row>
    <row r="986" spans="21:22" ht="14">
      <c r="U986" s="27"/>
      <c r="V986" s="28"/>
    </row>
    <row r="987" spans="21:22" ht="14">
      <c r="U987" s="27"/>
      <c r="V987" s="28"/>
    </row>
    <row r="988" spans="21:22" ht="14">
      <c r="U988" s="27"/>
      <c r="V988" s="28"/>
    </row>
    <row r="989" spans="21:22" ht="14">
      <c r="U989" s="27"/>
      <c r="V989" s="28"/>
    </row>
    <row r="990" spans="21:22" ht="14">
      <c r="U990" s="27"/>
      <c r="V990" s="28"/>
    </row>
    <row r="991" spans="21:22" ht="14">
      <c r="U991" s="27"/>
      <c r="V991" s="28"/>
    </row>
    <row r="992" spans="21:22" ht="14">
      <c r="U992" s="27"/>
      <c r="V992" s="28"/>
    </row>
    <row r="993" spans="21:22" ht="14">
      <c r="U993" s="27"/>
      <c r="V993" s="28"/>
    </row>
    <row r="994" spans="21:22" ht="14">
      <c r="U994" s="27"/>
      <c r="V994" s="28"/>
    </row>
    <row r="995" spans="21:22" ht="14">
      <c r="U995" s="27"/>
      <c r="V995" s="28"/>
    </row>
    <row r="996" spans="21:22" ht="14">
      <c r="U996" s="27"/>
      <c r="V996" s="28"/>
    </row>
    <row r="997" spans="21:22" ht="14">
      <c r="U997" s="27"/>
      <c r="V997" s="28"/>
    </row>
    <row r="998" spans="21:22" ht="14">
      <c r="U998" s="27"/>
      <c r="V998" s="28"/>
    </row>
    <row r="999" spans="21:22" ht="14">
      <c r="U999" s="27"/>
      <c r="V999" s="28"/>
    </row>
    <row r="1000" spans="21:22" ht="14">
      <c r="U1000" s="27"/>
      <c r="V1000" s="28"/>
    </row>
  </sheetData>
  <autoFilter ref="A1:Z8" xr:uid="{00000000-0009-0000-0000-000001000000}"/>
  <conditionalFormatting sqref="Q1:Q7">
    <cfRule type="containsText" dxfId="9" priority="1" stopIfTrue="1" operator="containsText" text="Got to walk through it today">
      <formula>NOT(ISERROR(SEARCH(("Got to walk through it today"),(Q1))))</formula>
    </cfRule>
    <cfRule type="containsText" dxfId="8" priority="2" stopIfTrue="1" operator="containsText" text="There is 3 day left to clean before guests check in">
      <formula>NOT(ISERROR(SEARCH(("There is 3 day left to clean before guests check in"),(Q1))))</formula>
    </cfRule>
    <cfRule type="containsText" dxfId="7" priority="3" stopIfTrue="1" operator="containsText" text="There is 2 day left to clean before guests check in">
      <formula>NOT(ISERROR(SEARCH(("There is 2 day left to clean before guests check in"),(Q1))))</formula>
    </cfRule>
    <cfRule type="containsText" dxfId="6" priority="4" stopIfTrue="1" operator="containsText" text="There is 1 day left to clean before guests check in">
      <formula>NOT(ISERROR(SEARCH(("There is 1 day left to clean before guests check in"),(Q1))))</formula>
    </cfRule>
  </conditionalFormatting>
  <conditionalFormatting sqref="T1 S1:S7">
    <cfRule type="containsText" dxfId="5" priority="5" stopIfTrue="1" operator="containsText" text="1 day left before guests check out">
      <formula>NOT(ISERROR(SEARCH(("1 day left before guests check out"),(S1))))</formula>
    </cfRule>
    <cfRule type="containsText" dxfId="4" priority="6" stopIfTrue="1" operator="containsText" text="Warning! Clean up after guests check out">
      <formula>NOT(ISERROR(SEARCH(("Warning! Clean up after guests check out"),(S1))))</formula>
    </cfRule>
    <cfRule type="containsText" dxfId="3" priority="7" stopIfTrue="1" operator="containsText" text="3 day left before guests check out">
      <formula>NOT(ISERROR(SEARCH(("3 day left before guests check out"),(S1))))</formula>
    </cfRule>
    <cfRule type="containsText" dxfId="2" priority="8" stopIfTrue="1" operator="containsText" text="2 day left before guests check out">
      <formula>NOT(ISERROR(SEARCH(("2 day left before guests check out"),(S1))))</formula>
    </cfRule>
    <cfRule type="containsText" dxfId="1" priority="9" stopIfTrue="1" operator="containsText" text="There is 2 day left to clean before guests check in">
      <formula>NOT(ISERROR(SEARCH(("There is 2 day left to clean before guests check in"),(S1))))</formula>
    </cfRule>
    <cfRule type="containsText" dxfId="0" priority="10" stopIfTrue="1" operator="containsText" text="1 day left before guests check out">
      <formula>NOT(ISERROR(SEARCH(("1 day left before guests check out"),(S1))))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Q933"/>
  <sheetViews>
    <sheetView topLeftCell="AZT1" workbookViewId="0"/>
  </sheetViews>
  <sheetFormatPr baseColWidth="10" defaultColWidth="12.6640625" defaultRowHeight="15" customHeight="1"/>
  <cols>
    <col min="1" max="187" width="13.1640625" hidden="1" customWidth="1"/>
    <col min="188" max="188" width="15.83203125" hidden="1" customWidth="1"/>
    <col min="189" max="1371" width="13.1640625" hidden="1" customWidth="1"/>
    <col min="1372" max="1447" width="13.1640625" customWidth="1"/>
  </cols>
  <sheetData>
    <row r="1" spans="1:1447">
      <c r="A1" s="139">
        <v>45209</v>
      </c>
      <c r="B1" s="140"/>
      <c r="C1" s="139">
        <v>45210</v>
      </c>
      <c r="D1" s="140"/>
      <c r="E1" s="139">
        <v>45211</v>
      </c>
      <c r="F1" s="140"/>
      <c r="G1" s="139">
        <v>45212</v>
      </c>
      <c r="H1" s="140"/>
      <c r="I1" s="139">
        <v>45213</v>
      </c>
      <c r="J1" s="140"/>
      <c r="K1" s="139">
        <v>45214</v>
      </c>
      <c r="L1" s="140"/>
      <c r="M1" s="139">
        <v>45215</v>
      </c>
      <c r="N1" s="140"/>
      <c r="O1" s="139">
        <v>45216</v>
      </c>
      <c r="P1" s="140"/>
      <c r="Q1" s="139">
        <v>45217</v>
      </c>
      <c r="R1" s="140"/>
      <c r="S1" s="139">
        <v>45218</v>
      </c>
      <c r="T1" s="140"/>
      <c r="U1" s="139">
        <v>45219</v>
      </c>
      <c r="V1" s="140"/>
      <c r="W1" s="139">
        <v>45220</v>
      </c>
      <c r="X1" s="140"/>
      <c r="Y1" s="139">
        <v>45221</v>
      </c>
      <c r="Z1" s="140"/>
      <c r="AA1" s="139">
        <v>45222</v>
      </c>
      <c r="AB1" s="140"/>
      <c r="AC1" s="139">
        <v>45223</v>
      </c>
      <c r="AD1" s="140"/>
      <c r="AE1" s="139">
        <v>45224</v>
      </c>
      <c r="AF1" s="140"/>
      <c r="AG1" s="139">
        <v>45225</v>
      </c>
      <c r="AH1" s="140"/>
      <c r="AI1" s="139">
        <v>45226</v>
      </c>
      <c r="AJ1" s="140"/>
      <c r="AK1" s="139">
        <v>45227</v>
      </c>
      <c r="AL1" s="140"/>
      <c r="AM1" s="139">
        <v>45228</v>
      </c>
      <c r="AN1" s="140"/>
      <c r="AO1" s="139">
        <v>45229</v>
      </c>
      <c r="AP1" s="140"/>
      <c r="AQ1" s="139">
        <v>45230</v>
      </c>
      <c r="AR1" s="140"/>
      <c r="AS1" s="139">
        <v>45231</v>
      </c>
      <c r="AT1" s="140"/>
      <c r="AU1" s="139">
        <v>45232</v>
      </c>
      <c r="AV1" s="140"/>
      <c r="AW1" s="139">
        <v>45233</v>
      </c>
      <c r="AX1" s="140"/>
      <c r="AY1" s="139">
        <v>45234</v>
      </c>
      <c r="AZ1" s="140"/>
      <c r="BA1" s="139">
        <v>45235</v>
      </c>
      <c r="BB1" s="140"/>
      <c r="BC1" s="139">
        <v>45236</v>
      </c>
      <c r="BD1" s="140"/>
      <c r="BE1" s="139">
        <v>45237</v>
      </c>
      <c r="BF1" s="140"/>
      <c r="BG1" s="139">
        <v>45238</v>
      </c>
      <c r="BH1" s="140"/>
      <c r="BI1" s="139">
        <v>45239</v>
      </c>
      <c r="BJ1" s="140"/>
      <c r="BK1" s="139">
        <v>45240</v>
      </c>
      <c r="BL1" s="140"/>
      <c r="BM1" s="139">
        <v>45241</v>
      </c>
      <c r="BN1" s="140"/>
      <c r="BO1" s="139">
        <v>45242</v>
      </c>
      <c r="BP1" s="140"/>
      <c r="BQ1" s="139">
        <v>45243</v>
      </c>
      <c r="BR1" s="140"/>
      <c r="BS1" s="139">
        <v>45244</v>
      </c>
      <c r="BT1" s="140"/>
      <c r="BU1" s="139">
        <v>45245</v>
      </c>
      <c r="BV1" s="140"/>
      <c r="BW1" s="139">
        <v>45246</v>
      </c>
      <c r="BX1" s="140"/>
      <c r="BY1" s="139">
        <v>45247</v>
      </c>
      <c r="BZ1" s="140"/>
      <c r="CA1" s="139">
        <v>45248</v>
      </c>
      <c r="CB1" s="140"/>
      <c r="CC1" s="139">
        <v>45249</v>
      </c>
      <c r="CD1" s="140"/>
      <c r="CE1" s="139">
        <v>45250</v>
      </c>
      <c r="CF1" s="140"/>
      <c r="CG1" s="139">
        <v>45251</v>
      </c>
      <c r="CH1" s="140"/>
      <c r="CI1" s="139">
        <v>45252</v>
      </c>
      <c r="CJ1" s="140"/>
      <c r="CK1" s="139">
        <v>45253</v>
      </c>
      <c r="CL1" s="140"/>
      <c r="CM1" s="139">
        <v>45254</v>
      </c>
      <c r="CN1" s="140"/>
      <c r="CO1" s="139">
        <v>45255</v>
      </c>
      <c r="CP1" s="140"/>
      <c r="CQ1" s="139">
        <v>45256</v>
      </c>
      <c r="CR1" s="140"/>
      <c r="CS1" s="139">
        <v>45257</v>
      </c>
      <c r="CT1" s="140"/>
      <c r="CU1" s="139">
        <v>45258</v>
      </c>
      <c r="CV1" s="140"/>
      <c r="CW1" s="139">
        <v>45259</v>
      </c>
      <c r="CX1" s="140"/>
      <c r="CY1" s="139">
        <v>45260</v>
      </c>
      <c r="CZ1" s="140"/>
      <c r="DA1" s="139">
        <v>45261</v>
      </c>
      <c r="DB1" s="140"/>
      <c r="DC1" s="139">
        <v>45262</v>
      </c>
      <c r="DD1" s="140"/>
      <c r="DE1" s="139">
        <v>45263</v>
      </c>
      <c r="DF1" s="140"/>
      <c r="DG1" s="139">
        <v>45264</v>
      </c>
      <c r="DH1" s="140"/>
      <c r="DI1" s="139">
        <v>45265</v>
      </c>
      <c r="DJ1" s="140"/>
      <c r="DK1" s="139">
        <v>45266</v>
      </c>
      <c r="DL1" s="140"/>
      <c r="DM1" s="139">
        <v>45267</v>
      </c>
      <c r="DN1" s="140"/>
      <c r="DO1" s="139">
        <v>45268</v>
      </c>
      <c r="DP1" s="140"/>
      <c r="DQ1" s="139">
        <v>45269</v>
      </c>
      <c r="DR1" s="140"/>
      <c r="DS1" s="139">
        <v>45270</v>
      </c>
      <c r="DT1" s="140"/>
      <c r="DU1" s="139">
        <v>45271</v>
      </c>
      <c r="DV1" s="140"/>
      <c r="DW1" s="139">
        <v>45272</v>
      </c>
      <c r="DX1" s="140"/>
      <c r="DY1" s="139">
        <v>45273</v>
      </c>
      <c r="DZ1" s="140"/>
      <c r="EA1" s="139">
        <v>45274</v>
      </c>
      <c r="EB1" s="140"/>
      <c r="EC1" s="139">
        <v>45275</v>
      </c>
      <c r="ED1" s="140"/>
      <c r="EE1" s="139">
        <v>45276</v>
      </c>
      <c r="EF1" s="140"/>
      <c r="EG1" s="139">
        <v>45277</v>
      </c>
      <c r="EH1" s="140"/>
      <c r="EI1" s="139">
        <v>45278</v>
      </c>
      <c r="EJ1" s="140"/>
      <c r="EK1" s="139">
        <v>45279</v>
      </c>
      <c r="EL1" s="140"/>
      <c r="EM1" s="139">
        <v>45280</v>
      </c>
      <c r="EN1" s="140"/>
      <c r="EO1" s="139">
        <v>45281</v>
      </c>
      <c r="EP1" s="140"/>
      <c r="EQ1" s="139">
        <v>45282</v>
      </c>
      <c r="ER1" s="140"/>
      <c r="ES1" s="139">
        <v>45283</v>
      </c>
      <c r="ET1" s="140"/>
      <c r="EU1" s="139">
        <v>45284</v>
      </c>
      <c r="EV1" s="140"/>
      <c r="EW1" s="139">
        <v>45285</v>
      </c>
      <c r="EX1" s="140"/>
      <c r="EY1" s="139">
        <v>45286</v>
      </c>
      <c r="EZ1" s="140"/>
      <c r="FA1" s="139">
        <v>45287</v>
      </c>
      <c r="FB1" s="140"/>
      <c r="FC1" s="139">
        <v>45288</v>
      </c>
      <c r="FD1" s="140"/>
      <c r="FE1" s="139">
        <v>45289</v>
      </c>
      <c r="FF1" s="140"/>
      <c r="FG1" s="139">
        <v>45290</v>
      </c>
      <c r="FH1" s="140"/>
      <c r="FI1" s="139">
        <v>45292</v>
      </c>
      <c r="FJ1" s="140"/>
      <c r="FK1" s="139">
        <v>45293</v>
      </c>
      <c r="FL1" s="140"/>
      <c r="FM1" s="139">
        <v>45294</v>
      </c>
      <c r="FN1" s="140"/>
      <c r="FO1" s="139">
        <v>45295</v>
      </c>
      <c r="FP1" s="140"/>
      <c r="FQ1" s="139">
        <v>45296</v>
      </c>
      <c r="FR1" s="140"/>
      <c r="FS1" s="139">
        <v>45297</v>
      </c>
      <c r="FT1" s="140"/>
      <c r="FU1" s="139">
        <v>45298</v>
      </c>
      <c r="FV1" s="140"/>
      <c r="FW1" s="139">
        <v>45299</v>
      </c>
      <c r="FX1" s="140"/>
      <c r="FY1" s="139">
        <v>45300</v>
      </c>
      <c r="FZ1" s="140"/>
      <c r="GA1" s="139">
        <v>45301</v>
      </c>
      <c r="GB1" s="140"/>
      <c r="GC1" s="139">
        <v>45302</v>
      </c>
      <c r="GD1" s="140"/>
      <c r="GE1" s="139">
        <v>45303</v>
      </c>
      <c r="GF1" s="140"/>
      <c r="GG1" s="139">
        <v>45304</v>
      </c>
      <c r="GH1" s="140"/>
      <c r="GI1" s="139">
        <v>45305</v>
      </c>
      <c r="GJ1" s="140"/>
      <c r="GK1" s="139">
        <v>45306</v>
      </c>
      <c r="GL1" s="140"/>
      <c r="GM1" s="139">
        <v>45307</v>
      </c>
      <c r="GN1" s="140"/>
      <c r="GO1" s="139">
        <v>45308</v>
      </c>
      <c r="GP1" s="140"/>
      <c r="GQ1" s="139">
        <v>45309</v>
      </c>
      <c r="GR1" s="140"/>
      <c r="GS1" s="139">
        <v>45310</v>
      </c>
      <c r="GT1" s="140"/>
      <c r="GU1" s="139">
        <v>45311</v>
      </c>
      <c r="GV1" s="140"/>
      <c r="GW1" s="139">
        <v>45312</v>
      </c>
      <c r="GX1" s="140"/>
      <c r="GY1" s="139">
        <v>45313</v>
      </c>
      <c r="GZ1" s="140"/>
      <c r="HA1" s="139">
        <v>45314</v>
      </c>
      <c r="HB1" s="140"/>
      <c r="HC1" s="139">
        <v>45315</v>
      </c>
      <c r="HD1" s="140"/>
      <c r="HE1" s="139">
        <v>45316</v>
      </c>
      <c r="HF1" s="140"/>
      <c r="HG1" s="139">
        <v>45317</v>
      </c>
      <c r="HH1" s="140"/>
      <c r="HI1" s="139">
        <v>45318</v>
      </c>
      <c r="HJ1" s="140"/>
      <c r="HK1" s="139">
        <v>45319</v>
      </c>
      <c r="HL1" s="140"/>
      <c r="HM1" s="139">
        <v>45320</v>
      </c>
      <c r="HN1" s="140"/>
      <c r="HO1" s="139">
        <v>45321</v>
      </c>
      <c r="HP1" s="140"/>
      <c r="HQ1" s="139">
        <v>45322</v>
      </c>
      <c r="HR1" s="140"/>
      <c r="HS1" s="139">
        <v>45323</v>
      </c>
      <c r="HT1" s="140"/>
      <c r="HU1" s="139">
        <v>45324</v>
      </c>
      <c r="HV1" s="140"/>
      <c r="HW1" s="139">
        <v>45325</v>
      </c>
      <c r="HX1" s="140"/>
      <c r="HY1" s="139">
        <v>45326</v>
      </c>
      <c r="HZ1" s="140"/>
      <c r="IA1" s="139">
        <v>45327</v>
      </c>
      <c r="IB1" s="140"/>
      <c r="IC1" s="139">
        <v>45328</v>
      </c>
      <c r="ID1" s="140"/>
      <c r="IE1" s="139">
        <v>45329</v>
      </c>
      <c r="IF1" s="140"/>
      <c r="IG1" s="139">
        <v>45330</v>
      </c>
      <c r="IH1" s="140"/>
      <c r="II1" s="139">
        <v>45331</v>
      </c>
      <c r="IJ1" s="140"/>
      <c r="IK1" s="139">
        <v>45332</v>
      </c>
      <c r="IL1" s="140"/>
      <c r="IM1" s="139">
        <v>45333</v>
      </c>
      <c r="IN1" s="140"/>
      <c r="IO1" s="139">
        <v>45334</v>
      </c>
      <c r="IP1" s="140"/>
      <c r="IQ1" s="139">
        <v>45335</v>
      </c>
      <c r="IR1" s="140"/>
      <c r="IS1" s="139">
        <v>45336</v>
      </c>
      <c r="IT1" s="140"/>
      <c r="IU1" s="139">
        <v>45337</v>
      </c>
      <c r="IV1" s="140"/>
      <c r="IW1" s="139">
        <v>45338</v>
      </c>
      <c r="IX1" s="140"/>
      <c r="IY1" s="139">
        <v>45339</v>
      </c>
      <c r="IZ1" s="140"/>
      <c r="JA1" s="139">
        <v>45340</v>
      </c>
      <c r="JB1" s="140"/>
      <c r="JC1" s="139">
        <v>45341</v>
      </c>
      <c r="JD1" s="140"/>
      <c r="JE1" s="139">
        <v>45342</v>
      </c>
      <c r="JF1" s="140"/>
      <c r="JG1" s="139">
        <v>45343</v>
      </c>
      <c r="JH1" s="140"/>
      <c r="JI1" s="139">
        <v>45344</v>
      </c>
      <c r="JJ1" s="140"/>
      <c r="JK1" s="139">
        <v>45345</v>
      </c>
      <c r="JL1" s="140"/>
      <c r="JM1" s="139">
        <v>45346</v>
      </c>
      <c r="JN1" s="140"/>
      <c r="JO1" s="139">
        <v>45347</v>
      </c>
      <c r="JP1" s="140"/>
      <c r="JQ1" s="139">
        <v>45348</v>
      </c>
      <c r="JR1" s="140"/>
      <c r="JS1" s="139">
        <v>45349</v>
      </c>
      <c r="JT1" s="140"/>
      <c r="JU1" s="139">
        <v>45350</v>
      </c>
      <c r="JV1" s="140"/>
      <c r="JW1" s="139">
        <v>45351</v>
      </c>
      <c r="JX1" s="140"/>
      <c r="JY1" s="139">
        <v>45352</v>
      </c>
      <c r="JZ1" s="140"/>
      <c r="KA1" s="139">
        <v>45353</v>
      </c>
      <c r="KB1" s="140"/>
      <c r="KC1" s="139">
        <v>45354</v>
      </c>
      <c r="KD1" s="140"/>
      <c r="KE1" s="139">
        <v>45355</v>
      </c>
      <c r="KF1" s="140"/>
      <c r="KG1" s="139">
        <v>45356</v>
      </c>
      <c r="KH1" s="140"/>
      <c r="KI1" s="139">
        <v>45357</v>
      </c>
      <c r="KJ1" s="140"/>
      <c r="KK1" s="139">
        <v>45358</v>
      </c>
      <c r="KL1" s="140"/>
      <c r="KM1" s="139">
        <v>45359</v>
      </c>
      <c r="KN1" s="140"/>
      <c r="KO1" s="139">
        <v>45360</v>
      </c>
      <c r="KP1" s="140"/>
      <c r="KQ1" s="139">
        <v>45361</v>
      </c>
      <c r="KR1" s="140"/>
      <c r="KS1" s="139">
        <v>45362</v>
      </c>
      <c r="KT1" s="140"/>
      <c r="KU1" s="139">
        <v>45363</v>
      </c>
      <c r="KV1" s="140"/>
      <c r="KW1" s="139">
        <v>45364</v>
      </c>
      <c r="KX1" s="140"/>
      <c r="KY1" s="139">
        <v>45365</v>
      </c>
      <c r="KZ1" s="140"/>
      <c r="LA1" s="139">
        <v>45366</v>
      </c>
      <c r="LB1" s="140"/>
      <c r="LC1" s="139">
        <v>45367</v>
      </c>
      <c r="LD1" s="140"/>
      <c r="LE1" s="139">
        <v>45368</v>
      </c>
      <c r="LF1" s="140"/>
      <c r="LG1" s="139">
        <v>45369</v>
      </c>
      <c r="LH1" s="140"/>
      <c r="LI1" s="139">
        <v>45370</v>
      </c>
      <c r="LJ1" s="140"/>
      <c r="LK1" s="139">
        <v>45371</v>
      </c>
      <c r="LL1" s="140"/>
      <c r="LM1" s="139">
        <v>45372</v>
      </c>
      <c r="LN1" s="140"/>
      <c r="LO1" s="139">
        <v>45373</v>
      </c>
      <c r="LP1" s="140"/>
      <c r="LQ1" s="139">
        <v>45374</v>
      </c>
      <c r="LR1" s="140"/>
      <c r="LS1" s="139">
        <v>45375</v>
      </c>
      <c r="LT1" s="140"/>
      <c r="LU1" s="139">
        <v>45376</v>
      </c>
      <c r="LV1" s="140"/>
      <c r="LW1" s="139">
        <v>45377</v>
      </c>
      <c r="LX1" s="140"/>
      <c r="LY1" s="139">
        <v>45378</v>
      </c>
      <c r="LZ1" s="140"/>
      <c r="MA1" s="139">
        <v>45379</v>
      </c>
      <c r="MB1" s="140"/>
      <c r="MC1" s="139">
        <v>45380</v>
      </c>
      <c r="MD1" s="140"/>
      <c r="ME1" s="139">
        <v>45381</v>
      </c>
      <c r="MF1" s="140"/>
      <c r="MG1" s="139">
        <v>45382</v>
      </c>
      <c r="MH1" s="140"/>
      <c r="MI1" s="139">
        <v>45383</v>
      </c>
      <c r="MJ1" s="140"/>
      <c r="MK1" s="139">
        <v>45384</v>
      </c>
      <c r="ML1" s="140"/>
      <c r="MM1" s="139">
        <v>45385</v>
      </c>
      <c r="MN1" s="140"/>
      <c r="MO1" s="139">
        <v>45386</v>
      </c>
      <c r="MP1" s="140"/>
      <c r="MQ1" s="139">
        <v>45387</v>
      </c>
      <c r="MR1" s="140"/>
      <c r="MS1" s="139">
        <v>45388</v>
      </c>
      <c r="MT1" s="140"/>
      <c r="MU1" s="139">
        <v>45389</v>
      </c>
      <c r="MV1" s="140"/>
      <c r="MW1" s="139">
        <v>45390</v>
      </c>
      <c r="MX1" s="140"/>
      <c r="MY1" s="139">
        <v>45391</v>
      </c>
      <c r="MZ1" s="140"/>
      <c r="NA1" s="139">
        <v>45392</v>
      </c>
      <c r="NB1" s="140"/>
      <c r="NC1" s="139">
        <v>45393</v>
      </c>
      <c r="ND1" s="140"/>
      <c r="NE1" s="139">
        <v>45394</v>
      </c>
      <c r="NF1" s="140"/>
      <c r="NG1" s="139">
        <v>45395</v>
      </c>
      <c r="NH1" s="140"/>
      <c r="NI1" s="139">
        <v>45396</v>
      </c>
      <c r="NJ1" s="140"/>
      <c r="NK1" s="139">
        <v>45397</v>
      </c>
      <c r="NL1" s="140"/>
      <c r="NM1" s="139">
        <v>45398</v>
      </c>
      <c r="NN1" s="140"/>
      <c r="NO1" s="139">
        <v>45399</v>
      </c>
      <c r="NP1" s="140"/>
      <c r="NQ1" s="139">
        <v>45400</v>
      </c>
      <c r="NR1" s="140"/>
      <c r="NS1" s="139">
        <v>45401</v>
      </c>
      <c r="NT1" s="140"/>
      <c r="NU1" s="139">
        <v>45402</v>
      </c>
      <c r="NV1" s="140"/>
      <c r="NW1" s="139">
        <v>45403</v>
      </c>
      <c r="NX1" s="140"/>
      <c r="NY1" s="139">
        <v>45404</v>
      </c>
      <c r="NZ1" s="140"/>
      <c r="OA1" s="139">
        <v>45405</v>
      </c>
      <c r="OB1" s="140"/>
      <c r="OC1" s="139">
        <v>45406</v>
      </c>
      <c r="OD1" s="140"/>
      <c r="OE1" s="139">
        <v>45407</v>
      </c>
      <c r="OF1" s="140"/>
      <c r="OG1" s="139">
        <v>45408</v>
      </c>
      <c r="OH1" s="140"/>
      <c r="OI1" s="139">
        <v>45409</v>
      </c>
      <c r="OJ1" s="140"/>
      <c r="OK1" s="139">
        <v>45410</v>
      </c>
      <c r="OL1" s="140"/>
      <c r="OM1" s="139">
        <v>45411</v>
      </c>
      <c r="ON1" s="140"/>
      <c r="OO1" s="139">
        <v>45412</v>
      </c>
      <c r="OP1" s="140"/>
      <c r="OQ1" s="139">
        <v>45413</v>
      </c>
      <c r="OR1" s="140"/>
      <c r="OS1" s="139">
        <v>45414</v>
      </c>
      <c r="OT1" s="140"/>
      <c r="OU1" s="139">
        <v>45415</v>
      </c>
      <c r="OV1" s="140"/>
      <c r="OW1" s="139">
        <v>45416</v>
      </c>
      <c r="OX1" s="140"/>
      <c r="OY1" s="139">
        <v>45417</v>
      </c>
      <c r="OZ1" s="140"/>
      <c r="PA1" s="139">
        <v>45418</v>
      </c>
      <c r="PB1" s="140"/>
      <c r="PC1" s="139">
        <v>45419</v>
      </c>
      <c r="PD1" s="140"/>
      <c r="PE1" s="139">
        <v>45420</v>
      </c>
      <c r="PF1" s="140"/>
      <c r="PG1" s="139">
        <v>45421</v>
      </c>
      <c r="PH1" s="140"/>
      <c r="PI1" s="139">
        <v>45422</v>
      </c>
      <c r="PJ1" s="140"/>
      <c r="PK1" s="139">
        <v>45423</v>
      </c>
      <c r="PL1" s="140"/>
      <c r="PM1" s="139">
        <v>45424</v>
      </c>
      <c r="PN1" s="140"/>
      <c r="PO1" s="139">
        <v>45425</v>
      </c>
      <c r="PP1" s="140"/>
      <c r="PQ1" s="139">
        <v>45426</v>
      </c>
      <c r="PR1" s="140"/>
      <c r="PS1" s="139">
        <v>45427</v>
      </c>
      <c r="PT1" s="140"/>
      <c r="PU1" s="139">
        <v>45428</v>
      </c>
      <c r="PV1" s="140"/>
      <c r="PW1" s="139">
        <v>45429</v>
      </c>
      <c r="PX1" s="140"/>
      <c r="PY1" s="139">
        <v>45430</v>
      </c>
      <c r="PZ1" s="140"/>
      <c r="QA1" s="139">
        <v>45431</v>
      </c>
      <c r="QB1" s="140"/>
      <c r="QC1" s="139">
        <v>45432</v>
      </c>
      <c r="QD1" s="140"/>
      <c r="QE1" s="139">
        <v>45433</v>
      </c>
      <c r="QF1" s="140"/>
      <c r="QG1" s="139">
        <v>45434</v>
      </c>
      <c r="QH1" s="140"/>
      <c r="QI1" s="139">
        <v>45435</v>
      </c>
      <c r="QJ1" s="140"/>
      <c r="QK1" s="139">
        <v>45436</v>
      </c>
      <c r="QL1" s="140"/>
      <c r="QM1" s="139">
        <v>45437</v>
      </c>
      <c r="QN1" s="140"/>
      <c r="QO1" s="139">
        <v>45438</v>
      </c>
      <c r="QP1" s="140"/>
      <c r="QQ1" s="139">
        <v>45439</v>
      </c>
      <c r="QR1" s="140"/>
      <c r="QS1" s="139">
        <v>45440</v>
      </c>
      <c r="QT1" s="140"/>
      <c r="QU1" s="139">
        <v>45441</v>
      </c>
      <c r="QV1" s="140"/>
      <c r="QW1" s="139">
        <v>45442</v>
      </c>
      <c r="QX1" s="140"/>
      <c r="QY1" s="139">
        <v>45443</v>
      </c>
      <c r="QZ1" s="140"/>
      <c r="RA1" s="139">
        <v>45444</v>
      </c>
      <c r="RB1" s="140"/>
      <c r="RC1" s="139">
        <v>45445</v>
      </c>
      <c r="RD1" s="140"/>
      <c r="RE1" s="139">
        <v>45446</v>
      </c>
      <c r="RF1" s="140"/>
      <c r="RG1" s="139">
        <v>45447</v>
      </c>
      <c r="RH1" s="140"/>
      <c r="RI1" s="139">
        <v>45448</v>
      </c>
      <c r="RJ1" s="140"/>
      <c r="RK1" s="139">
        <v>45449</v>
      </c>
      <c r="RL1" s="140"/>
      <c r="RM1" s="139">
        <v>45450</v>
      </c>
      <c r="RN1" s="140"/>
      <c r="RO1" s="139">
        <v>45451</v>
      </c>
      <c r="RP1" s="140"/>
      <c r="RQ1" s="139">
        <v>45452</v>
      </c>
      <c r="RR1" s="140"/>
      <c r="RS1" s="139">
        <v>45453</v>
      </c>
      <c r="RT1" s="140"/>
      <c r="RU1" s="139">
        <v>45454</v>
      </c>
      <c r="RV1" s="140"/>
      <c r="RW1" s="139">
        <v>45455</v>
      </c>
      <c r="RX1" s="140"/>
      <c r="RY1" s="139">
        <v>45456</v>
      </c>
      <c r="RZ1" s="140"/>
      <c r="SA1" s="139">
        <v>45457</v>
      </c>
      <c r="SB1" s="140"/>
      <c r="SC1" s="139">
        <v>45458</v>
      </c>
      <c r="SD1" s="140"/>
      <c r="SE1" s="139">
        <v>45459</v>
      </c>
      <c r="SF1" s="140"/>
      <c r="SG1" s="139">
        <v>45460</v>
      </c>
      <c r="SH1" s="140"/>
      <c r="SI1" s="139">
        <v>45461</v>
      </c>
      <c r="SJ1" s="140"/>
      <c r="SK1" s="140"/>
      <c r="SL1" s="139">
        <v>45462</v>
      </c>
      <c r="SM1" s="140"/>
      <c r="SN1" s="139">
        <v>45463</v>
      </c>
      <c r="SO1" s="140"/>
      <c r="SP1" s="139">
        <v>45464</v>
      </c>
      <c r="SQ1" s="140"/>
      <c r="SR1" s="139">
        <v>45465</v>
      </c>
      <c r="SS1" s="140"/>
      <c r="ST1" s="139">
        <v>45466</v>
      </c>
      <c r="SU1" s="140"/>
      <c r="SV1" s="139">
        <v>45467</v>
      </c>
      <c r="SW1" s="140"/>
      <c r="SX1" s="139">
        <v>45468</v>
      </c>
      <c r="SY1" s="140"/>
      <c r="SZ1" s="139">
        <v>45469</v>
      </c>
      <c r="TA1" s="140"/>
      <c r="TB1" s="139">
        <v>45470</v>
      </c>
      <c r="TC1" s="140"/>
      <c r="TD1" s="139">
        <v>45471</v>
      </c>
      <c r="TE1" s="140"/>
      <c r="TF1" s="139">
        <v>45472</v>
      </c>
      <c r="TG1" s="140"/>
      <c r="TH1" s="139">
        <v>45473</v>
      </c>
      <c r="TI1" s="140"/>
      <c r="TJ1" s="139">
        <v>45474</v>
      </c>
      <c r="TK1" s="140"/>
      <c r="TL1" s="139">
        <v>45475</v>
      </c>
      <c r="TM1" s="140"/>
      <c r="TN1" s="139">
        <v>45476</v>
      </c>
      <c r="TO1" s="140"/>
      <c r="TP1" s="139">
        <v>45477</v>
      </c>
      <c r="TQ1" s="140"/>
      <c r="TR1" s="139">
        <v>45478</v>
      </c>
      <c r="TS1" s="140"/>
      <c r="TT1" s="139">
        <v>45479</v>
      </c>
      <c r="TU1" s="140"/>
      <c r="TV1" s="139">
        <v>45480</v>
      </c>
      <c r="TW1" s="140"/>
      <c r="TX1" s="139">
        <v>45481</v>
      </c>
      <c r="TY1" s="140"/>
      <c r="TZ1" s="139">
        <v>45482</v>
      </c>
      <c r="UA1" s="140"/>
      <c r="UB1" s="139">
        <v>45483</v>
      </c>
      <c r="UC1" s="140"/>
      <c r="UD1" s="139">
        <v>45484</v>
      </c>
      <c r="UE1" s="140"/>
      <c r="UF1" s="139">
        <v>45485</v>
      </c>
      <c r="UG1" s="140"/>
      <c r="UH1" s="139">
        <v>45486</v>
      </c>
      <c r="UI1" s="140"/>
      <c r="UJ1" s="139">
        <v>45487</v>
      </c>
      <c r="UK1" s="140"/>
      <c r="UL1" s="139">
        <v>45488</v>
      </c>
      <c r="UM1" s="140"/>
      <c r="UN1" s="139">
        <v>45489</v>
      </c>
      <c r="UO1" s="140"/>
      <c r="UP1" s="139">
        <v>45490</v>
      </c>
      <c r="UQ1" s="140"/>
      <c r="UR1" s="139">
        <v>45491</v>
      </c>
      <c r="US1" s="140"/>
      <c r="UT1" s="139">
        <v>45492</v>
      </c>
      <c r="UU1" s="140"/>
      <c r="UV1" s="139">
        <v>45493</v>
      </c>
      <c r="UW1" s="140"/>
      <c r="UX1" s="139">
        <v>45494</v>
      </c>
      <c r="UY1" s="140"/>
      <c r="UZ1" s="139">
        <v>45495</v>
      </c>
      <c r="VA1" s="140"/>
      <c r="VB1" s="139">
        <v>45496</v>
      </c>
      <c r="VC1" s="140"/>
      <c r="VD1" s="139">
        <v>45497</v>
      </c>
      <c r="VE1" s="140"/>
      <c r="VF1" s="139">
        <v>45498</v>
      </c>
      <c r="VG1" s="140"/>
      <c r="VH1" s="139">
        <v>45499</v>
      </c>
      <c r="VI1" s="140"/>
      <c r="VJ1" s="139">
        <v>45500</v>
      </c>
      <c r="VK1" s="140"/>
      <c r="VL1" s="139">
        <v>45501</v>
      </c>
      <c r="VM1" s="140"/>
      <c r="VN1" s="139">
        <v>45502</v>
      </c>
      <c r="VO1" s="140"/>
      <c r="VP1" s="139">
        <v>45503</v>
      </c>
      <c r="VQ1" s="140"/>
      <c r="VR1" s="139">
        <v>45504</v>
      </c>
      <c r="VS1" s="140"/>
      <c r="VT1" s="139">
        <v>45505</v>
      </c>
      <c r="VU1" s="140"/>
      <c r="VV1" s="139">
        <v>45506</v>
      </c>
      <c r="VW1" s="140"/>
      <c r="VX1" s="139">
        <v>45507</v>
      </c>
      <c r="VY1" s="140"/>
      <c r="VZ1" s="139">
        <v>45508</v>
      </c>
      <c r="WA1" s="140"/>
      <c r="WB1" s="139">
        <v>45509</v>
      </c>
      <c r="WC1" s="140"/>
      <c r="WD1" s="139">
        <v>45510</v>
      </c>
      <c r="WE1" s="140"/>
      <c r="WF1" s="139">
        <v>45511</v>
      </c>
      <c r="WG1" s="140"/>
      <c r="WH1" s="139">
        <v>45512</v>
      </c>
      <c r="WI1" s="140"/>
      <c r="WJ1" s="139">
        <v>45513</v>
      </c>
      <c r="WK1" s="140"/>
      <c r="WL1" s="139">
        <v>45514</v>
      </c>
      <c r="WM1" s="140"/>
      <c r="WN1" s="139">
        <v>45515</v>
      </c>
      <c r="WO1" s="140"/>
      <c r="WP1" s="139">
        <v>45516</v>
      </c>
      <c r="WQ1" s="140"/>
      <c r="WR1" s="139">
        <v>45517</v>
      </c>
      <c r="WS1" s="140"/>
      <c r="WT1" s="139">
        <v>45518</v>
      </c>
      <c r="WU1" s="140"/>
      <c r="WV1" s="139">
        <v>45519</v>
      </c>
      <c r="WW1" s="140"/>
      <c r="WX1" s="139">
        <v>45520</v>
      </c>
      <c r="WY1" s="140"/>
      <c r="WZ1" s="139">
        <v>45521</v>
      </c>
      <c r="XA1" s="140"/>
      <c r="XB1" s="139">
        <v>45522</v>
      </c>
      <c r="XC1" s="140"/>
      <c r="XD1" s="139">
        <v>45523</v>
      </c>
      <c r="XE1" s="140"/>
      <c r="XF1" s="139">
        <v>45524</v>
      </c>
      <c r="XG1" s="140"/>
      <c r="XH1" s="139">
        <v>45525</v>
      </c>
      <c r="XI1" s="140"/>
      <c r="XJ1" s="139">
        <v>45526</v>
      </c>
      <c r="XK1" s="140"/>
      <c r="XL1" s="139">
        <v>45527</v>
      </c>
      <c r="XM1" s="140"/>
      <c r="XN1" s="139">
        <v>45528</v>
      </c>
      <c r="XO1" s="140"/>
      <c r="XP1" s="139">
        <v>45529</v>
      </c>
      <c r="XQ1" s="140"/>
      <c r="XR1" s="139">
        <v>45530</v>
      </c>
      <c r="XS1" s="140"/>
      <c r="XT1" s="139">
        <v>45531</v>
      </c>
      <c r="XU1" s="140"/>
      <c r="XV1" s="139">
        <v>45532</v>
      </c>
      <c r="XW1" s="140"/>
      <c r="XX1" s="139">
        <v>45533</v>
      </c>
      <c r="XY1" s="140"/>
      <c r="XZ1" s="139">
        <v>45534</v>
      </c>
      <c r="YA1" s="140"/>
      <c r="YB1" s="139">
        <v>45535</v>
      </c>
      <c r="YC1" s="140"/>
      <c r="YD1" s="139">
        <v>45536</v>
      </c>
      <c r="YE1" s="140"/>
      <c r="YF1" s="139">
        <v>45537</v>
      </c>
      <c r="YG1" s="140"/>
      <c r="YH1" s="139">
        <v>45538</v>
      </c>
      <c r="YI1" s="140"/>
      <c r="YJ1" s="139">
        <v>45539</v>
      </c>
      <c r="YK1" s="140"/>
      <c r="YL1" s="139">
        <v>45540</v>
      </c>
      <c r="YM1" s="140"/>
      <c r="YN1" s="139">
        <v>45541</v>
      </c>
      <c r="YO1" s="140"/>
      <c r="YP1" s="139">
        <v>45542</v>
      </c>
      <c r="YQ1" s="140"/>
      <c r="YR1" s="139">
        <v>45543</v>
      </c>
      <c r="YS1" s="140"/>
      <c r="YT1" s="139">
        <v>45544</v>
      </c>
      <c r="YU1" s="140"/>
      <c r="YV1" s="139">
        <v>45545</v>
      </c>
      <c r="YW1" s="140"/>
      <c r="YX1" s="139">
        <v>45546</v>
      </c>
      <c r="YY1" s="140"/>
      <c r="YZ1" s="139">
        <v>45547</v>
      </c>
      <c r="ZA1" s="140"/>
      <c r="ZB1" s="139">
        <v>45548</v>
      </c>
      <c r="ZC1" s="140"/>
      <c r="ZD1" s="139">
        <v>45549</v>
      </c>
      <c r="ZE1" s="140"/>
      <c r="ZF1" s="139">
        <v>45550</v>
      </c>
      <c r="ZG1" s="140"/>
      <c r="ZH1" s="139">
        <v>45551</v>
      </c>
      <c r="ZI1" s="140"/>
      <c r="ZJ1" s="139">
        <v>45552</v>
      </c>
      <c r="ZK1" s="140"/>
      <c r="ZL1" s="139">
        <v>45553</v>
      </c>
      <c r="ZM1" s="140"/>
      <c r="ZN1" s="139">
        <v>45554</v>
      </c>
      <c r="ZO1" s="140"/>
      <c r="ZP1" s="139">
        <v>45555</v>
      </c>
      <c r="ZQ1" s="140"/>
      <c r="ZR1" s="139">
        <v>45556</v>
      </c>
      <c r="ZS1" s="140"/>
      <c r="ZT1" s="139">
        <v>45557</v>
      </c>
      <c r="ZU1" s="140"/>
      <c r="ZV1" s="139">
        <v>45558</v>
      </c>
      <c r="ZW1" s="140"/>
      <c r="ZX1" s="139">
        <v>45559</v>
      </c>
      <c r="ZY1" s="140"/>
      <c r="ZZ1" s="139">
        <v>45560</v>
      </c>
      <c r="AAA1" s="140"/>
      <c r="AAB1" s="139">
        <v>45561</v>
      </c>
      <c r="AAC1" s="140"/>
      <c r="AAD1" s="139">
        <v>45562</v>
      </c>
      <c r="AAE1" s="140"/>
      <c r="AAF1" s="139">
        <v>45563</v>
      </c>
      <c r="AAG1" s="140"/>
      <c r="AAH1" s="139">
        <v>45564</v>
      </c>
      <c r="AAI1" s="140"/>
      <c r="AAJ1" s="139">
        <v>45565</v>
      </c>
      <c r="AAK1" s="140"/>
      <c r="AAL1" s="139">
        <v>45566</v>
      </c>
      <c r="AAM1" s="140"/>
      <c r="AAN1" s="139">
        <v>45567</v>
      </c>
      <c r="AAO1" s="140"/>
      <c r="AAP1" s="139">
        <v>45568</v>
      </c>
      <c r="AAQ1" s="140"/>
      <c r="AAR1" s="139">
        <v>45569</v>
      </c>
      <c r="AAS1" s="140"/>
      <c r="AAT1" s="139">
        <v>45570</v>
      </c>
      <c r="AAU1" s="140"/>
      <c r="AAV1" s="139">
        <v>45571</v>
      </c>
      <c r="AAW1" s="140"/>
      <c r="AAX1" s="139">
        <v>45572</v>
      </c>
      <c r="AAY1" s="140"/>
      <c r="AAZ1" s="139">
        <v>45573</v>
      </c>
      <c r="ABA1" s="140"/>
      <c r="ABB1" s="139">
        <v>45574</v>
      </c>
      <c r="ABC1" s="140"/>
      <c r="ABD1" s="139">
        <v>45575</v>
      </c>
      <c r="ABE1" s="140"/>
      <c r="ABF1" s="139">
        <v>45576</v>
      </c>
      <c r="ABG1" s="140"/>
      <c r="ABH1" s="139">
        <v>45577</v>
      </c>
      <c r="ABI1" s="140"/>
      <c r="ABJ1" s="139">
        <v>45578</v>
      </c>
      <c r="ABK1" s="140"/>
      <c r="ABL1" s="139">
        <v>45579</v>
      </c>
      <c r="ABM1" s="140"/>
      <c r="ABN1" s="139">
        <v>45580</v>
      </c>
      <c r="ABO1" s="140"/>
      <c r="ABP1" s="139">
        <v>45581</v>
      </c>
      <c r="ABQ1" s="140"/>
      <c r="ABR1" s="139">
        <v>45582</v>
      </c>
      <c r="ABS1" s="140"/>
      <c r="ABT1" s="139">
        <v>45583</v>
      </c>
      <c r="ABU1" s="140"/>
      <c r="ABV1" s="139">
        <v>45584</v>
      </c>
      <c r="ABW1" s="140"/>
      <c r="ABX1" s="139">
        <v>45585</v>
      </c>
      <c r="ABY1" s="140"/>
      <c r="ABZ1" s="139">
        <v>45586</v>
      </c>
      <c r="ACA1" s="140"/>
      <c r="ACB1" s="139">
        <v>45587</v>
      </c>
      <c r="ACC1" s="140"/>
      <c r="ACD1" s="139">
        <v>45588</v>
      </c>
      <c r="ACE1" s="140"/>
      <c r="ACF1" s="139">
        <v>45589</v>
      </c>
      <c r="ACG1" s="140"/>
      <c r="ACH1" s="139">
        <v>45590</v>
      </c>
      <c r="ACI1" s="140"/>
      <c r="ACJ1" s="141">
        <v>45591</v>
      </c>
      <c r="ACK1" s="140"/>
      <c r="ACL1" s="141">
        <v>45592</v>
      </c>
      <c r="ACM1" s="140"/>
      <c r="ACN1" s="141">
        <v>45593</v>
      </c>
      <c r="ACO1" s="140"/>
      <c r="ACP1" s="141">
        <v>45594</v>
      </c>
      <c r="ACQ1" s="140"/>
      <c r="ACR1" s="141">
        <v>45595</v>
      </c>
      <c r="ACS1" s="140"/>
      <c r="ACT1" s="141">
        <v>45596</v>
      </c>
      <c r="ACU1" s="140"/>
      <c r="ACV1" s="141">
        <v>45597</v>
      </c>
      <c r="ACW1" s="140"/>
      <c r="ACX1" s="141">
        <v>45598</v>
      </c>
      <c r="ACY1" s="140"/>
      <c r="ACZ1" s="141">
        <v>45599</v>
      </c>
      <c r="ADA1" s="140"/>
      <c r="ADB1" s="141">
        <v>45600</v>
      </c>
      <c r="ADC1" s="140"/>
      <c r="ADD1" s="141">
        <v>45601</v>
      </c>
      <c r="ADE1" s="140"/>
      <c r="ADF1" s="141">
        <v>45602</v>
      </c>
      <c r="ADG1" s="140"/>
      <c r="ADH1" s="141">
        <v>45603</v>
      </c>
      <c r="ADI1" s="140"/>
      <c r="ADJ1" s="141">
        <v>45604</v>
      </c>
      <c r="ADK1" s="140"/>
      <c r="ADL1" s="141">
        <v>45605</v>
      </c>
      <c r="ADM1" s="140"/>
      <c r="ADN1" s="141">
        <v>45606</v>
      </c>
      <c r="ADO1" s="140"/>
      <c r="ADP1" s="141">
        <v>45607</v>
      </c>
      <c r="ADQ1" s="140"/>
      <c r="ADR1" s="141">
        <v>45608</v>
      </c>
      <c r="ADS1" s="140"/>
      <c r="ADT1" s="141">
        <v>45609</v>
      </c>
      <c r="ADU1" s="140"/>
      <c r="ADV1" s="141">
        <v>45610</v>
      </c>
      <c r="ADW1" s="140"/>
      <c r="ADX1" s="141">
        <v>45611</v>
      </c>
      <c r="ADY1" s="140"/>
      <c r="ADZ1" s="141">
        <v>45612</v>
      </c>
      <c r="AEA1" s="140"/>
      <c r="AEB1" s="141">
        <v>45613</v>
      </c>
      <c r="AEC1" s="140"/>
      <c r="AED1" s="141">
        <v>45614</v>
      </c>
      <c r="AEE1" s="140"/>
      <c r="AEF1" s="141">
        <v>45615</v>
      </c>
      <c r="AEG1" s="140"/>
      <c r="AEH1" s="141">
        <v>45616</v>
      </c>
      <c r="AEI1" s="140"/>
      <c r="AEJ1" s="141">
        <v>45617</v>
      </c>
      <c r="AEK1" s="140"/>
      <c r="AEL1" s="141">
        <v>45618</v>
      </c>
      <c r="AEM1" s="140"/>
      <c r="AEN1" s="141">
        <v>45619</v>
      </c>
      <c r="AEO1" s="140"/>
      <c r="AEP1" s="141">
        <v>45620</v>
      </c>
      <c r="AEQ1" s="140"/>
      <c r="AER1" s="141">
        <v>45621</v>
      </c>
      <c r="AES1" s="140"/>
      <c r="AET1" s="141">
        <v>45622</v>
      </c>
      <c r="AEU1" s="140"/>
      <c r="AEV1" s="141">
        <v>45623</v>
      </c>
      <c r="AEW1" s="140"/>
      <c r="AEX1" s="141">
        <v>45624</v>
      </c>
      <c r="AEY1" s="140"/>
      <c r="AEZ1" s="141">
        <v>45625</v>
      </c>
      <c r="AFA1" s="140"/>
      <c r="AFB1" s="141">
        <v>45626</v>
      </c>
      <c r="AFC1" s="140"/>
      <c r="AFD1" s="141">
        <v>45627</v>
      </c>
      <c r="AFE1" s="140"/>
      <c r="AFF1" s="141">
        <v>45628</v>
      </c>
      <c r="AFG1" s="140"/>
      <c r="AFH1" s="141">
        <v>45629</v>
      </c>
      <c r="AFI1" s="140"/>
      <c r="AFJ1" s="141">
        <v>45630</v>
      </c>
      <c r="AFK1" s="140"/>
      <c r="AFL1" s="141">
        <v>45631</v>
      </c>
      <c r="AFM1" s="140"/>
      <c r="AFN1" s="141">
        <v>45632</v>
      </c>
      <c r="AFO1" s="140"/>
      <c r="AFP1" s="141">
        <v>45633</v>
      </c>
      <c r="AFQ1" s="140"/>
      <c r="AFR1" s="141">
        <v>45634</v>
      </c>
      <c r="AFS1" s="140"/>
      <c r="AFT1" s="141">
        <v>45635</v>
      </c>
      <c r="AFU1" s="140"/>
      <c r="AFV1" s="141">
        <v>45636</v>
      </c>
      <c r="AFW1" s="140"/>
      <c r="AFX1" s="141">
        <v>45637</v>
      </c>
      <c r="AFY1" s="140"/>
      <c r="AFZ1" s="141">
        <v>45638</v>
      </c>
      <c r="AGA1" s="140"/>
      <c r="AGB1" s="141">
        <v>45639</v>
      </c>
      <c r="AGC1" s="140"/>
      <c r="AGD1" s="141">
        <v>45640</v>
      </c>
      <c r="AGE1" s="140"/>
      <c r="AGF1" s="141">
        <v>45641</v>
      </c>
      <c r="AGG1" s="140"/>
      <c r="AGH1" s="141">
        <v>45642</v>
      </c>
      <c r="AGI1" s="140"/>
      <c r="AGJ1" s="141">
        <v>45643</v>
      </c>
      <c r="AGK1" s="140"/>
      <c r="AGL1" s="141">
        <v>45644</v>
      </c>
      <c r="AGM1" s="140"/>
      <c r="AGN1" s="141">
        <v>45645</v>
      </c>
      <c r="AGO1" s="140"/>
      <c r="AGP1" s="141">
        <v>45646</v>
      </c>
      <c r="AGQ1" s="140"/>
      <c r="AGR1" s="141">
        <v>45647</v>
      </c>
      <c r="AGS1" s="140"/>
      <c r="AGT1" s="141">
        <v>45648</v>
      </c>
      <c r="AGU1" s="140"/>
      <c r="AGV1" s="141">
        <v>45649</v>
      </c>
      <c r="AGW1" s="140"/>
      <c r="AGX1" s="141">
        <v>45650</v>
      </c>
      <c r="AGY1" s="140"/>
      <c r="AGZ1" s="141">
        <v>45651</v>
      </c>
      <c r="AHA1" s="140"/>
      <c r="AHB1" s="141">
        <v>45652</v>
      </c>
      <c r="AHC1" s="140"/>
      <c r="AHD1" s="141">
        <v>45653</v>
      </c>
      <c r="AHE1" s="140"/>
      <c r="AHF1" s="141">
        <v>45654</v>
      </c>
      <c r="AHG1" s="140"/>
      <c r="AHH1" s="141">
        <v>45655</v>
      </c>
      <c r="AHI1" s="140"/>
      <c r="AHJ1" s="141">
        <v>45656</v>
      </c>
      <c r="AHK1" s="140"/>
      <c r="AHL1" s="141">
        <v>45657</v>
      </c>
      <c r="AHM1" s="140"/>
      <c r="AHN1" s="141">
        <v>45658</v>
      </c>
      <c r="AHO1" s="140"/>
      <c r="AHP1" s="141">
        <v>45659</v>
      </c>
      <c r="AHQ1" s="140"/>
      <c r="AHR1" s="141">
        <v>45294</v>
      </c>
      <c r="AHS1" s="140"/>
      <c r="AHT1" s="141">
        <v>45661</v>
      </c>
      <c r="AHU1" s="140"/>
      <c r="AHV1" s="141">
        <v>45662</v>
      </c>
      <c r="AHW1" s="140"/>
      <c r="AHX1" s="141">
        <v>45663</v>
      </c>
      <c r="AHY1" s="140"/>
      <c r="AHZ1" s="141">
        <v>45664</v>
      </c>
      <c r="AIA1" s="140"/>
      <c r="AIB1" s="141">
        <v>45665</v>
      </c>
      <c r="AIC1" s="140"/>
      <c r="AID1" s="141">
        <v>45666</v>
      </c>
      <c r="AIE1" s="140"/>
      <c r="AIF1" s="141">
        <v>45667</v>
      </c>
      <c r="AIG1" s="140"/>
      <c r="AIH1" s="141">
        <v>45668</v>
      </c>
      <c r="AII1" s="140"/>
      <c r="AIJ1" s="141">
        <v>45669</v>
      </c>
      <c r="AIK1" s="140"/>
      <c r="AIL1" s="141">
        <v>45670</v>
      </c>
      <c r="AIM1" s="140"/>
      <c r="AIN1" s="141">
        <v>45671</v>
      </c>
      <c r="AIO1" s="140"/>
      <c r="AIP1" s="141">
        <v>45672</v>
      </c>
      <c r="AIQ1" s="140"/>
      <c r="AIR1" s="141">
        <v>45673</v>
      </c>
      <c r="AIS1" s="140"/>
      <c r="AIT1" s="141">
        <v>45674</v>
      </c>
      <c r="AIU1" s="140"/>
      <c r="AIV1" s="141">
        <v>45675</v>
      </c>
      <c r="AIW1" s="140"/>
      <c r="AIX1" s="141">
        <v>45676</v>
      </c>
      <c r="AIY1" s="140"/>
      <c r="AIZ1" s="141">
        <v>45677</v>
      </c>
      <c r="AJA1" s="140"/>
      <c r="AJB1" s="141">
        <v>45678</v>
      </c>
      <c r="AJC1" s="140"/>
      <c r="AJD1" s="141">
        <v>45679</v>
      </c>
      <c r="AJE1" s="140"/>
      <c r="AJF1" s="141">
        <v>45680</v>
      </c>
      <c r="AJG1" s="140"/>
      <c r="AJH1" s="141">
        <v>45681</v>
      </c>
      <c r="AJI1" s="140"/>
      <c r="AJJ1" s="141">
        <v>45682</v>
      </c>
      <c r="AJK1" s="140"/>
      <c r="AJL1" s="141">
        <v>45683</v>
      </c>
      <c r="AJM1" s="140"/>
      <c r="AJN1" s="141">
        <v>45684</v>
      </c>
      <c r="AJO1" s="140"/>
      <c r="AJP1" s="141">
        <v>45685</v>
      </c>
      <c r="AJQ1" s="140"/>
      <c r="AJR1" s="141">
        <v>45686</v>
      </c>
      <c r="AJS1" s="140"/>
      <c r="AJT1" s="141">
        <v>45687</v>
      </c>
      <c r="AJU1" s="140"/>
      <c r="AJV1" s="141">
        <v>45688</v>
      </c>
      <c r="AJW1" s="140"/>
      <c r="AJX1" s="141">
        <v>45689</v>
      </c>
      <c r="AJY1" s="140"/>
      <c r="AJZ1" s="141">
        <v>45690</v>
      </c>
      <c r="AKA1" s="140"/>
      <c r="AKB1" s="141">
        <v>45691</v>
      </c>
      <c r="AKC1" s="140"/>
      <c r="AKD1" s="141">
        <v>45692</v>
      </c>
      <c r="AKE1" s="140"/>
      <c r="AKF1" s="141">
        <v>45693</v>
      </c>
      <c r="AKG1" s="140"/>
      <c r="AKH1" s="141">
        <v>45694</v>
      </c>
      <c r="AKI1" s="140"/>
      <c r="AKJ1" s="141">
        <v>45695</v>
      </c>
      <c r="AKK1" s="140"/>
      <c r="AKL1" s="141">
        <v>45696</v>
      </c>
      <c r="AKM1" s="140"/>
      <c r="AKN1" s="141">
        <v>45697</v>
      </c>
      <c r="AKO1" s="140"/>
      <c r="AKP1" s="141">
        <v>45698</v>
      </c>
      <c r="AKQ1" s="140"/>
      <c r="AKR1" s="141">
        <v>45699</v>
      </c>
      <c r="AKS1" s="140"/>
      <c r="AKT1" s="141">
        <v>45700</v>
      </c>
      <c r="AKU1" s="140"/>
      <c r="AKV1" s="141">
        <v>45701</v>
      </c>
      <c r="AKW1" s="140"/>
      <c r="AKX1" s="141">
        <v>45702</v>
      </c>
      <c r="AKY1" s="140"/>
      <c r="AKZ1" s="141">
        <v>45703</v>
      </c>
      <c r="ALA1" s="140"/>
      <c r="ALB1" s="141">
        <v>45704</v>
      </c>
      <c r="ALC1" s="140"/>
      <c r="ALD1" s="141">
        <v>45705</v>
      </c>
      <c r="ALE1" s="140"/>
      <c r="ALF1" s="141">
        <v>45706</v>
      </c>
      <c r="ALG1" s="140"/>
      <c r="ALH1" s="141">
        <v>45707</v>
      </c>
      <c r="ALI1" s="140"/>
      <c r="ALJ1" s="141">
        <v>45708</v>
      </c>
      <c r="ALK1" s="140"/>
      <c r="ALL1" s="141">
        <v>45709</v>
      </c>
      <c r="ALM1" s="140"/>
      <c r="ALN1" s="141">
        <v>45710</v>
      </c>
      <c r="ALO1" s="140"/>
      <c r="ALP1" s="141">
        <v>45711</v>
      </c>
      <c r="ALQ1" s="140"/>
      <c r="ALR1" s="141">
        <v>45712</v>
      </c>
      <c r="ALS1" s="140"/>
      <c r="ALT1" s="141">
        <v>45713</v>
      </c>
      <c r="ALU1" s="140"/>
      <c r="ALV1" s="141">
        <v>45714</v>
      </c>
      <c r="ALW1" s="140"/>
      <c r="ALX1" s="141">
        <v>45715</v>
      </c>
      <c r="ALY1" s="140"/>
      <c r="ALZ1" s="141">
        <v>45716</v>
      </c>
      <c r="AMA1" s="140"/>
      <c r="AMB1" s="141">
        <v>45717</v>
      </c>
      <c r="AMC1" s="140"/>
      <c r="AMD1" s="141">
        <v>45718</v>
      </c>
      <c r="AME1" s="140"/>
      <c r="AMF1" s="141">
        <v>45719</v>
      </c>
      <c r="AMG1" s="140"/>
      <c r="AMH1" s="141">
        <v>45720</v>
      </c>
      <c r="AMI1" s="140"/>
      <c r="AMJ1" s="141">
        <v>45721</v>
      </c>
      <c r="AMK1" s="140"/>
      <c r="AML1" s="141">
        <v>45722</v>
      </c>
      <c r="AMM1" s="140"/>
      <c r="AMN1" s="141">
        <v>45723</v>
      </c>
      <c r="AMO1" s="140"/>
      <c r="AMP1" s="141">
        <v>45724</v>
      </c>
      <c r="AMQ1" s="140"/>
      <c r="AMR1" s="141">
        <v>45725</v>
      </c>
      <c r="AMS1" s="140"/>
      <c r="AMT1" s="141">
        <v>45726</v>
      </c>
      <c r="AMU1" s="140"/>
      <c r="AMV1" s="141">
        <v>45727</v>
      </c>
      <c r="AMW1" s="140"/>
      <c r="AMX1" s="141">
        <v>45728</v>
      </c>
      <c r="AMY1" s="140"/>
      <c r="AMZ1" s="141">
        <v>45729</v>
      </c>
      <c r="ANA1" s="140"/>
      <c r="ANB1" s="141">
        <v>45730</v>
      </c>
      <c r="ANC1" s="140"/>
      <c r="AND1" s="141">
        <v>45731</v>
      </c>
      <c r="ANE1" s="140"/>
      <c r="ANF1" s="141">
        <v>45732</v>
      </c>
      <c r="ANG1" s="140"/>
      <c r="ANH1" s="141">
        <v>45733</v>
      </c>
      <c r="ANI1" s="140"/>
      <c r="ANJ1" s="141">
        <v>45734</v>
      </c>
      <c r="ANK1" s="140"/>
      <c r="ANL1" s="141">
        <v>45735</v>
      </c>
      <c r="ANM1" s="140"/>
      <c r="ANN1" s="141">
        <v>45736</v>
      </c>
      <c r="ANO1" s="140"/>
      <c r="ANP1" s="141">
        <v>45737</v>
      </c>
      <c r="ANQ1" s="140"/>
      <c r="ANR1" s="141">
        <v>45738</v>
      </c>
      <c r="ANS1" s="140"/>
      <c r="ANT1" s="141">
        <v>45739</v>
      </c>
      <c r="ANU1" s="140"/>
      <c r="ANV1" s="141">
        <v>45740</v>
      </c>
      <c r="ANW1" s="140"/>
      <c r="ANX1" s="141">
        <v>45741</v>
      </c>
      <c r="ANY1" s="140"/>
      <c r="ANZ1" s="141">
        <v>45742</v>
      </c>
      <c r="AOA1" s="140"/>
      <c r="AOB1" s="141">
        <v>45743</v>
      </c>
      <c r="AOC1" s="140"/>
      <c r="AOD1" s="141">
        <v>45744</v>
      </c>
      <c r="AOE1" s="140"/>
      <c r="AOF1" s="141">
        <v>45745</v>
      </c>
      <c r="AOG1" s="140"/>
      <c r="AOH1" s="141">
        <v>45746</v>
      </c>
      <c r="AOI1" s="140"/>
      <c r="AOJ1" s="141">
        <v>45747</v>
      </c>
      <c r="AOK1" s="140"/>
      <c r="AOL1" s="141">
        <v>45748</v>
      </c>
      <c r="AOM1" s="140"/>
      <c r="AON1" s="141">
        <v>45749</v>
      </c>
      <c r="AOO1" s="140"/>
      <c r="AOP1" s="141">
        <v>45750</v>
      </c>
      <c r="AOQ1" s="140"/>
      <c r="AOR1" s="141">
        <v>45751</v>
      </c>
      <c r="AOS1" s="140"/>
      <c r="AOT1" s="141">
        <v>45752</v>
      </c>
      <c r="AOU1" s="140"/>
      <c r="AOV1" s="141">
        <v>45753</v>
      </c>
      <c r="AOW1" s="140"/>
      <c r="AOX1" s="141">
        <v>45754</v>
      </c>
      <c r="AOY1" s="140"/>
      <c r="AOZ1" s="141">
        <v>45755</v>
      </c>
      <c r="APA1" s="140"/>
      <c r="APB1" s="141">
        <v>45756</v>
      </c>
      <c r="APC1" s="140"/>
      <c r="APD1" s="141">
        <v>45757</v>
      </c>
      <c r="APE1" s="140"/>
      <c r="APF1" s="141">
        <v>45758</v>
      </c>
      <c r="APG1" s="140"/>
      <c r="APH1" s="141">
        <v>45759</v>
      </c>
      <c r="API1" s="140"/>
      <c r="APJ1" s="141">
        <v>45760</v>
      </c>
      <c r="APK1" s="140"/>
      <c r="APL1" s="141">
        <v>45761</v>
      </c>
      <c r="APM1" s="140"/>
      <c r="APN1" s="141">
        <v>45762</v>
      </c>
      <c r="APO1" s="140"/>
      <c r="APP1" s="141">
        <v>45763</v>
      </c>
      <c r="APQ1" s="140"/>
      <c r="APR1" s="141">
        <v>45764</v>
      </c>
      <c r="APS1" s="140"/>
      <c r="APT1" s="141">
        <v>45765</v>
      </c>
      <c r="APU1" s="140"/>
      <c r="APV1" s="141">
        <v>45766</v>
      </c>
      <c r="APW1" s="140"/>
      <c r="APX1" s="141">
        <v>45767</v>
      </c>
      <c r="APY1" s="140"/>
      <c r="APZ1" s="141">
        <v>45768</v>
      </c>
      <c r="AQA1" s="140"/>
      <c r="AQB1" s="141">
        <v>45769</v>
      </c>
      <c r="AQC1" s="140"/>
      <c r="AQD1" s="141">
        <v>45770</v>
      </c>
      <c r="AQE1" s="140"/>
      <c r="AQF1" s="141">
        <v>45771</v>
      </c>
      <c r="AQG1" s="140"/>
      <c r="AQH1" s="141">
        <v>45772</v>
      </c>
      <c r="AQI1" s="140"/>
      <c r="AQJ1" s="141">
        <v>45773</v>
      </c>
      <c r="AQK1" s="140"/>
      <c r="AQL1" s="141">
        <v>45774</v>
      </c>
      <c r="AQM1" s="140"/>
      <c r="AQN1" s="141">
        <v>45775</v>
      </c>
      <c r="AQO1" s="140"/>
      <c r="AQP1" s="141">
        <v>45776</v>
      </c>
      <c r="AQQ1" s="140"/>
      <c r="AQR1" s="141">
        <v>45777</v>
      </c>
      <c r="AQS1" s="140"/>
      <c r="AQT1" s="141">
        <v>45778</v>
      </c>
      <c r="AQU1" s="140"/>
      <c r="AQV1" s="141">
        <v>45779</v>
      </c>
      <c r="AQW1" s="140"/>
      <c r="AQX1" s="141">
        <v>45780</v>
      </c>
      <c r="AQY1" s="140"/>
      <c r="AQZ1" s="141">
        <v>45781</v>
      </c>
      <c r="ARA1" s="140"/>
      <c r="ARB1" s="141">
        <v>45782</v>
      </c>
      <c r="ARC1" s="140"/>
      <c r="ARD1" s="141">
        <v>45783</v>
      </c>
      <c r="ARE1" s="140"/>
      <c r="ARF1" s="141">
        <v>45784</v>
      </c>
      <c r="ARG1" s="140"/>
      <c r="ARH1" s="141">
        <v>45785</v>
      </c>
      <c r="ARI1" s="140"/>
      <c r="ARJ1" s="141">
        <v>45786</v>
      </c>
      <c r="ARK1" s="140"/>
      <c r="ARL1" s="141">
        <v>45787</v>
      </c>
      <c r="ARM1" s="140"/>
      <c r="ARN1" s="141">
        <v>45788</v>
      </c>
      <c r="ARO1" s="140"/>
      <c r="ARP1" s="141">
        <v>45789</v>
      </c>
      <c r="ARQ1" s="140"/>
      <c r="ARR1" s="141">
        <v>45790</v>
      </c>
      <c r="ARS1" s="140"/>
      <c r="ART1" s="141">
        <v>45791</v>
      </c>
      <c r="ARU1" s="140"/>
      <c r="ARV1" s="141">
        <v>45792</v>
      </c>
      <c r="ARW1" s="140"/>
      <c r="ARX1" s="141">
        <v>45793</v>
      </c>
      <c r="ARY1" s="140"/>
      <c r="ARZ1" s="141">
        <v>45794</v>
      </c>
      <c r="ASA1" s="140"/>
      <c r="ASB1" s="141">
        <v>45795</v>
      </c>
      <c r="ASC1" s="140"/>
      <c r="ASD1" s="141">
        <v>45796</v>
      </c>
      <c r="ASE1" s="140"/>
      <c r="ASF1" s="141">
        <v>45797</v>
      </c>
      <c r="ASG1" s="140"/>
      <c r="ASH1" s="141">
        <v>45798</v>
      </c>
      <c r="ASI1" s="140"/>
      <c r="ASJ1" s="141">
        <v>45799</v>
      </c>
      <c r="ASK1" s="140"/>
      <c r="ASL1" s="141">
        <v>45800</v>
      </c>
      <c r="ASM1" s="140"/>
      <c r="ASN1" s="141">
        <v>45801</v>
      </c>
      <c r="ASO1" s="140"/>
      <c r="ASP1" s="141">
        <v>45802</v>
      </c>
      <c r="ASQ1" s="140"/>
      <c r="ASR1" s="141">
        <v>45803</v>
      </c>
      <c r="ASS1" s="140"/>
      <c r="AST1" s="141">
        <v>45804</v>
      </c>
      <c r="ASU1" s="140"/>
      <c r="ASV1" s="141">
        <v>45805</v>
      </c>
      <c r="ASW1" s="140"/>
      <c r="ASX1" s="141">
        <v>45806</v>
      </c>
      <c r="ASY1" s="140"/>
      <c r="ASZ1" s="141">
        <v>45807</v>
      </c>
      <c r="ATA1" s="140"/>
      <c r="ATB1" s="141">
        <v>45808</v>
      </c>
      <c r="ATC1" s="140"/>
      <c r="ATD1" s="141">
        <v>45809</v>
      </c>
      <c r="ATE1" s="140"/>
      <c r="ATF1" s="141">
        <v>45810</v>
      </c>
      <c r="ATG1" s="140"/>
      <c r="ATH1" s="141">
        <v>45811</v>
      </c>
      <c r="ATI1" s="140"/>
      <c r="ATJ1" s="141">
        <v>45812</v>
      </c>
      <c r="ATK1" s="140"/>
      <c r="ATL1" s="141">
        <v>45813</v>
      </c>
      <c r="ATM1" s="140"/>
      <c r="ATN1" s="141">
        <v>45814</v>
      </c>
      <c r="ATO1" s="140"/>
      <c r="ATP1" s="141">
        <v>45815</v>
      </c>
      <c r="ATQ1" s="140"/>
      <c r="ATR1" s="141">
        <v>45816</v>
      </c>
      <c r="ATS1" s="140"/>
      <c r="ATT1" s="141">
        <v>45817</v>
      </c>
      <c r="ATU1" s="140"/>
      <c r="ATV1" s="141">
        <v>45818</v>
      </c>
      <c r="ATW1" s="140"/>
      <c r="ATX1" s="141">
        <v>45819</v>
      </c>
      <c r="ATY1" s="140"/>
      <c r="ATZ1" s="141">
        <v>45820</v>
      </c>
      <c r="AUA1" s="140"/>
      <c r="AUB1" s="141">
        <v>45821</v>
      </c>
      <c r="AUC1" s="140"/>
      <c r="AUD1" s="141">
        <v>45822</v>
      </c>
      <c r="AUE1" s="140"/>
      <c r="AUF1" s="141">
        <v>45823</v>
      </c>
      <c r="AUG1" s="140"/>
      <c r="AUH1" s="141">
        <v>45824</v>
      </c>
      <c r="AUI1" s="140"/>
      <c r="AUJ1" s="141">
        <v>45825</v>
      </c>
      <c r="AUK1" s="140"/>
      <c r="AUL1" s="141">
        <v>45826</v>
      </c>
      <c r="AUM1" s="140"/>
      <c r="AUN1" s="141">
        <v>45827</v>
      </c>
      <c r="AUO1" s="140"/>
      <c r="AUP1" s="141">
        <v>45828</v>
      </c>
      <c r="AUQ1" s="140"/>
      <c r="AUR1" s="141">
        <v>45829</v>
      </c>
      <c r="AUS1" s="140"/>
      <c r="AUT1" s="141">
        <v>45830</v>
      </c>
      <c r="AUU1" s="140"/>
      <c r="AUV1" s="141">
        <v>45831</v>
      </c>
      <c r="AUW1" s="140"/>
      <c r="AUX1" s="141">
        <v>45832</v>
      </c>
      <c r="AUY1" s="140"/>
      <c r="AUZ1" s="141">
        <v>45833</v>
      </c>
      <c r="AVA1" s="140"/>
      <c r="AVB1" s="141">
        <v>45834</v>
      </c>
      <c r="AVC1" s="140"/>
      <c r="AVD1" s="141">
        <v>45835</v>
      </c>
      <c r="AVE1" s="140"/>
      <c r="AVF1" s="141">
        <v>45836</v>
      </c>
      <c r="AVG1" s="140"/>
      <c r="AVH1" s="141">
        <v>45837</v>
      </c>
      <c r="AVI1" s="140"/>
      <c r="AVJ1" s="141">
        <v>45838</v>
      </c>
      <c r="AVK1" s="140"/>
      <c r="AVL1" s="141">
        <v>45839</v>
      </c>
      <c r="AVM1" s="140"/>
      <c r="AVN1" s="141">
        <v>45840</v>
      </c>
      <c r="AVO1" s="140"/>
      <c r="AVP1" s="141">
        <v>45841</v>
      </c>
      <c r="AVQ1" s="140"/>
      <c r="AVR1" s="141">
        <v>45842</v>
      </c>
      <c r="AVS1" s="140"/>
      <c r="AVT1" s="141">
        <v>45843</v>
      </c>
      <c r="AVU1" s="140"/>
      <c r="AVV1" s="141">
        <v>45844</v>
      </c>
      <c r="AVW1" s="140"/>
      <c r="AVX1" s="141">
        <v>45845</v>
      </c>
      <c r="AVY1" s="140"/>
      <c r="AVZ1" s="141">
        <v>45846</v>
      </c>
      <c r="AWA1" s="140"/>
      <c r="AWB1" s="141">
        <v>45847</v>
      </c>
      <c r="AWC1" s="140"/>
      <c r="AWD1" s="141">
        <v>45848</v>
      </c>
      <c r="AWE1" s="140"/>
      <c r="AWF1" s="141">
        <v>45849</v>
      </c>
      <c r="AWG1" s="140"/>
      <c r="AWH1" s="141">
        <v>45850</v>
      </c>
      <c r="AWI1" s="140"/>
      <c r="AWJ1" s="141">
        <v>45851</v>
      </c>
      <c r="AWK1" s="140"/>
      <c r="AWL1" s="141">
        <v>45852</v>
      </c>
      <c r="AWM1" s="140"/>
      <c r="AWN1" s="141">
        <v>45853</v>
      </c>
      <c r="AWO1" s="140"/>
      <c r="AWP1" s="141">
        <v>45854</v>
      </c>
      <c r="AWQ1" s="140"/>
      <c r="AWR1" s="141">
        <v>45855</v>
      </c>
      <c r="AWS1" s="140"/>
      <c r="AWT1" s="141">
        <v>45856</v>
      </c>
      <c r="AWU1" s="140"/>
      <c r="AWV1" s="141">
        <v>45857</v>
      </c>
      <c r="AWW1" s="140"/>
      <c r="AWX1" s="141">
        <v>45858</v>
      </c>
      <c r="AWY1" s="140"/>
      <c r="AWZ1" s="141">
        <v>45859</v>
      </c>
      <c r="AXA1" s="140"/>
      <c r="AXB1" s="141">
        <v>45860</v>
      </c>
      <c r="AXC1" s="140"/>
      <c r="AXD1" s="141">
        <v>45861</v>
      </c>
      <c r="AXE1" s="140"/>
      <c r="AXF1" s="141">
        <v>45862</v>
      </c>
      <c r="AXG1" s="140"/>
      <c r="AXH1" s="141">
        <v>45863</v>
      </c>
      <c r="AXI1" s="140"/>
      <c r="AXJ1" s="141">
        <v>45864</v>
      </c>
      <c r="AXK1" s="140"/>
      <c r="AXL1" s="141">
        <v>45865</v>
      </c>
      <c r="AXM1" s="140"/>
      <c r="AXN1" s="141">
        <v>45866</v>
      </c>
      <c r="AXO1" s="140"/>
      <c r="AXP1" s="141">
        <v>45867</v>
      </c>
      <c r="AXQ1" s="140"/>
      <c r="AXR1" s="141">
        <v>45868</v>
      </c>
      <c r="AXS1" s="140"/>
      <c r="AXT1" s="141">
        <v>45869</v>
      </c>
      <c r="AXU1" s="140"/>
      <c r="AXV1" s="141">
        <v>45870</v>
      </c>
      <c r="AXW1" s="140"/>
      <c r="AXX1" s="141">
        <v>45871</v>
      </c>
      <c r="AXY1" s="140"/>
      <c r="AXZ1" s="141">
        <v>45872</v>
      </c>
      <c r="AYA1" s="140"/>
      <c r="AYB1" s="141">
        <v>45873</v>
      </c>
      <c r="AYC1" s="140"/>
      <c r="AYD1" s="141">
        <v>45874</v>
      </c>
      <c r="AYE1" s="140"/>
      <c r="AYF1" s="141">
        <v>45875</v>
      </c>
      <c r="AYG1" s="140"/>
      <c r="AYH1" s="141">
        <v>45876</v>
      </c>
      <c r="AYI1" s="140"/>
      <c r="AYJ1" s="141">
        <v>45877</v>
      </c>
      <c r="AYK1" s="140"/>
      <c r="AYL1" s="141">
        <v>45878</v>
      </c>
      <c r="AYM1" s="140"/>
      <c r="AYN1" s="141">
        <v>45879</v>
      </c>
      <c r="AYO1" s="140"/>
      <c r="AYP1" s="141">
        <v>45880</v>
      </c>
      <c r="AYQ1" s="140"/>
      <c r="AYR1" s="141">
        <v>45881</v>
      </c>
      <c r="AYS1" s="140"/>
      <c r="AYT1" s="141">
        <v>45882</v>
      </c>
      <c r="AYU1" s="140"/>
      <c r="AYV1" s="141">
        <v>45883</v>
      </c>
      <c r="AYW1" s="140"/>
      <c r="AYX1" s="141">
        <v>45884</v>
      </c>
      <c r="AYY1" s="140"/>
      <c r="AYZ1" s="141">
        <v>45885</v>
      </c>
      <c r="AZA1" s="140"/>
      <c r="AZB1" s="141">
        <v>45886</v>
      </c>
      <c r="AZC1" s="140"/>
      <c r="AZD1" s="141">
        <v>45887</v>
      </c>
      <c r="AZE1" s="140"/>
      <c r="AZF1" s="141">
        <v>45888</v>
      </c>
      <c r="AZG1" s="140"/>
      <c r="AZH1" s="141">
        <v>45889</v>
      </c>
      <c r="AZI1" s="140"/>
      <c r="AZJ1" s="141">
        <v>45890</v>
      </c>
      <c r="AZK1" s="140"/>
      <c r="AZL1" s="141">
        <v>45891</v>
      </c>
      <c r="AZM1" s="140"/>
      <c r="AZN1" s="141">
        <v>45892</v>
      </c>
      <c r="AZO1" s="140"/>
      <c r="AZP1" s="141">
        <v>45893</v>
      </c>
      <c r="AZQ1" s="140"/>
      <c r="AZR1" s="141">
        <v>45894</v>
      </c>
      <c r="AZS1" s="140"/>
      <c r="AZT1" s="141">
        <v>45895</v>
      </c>
      <c r="AZU1" s="140"/>
      <c r="AZV1" s="141">
        <v>45896</v>
      </c>
      <c r="AZW1" s="140"/>
      <c r="AZX1" s="141">
        <v>45897</v>
      </c>
      <c r="AZY1" s="140"/>
      <c r="AZZ1" s="141">
        <v>45898</v>
      </c>
      <c r="BAA1" s="140"/>
      <c r="BAB1" s="141">
        <v>45899</v>
      </c>
      <c r="BAC1" s="140"/>
      <c r="BAD1" s="141">
        <v>45900</v>
      </c>
      <c r="BAE1" s="140"/>
      <c r="BAF1" s="141">
        <v>45901</v>
      </c>
      <c r="BAG1" s="140"/>
      <c r="BAH1" s="141">
        <v>45902</v>
      </c>
      <c r="BAI1" s="140"/>
      <c r="BAJ1" s="141">
        <v>45903</v>
      </c>
      <c r="BAK1" s="140"/>
      <c r="BAL1" s="141">
        <v>45904</v>
      </c>
      <c r="BAM1" s="140"/>
      <c r="BAN1" s="141">
        <v>45905</v>
      </c>
      <c r="BAO1" s="140"/>
      <c r="BAP1" s="141">
        <v>45906</v>
      </c>
      <c r="BAQ1" s="140"/>
      <c r="BAR1" s="141">
        <v>45907</v>
      </c>
      <c r="BAS1" s="140"/>
      <c r="BAT1" s="141">
        <v>45908</v>
      </c>
      <c r="BAU1" s="140"/>
      <c r="BAV1" s="141">
        <v>45909</v>
      </c>
      <c r="BAW1" s="140"/>
      <c r="BAX1" s="141">
        <v>45910</v>
      </c>
      <c r="BAY1" s="140"/>
      <c r="BAZ1" s="141">
        <v>45911</v>
      </c>
      <c r="BBA1" s="140"/>
      <c r="BBB1" s="141">
        <v>45912</v>
      </c>
      <c r="BBC1" s="140"/>
      <c r="BBD1" s="141">
        <v>45913</v>
      </c>
      <c r="BBE1" s="140"/>
      <c r="BBF1" s="141">
        <v>45914</v>
      </c>
      <c r="BBG1" s="140"/>
      <c r="BBH1" s="141">
        <v>45915</v>
      </c>
      <c r="BBI1" s="140"/>
      <c r="BBJ1" s="141">
        <v>45916</v>
      </c>
      <c r="BBK1" s="140"/>
      <c r="BBL1" s="141">
        <v>45917</v>
      </c>
      <c r="BBM1" s="140"/>
      <c r="BBN1" s="141">
        <v>45918</v>
      </c>
      <c r="BBO1" s="140"/>
      <c r="BBP1" s="141">
        <v>45919</v>
      </c>
      <c r="BBQ1" s="140"/>
      <c r="BBR1" s="141">
        <v>45920</v>
      </c>
      <c r="BBS1" s="140"/>
      <c r="BBT1" s="141">
        <v>45921</v>
      </c>
      <c r="BBU1" s="140"/>
      <c r="BBV1" s="141">
        <v>45922</v>
      </c>
      <c r="BBW1" s="140"/>
      <c r="BBX1" s="141">
        <v>45923</v>
      </c>
      <c r="BBY1" s="140"/>
      <c r="BBZ1" s="141">
        <v>45924</v>
      </c>
      <c r="BCA1" s="140"/>
      <c r="BCB1" s="141">
        <v>45925</v>
      </c>
      <c r="BCC1" s="140"/>
      <c r="BCD1" s="141">
        <v>45926</v>
      </c>
      <c r="BCE1" s="140"/>
      <c r="BCF1" s="141">
        <v>45927</v>
      </c>
      <c r="BCG1" s="140"/>
      <c r="BCH1" s="141">
        <v>45928</v>
      </c>
      <c r="BCI1" s="140"/>
      <c r="BCJ1" s="141">
        <v>45929</v>
      </c>
      <c r="BCK1" s="140"/>
      <c r="BCL1" s="141">
        <v>45930</v>
      </c>
      <c r="BCM1" s="140"/>
      <c r="BCN1" s="141">
        <v>45931</v>
      </c>
      <c r="BCO1" s="140"/>
      <c r="BCP1" s="141">
        <v>45932</v>
      </c>
      <c r="BCQ1" s="140"/>
    </row>
    <row r="2" spans="1:1447">
      <c r="A2" s="29" t="s">
        <v>579</v>
      </c>
      <c r="B2" s="29" t="s">
        <v>580</v>
      </c>
      <c r="C2" s="29" t="s">
        <v>579</v>
      </c>
      <c r="D2" s="29" t="s">
        <v>580</v>
      </c>
      <c r="E2" s="29" t="s">
        <v>579</v>
      </c>
      <c r="F2" s="29" t="s">
        <v>580</v>
      </c>
      <c r="G2" s="29" t="s">
        <v>579</v>
      </c>
      <c r="H2" s="29" t="s">
        <v>580</v>
      </c>
      <c r="I2" s="29" t="s">
        <v>579</v>
      </c>
      <c r="J2" s="29" t="s">
        <v>580</v>
      </c>
      <c r="K2" s="29" t="s">
        <v>579</v>
      </c>
      <c r="L2" s="29" t="s">
        <v>580</v>
      </c>
      <c r="M2" s="29" t="s">
        <v>579</v>
      </c>
      <c r="N2" s="29" t="s">
        <v>580</v>
      </c>
      <c r="O2" s="29" t="s">
        <v>579</v>
      </c>
      <c r="P2" s="29" t="s">
        <v>580</v>
      </c>
      <c r="Q2" s="29" t="s">
        <v>579</v>
      </c>
      <c r="R2" s="29" t="s">
        <v>580</v>
      </c>
      <c r="S2" s="29" t="s">
        <v>579</v>
      </c>
      <c r="T2" s="29" t="s">
        <v>580</v>
      </c>
      <c r="U2" s="29" t="s">
        <v>579</v>
      </c>
      <c r="V2" s="29" t="s">
        <v>580</v>
      </c>
      <c r="W2" s="29" t="s">
        <v>579</v>
      </c>
      <c r="X2" s="29" t="s">
        <v>580</v>
      </c>
      <c r="Y2" s="29" t="s">
        <v>579</v>
      </c>
      <c r="Z2" s="29" t="s">
        <v>580</v>
      </c>
      <c r="AA2" s="29" t="s">
        <v>579</v>
      </c>
      <c r="AB2" s="29" t="s">
        <v>580</v>
      </c>
      <c r="AC2" s="29" t="s">
        <v>579</v>
      </c>
      <c r="AD2" s="29" t="s">
        <v>580</v>
      </c>
      <c r="AE2" s="29" t="s">
        <v>579</v>
      </c>
      <c r="AF2" s="29" t="s">
        <v>580</v>
      </c>
      <c r="AG2" s="29" t="s">
        <v>579</v>
      </c>
      <c r="AH2" s="29" t="s">
        <v>580</v>
      </c>
      <c r="AI2" s="29" t="s">
        <v>579</v>
      </c>
      <c r="AJ2" s="29" t="s">
        <v>580</v>
      </c>
      <c r="AK2" s="29" t="s">
        <v>579</v>
      </c>
      <c r="AL2" s="29" t="s">
        <v>580</v>
      </c>
      <c r="AM2" s="29" t="s">
        <v>579</v>
      </c>
      <c r="AN2" s="29" t="s">
        <v>580</v>
      </c>
      <c r="AO2" s="29" t="s">
        <v>579</v>
      </c>
      <c r="AP2" s="29" t="s">
        <v>580</v>
      </c>
      <c r="AQ2" s="29" t="s">
        <v>579</v>
      </c>
      <c r="AR2" s="29" t="s">
        <v>580</v>
      </c>
      <c r="AS2" s="29" t="s">
        <v>579</v>
      </c>
      <c r="AT2" s="29" t="s">
        <v>580</v>
      </c>
      <c r="AU2" s="29" t="s">
        <v>579</v>
      </c>
      <c r="AV2" s="29" t="s">
        <v>580</v>
      </c>
      <c r="AW2" s="29" t="s">
        <v>579</v>
      </c>
      <c r="AX2" s="29" t="s">
        <v>580</v>
      </c>
      <c r="AY2" s="29" t="s">
        <v>579</v>
      </c>
      <c r="AZ2" s="29" t="s">
        <v>580</v>
      </c>
      <c r="BA2" s="29" t="s">
        <v>579</v>
      </c>
      <c r="BB2" s="29" t="s">
        <v>580</v>
      </c>
      <c r="BC2" s="29" t="s">
        <v>579</v>
      </c>
      <c r="BD2" s="29" t="s">
        <v>580</v>
      </c>
      <c r="BE2" s="29" t="s">
        <v>579</v>
      </c>
      <c r="BF2" s="29" t="s">
        <v>580</v>
      </c>
      <c r="BG2" s="29" t="s">
        <v>579</v>
      </c>
      <c r="BH2" s="29" t="s">
        <v>580</v>
      </c>
      <c r="BI2" s="29" t="s">
        <v>579</v>
      </c>
      <c r="BJ2" s="29" t="s">
        <v>580</v>
      </c>
      <c r="BK2" s="29" t="s">
        <v>579</v>
      </c>
      <c r="BL2" s="29" t="s">
        <v>580</v>
      </c>
      <c r="BM2" s="29" t="s">
        <v>579</v>
      </c>
      <c r="BN2" s="29" t="s">
        <v>580</v>
      </c>
      <c r="BO2" s="29" t="s">
        <v>579</v>
      </c>
      <c r="BP2" s="29" t="s">
        <v>580</v>
      </c>
      <c r="BQ2" s="29" t="s">
        <v>579</v>
      </c>
      <c r="BR2" s="29" t="s">
        <v>580</v>
      </c>
      <c r="BS2" s="29" t="s">
        <v>579</v>
      </c>
      <c r="BT2" s="29" t="s">
        <v>580</v>
      </c>
      <c r="BU2" s="29" t="s">
        <v>579</v>
      </c>
      <c r="BV2" s="29" t="s">
        <v>580</v>
      </c>
      <c r="BW2" s="29" t="s">
        <v>579</v>
      </c>
      <c r="BX2" s="29" t="s">
        <v>580</v>
      </c>
      <c r="BY2" s="29" t="s">
        <v>579</v>
      </c>
      <c r="BZ2" s="29" t="s">
        <v>580</v>
      </c>
      <c r="CA2" s="29" t="s">
        <v>579</v>
      </c>
      <c r="CB2" s="29" t="s">
        <v>580</v>
      </c>
      <c r="CC2" s="29" t="s">
        <v>579</v>
      </c>
      <c r="CD2" s="29" t="s">
        <v>580</v>
      </c>
      <c r="CE2" s="29" t="s">
        <v>579</v>
      </c>
      <c r="CF2" s="29" t="s">
        <v>580</v>
      </c>
      <c r="CG2" s="29" t="s">
        <v>579</v>
      </c>
      <c r="CH2" s="29" t="s">
        <v>580</v>
      </c>
      <c r="CI2" s="29" t="s">
        <v>579</v>
      </c>
      <c r="CJ2" s="29" t="s">
        <v>580</v>
      </c>
      <c r="CK2" s="29" t="s">
        <v>579</v>
      </c>
      <c r="CL2" s="29" t="s">
        <v>580</v>
      </c>
      <c r="CM2" s="29" t="s">
        <v>579</v>
      </c>
      <c r="CN2" s="29" t="s">
        <v>580</v>
      </c>
      <c r="CO2" s="29" t="s">
        <v>579</v>
      </c>
      <c r="CP2" s="29" t="s">
        <v>580</v>
      </c>
      <c r="CQ2" s="29" t="s">
        <v>579</v>
      </c>
      <c r="CR2" s="29" t="s">
        <v>580</v>
      </c>
      <c r="CS2" s="29" t="s">
        <v>579</v>
      </c>
      <c r="CT2" s="29" t="s">
        <v>580</v>
      </c>
      <c r="CU2" s="29" t="s">
        <v>579</v>
      </c>
      <c r="CV2" s="29" t="s">
        <v>580</v>
      </c>
      <c r="CW2" s="29" t="s">
        <v>579</v>
      </c>
      <c r="CX2" s="29" t="s">
        <v>580</v>
      </c>
      <c r="CY2" s="29" t="s">
        <v>579</v>
      </c>
      <c r="CZ2" s="29" t="s">
        <v>580</v>
      </c>
      <c r="DA2" s="29" t="s">
        <v>579</v>
      </c>
      <c r="DB2" s="29" t="s">
        <v>580</v>
      </c>
      <c r="DC2" s="29" t="s">
        <v>579</v>
      </c>
      <c r="DD2" s="29" t="s">
        <v>580</v>
      </c>
      <c r="DE2" s="29" t="s">
        <v>579</v>
      </c>
      <c r="DF2" s="29" t="s">
        <v>580</v>
      </c>
      <c r="DG2" s="29" t="s">
        <v>579</v>
      </c>
      <c r="DH2" s="29" t="s">
        <v>580</v>
      </c>
      <c r="DI2" s="29" t="s">
        <v>579</v>
      </c>
      <c r="DJ2" s="29" t="s">
        <v>580</v>
      </c>
      <c r="DK2" s="29" t="s">
        <v>579</v>
      </c>
      <c r="DL2" s="29" t="s">
        <v>580</v>
      </c>
      <c r="DM2" s="29" t="s">
        <v>579</v>
      </c>
      <c r="DN2" s="29" t="s">
        <v>580</v>
      </c>
      <c r="DO2" s="29" t="s">
        <v>579</v>
      </c>
      <c r="DP2" s="29" t="s">
        <v>580</v>
      </c>
      <c r="DQ2" s="29" t="s">
        <v>579</v>
      </c>
      <c r="DR2" s="29" t="s">
        <v>580</v>
      </c>
      <c r="DS2" s="29" t="s">
        <v>579</v>
      </c>
      <c r="DT2" s="29" t="s">
        <v>580</v>
      </c>
      <c r="DU2" s="29" t="s">
        <v>579</v>
      </c>
      <c r="DV2" s="29" t="s">
        <v>580</v>
      </c>
      <c r="DW2" s="29" t="s">
        <v>579</v>
      </c>
      <c r="DX2" s="29" t="s">
        <v>580</v>
      </c>
      <c r="DY2" s="29" t="s">
        <v>579</v>
      </c>
      <c r="DZ2" s="29" t="s">
        <v>580</v>
      </c>
      <c r="EA2" s="29" t="s">
        <v>579</v>
      </c>
      <c r="EB2" s="29" t="s">
        <v>580</v>
      </c>
      <c r="EC2" s="29" t="s">
        <v>579</v>
      </c>
      <c r="ED2" s="29" t="s">
        <v>580</v>
      </c>
      <c r="EE2" s="29" t="s">
        <v>579</v>
      </c>
      <c r="EF2" s="29" t="s">
        <v>580</v>
      </c>
      <c r="EG2" s="29" t="s">
        <v>579</v>
      </c>
      <c r="EH2" s="29" t="s">
        <v>580</v>
      </c>
      <c r="EI2" s="29" t="s">
        <v>579</v>
      </c>
      <c r="EJ2" s="29" t="s">
        <v>580</v>
      </c>
      <c r="EK2" s="29" t="s">
        <v>579</v>
      </c>
      <c r="EL2" s="29" t="s">
        <v>580</v>
      </c>
      <c r="EM2" s="29" t="s">
        <v>579</v>
      </c>
      <c r="EN2" s="29" t="s">
        <v>580</v>
      </c>
      <c r="EO2" s="29" t="s">
        <v>579</v>
      </c>
      <c r="EP2" s="29" t="s">
        <v>580</v>
      </c>
      <c r="EQ2" s="29" t="s">
        <v>579</v>
      </c>
      <c r="ER2" s="29" t="s">
        <v>580</v>
      </c>
      <c r="ES2" s="29" t="s">
        <v>579</v>
      </c>
      <c r="ET2" s="29" t="s">
        <v>580</v>
      </c>
      <c r="EU2" s="29" t="s">
        <v>579</v>
      </c>
      <c r="EV2" s="29" t="s">
        <v>580</v>
      </c>
      <c r="EW2" s="29" t="s">
        <v>579</v>
      </c>
      <c r="EX2" s="29" t="s">
        <v>580</v>
      </c>
      <c r="EY2" s="29" t="s">
        <v>579</v>
      </c>
      <c r="EZ2" s="29" t="s">
        <v>580</v>
      </c>
      <c r="FA2" s="29" t="s">
        <v>579</v>
      </c>
      <c r="FB2" s="29" t="s">
        <v>580</v>
      </c>
      <c r="FC2" s="29" t="s">
        <v>579</v>
      </c>
      <c r="FD2" s="29" t="s">
        <v>580</v>
      </c>
      <c r="FE2" s="29" t="s">
        <v>579</v>
      </c>
      <c r="FF2" s="29" t="s">
        <v>580</v>
      </c>
      <c r="FG2" s="29" t="s">
        <v>579</v>
      </c>
      <c r="FH2" s="29" t="s">
        <v>580</v>
      </c>
      <c r="FI2" s="29" t="s">
        <v>579</v>
      </c>
      <c r="FJ2" s="29" t="s">
        <v>580</v>
      </c>
      <c r="FK2" s="29" t="s">
        <v>579</v>
      </c>
      <c r="FL2" s="29" t="s">
        <v>580</v>
      </c>
      <c r="FM2" s="29" t="s">
        <v>579</v>
      </c>
      <c r="FN2" s="29" t="s">
        <v>580</v>
      </c>
      <c r="FO2" s="29" t="s">
        <v>579</v>
      </c>
      <c r="FP2" s="29" t="s">
        <v>580</v>
      </c>
      <c r="FQ2" s="29" t="s">
        <v>579</v>
      </c>
      <c r="FR2" s="29" t="s">
        <v>580</v>
      </c>
      <c r="FS2" s="29" t="s">
        <v>579</v>
      </c>
      <c r="FT2" s="29" t="s">
        <v>580</v>
      </c>
      <c r="FU2" s="29" t="s">
        <v>579</v>
      </c>
      <c r="FV2" s="29" t="s">
        <v>580</v>
      </c>
      <c r="FW2" s="29" t="s">
        <v>579</v>
      </c>
      <c r="FX2" s="29" t="s">
        <v>580</v>
      </c>
      <c r="FY2" s="29" t="s">
        <v>579</v>
      </c>
      <c r="FZ2" s="29" t="s">
        <v>580</v>
      </c>
      <c r="GA2" s="29" t="s">
        <v>579</v>
      </c>
      <c r="GB2" s="29" t="s">
        <v>580</v>
      </c>
      <c r="GC2" s="29" t="s">
        <v>579</v>
      </c>
      <c r="GD2" s="29" t="s">
        <v>580</v>
      </c>
      <c r="GE2" s="29" t="s">
        <v>579</v>
      </c>
      <c r="GF2" s="29" t="s">
        <v>580</v>
      </c>
      <c r="GG2" s="29" t="s">
        <v>579</v>
      </c>
      <c r="GH2" s="29" t="s">
        <v>580</v>
      </c>
      <c r="GI2" s="29" t="s">
        <v>579</v>
      </c>
      <c r="GJ2" s="29" t="s">
        <v>580</v>
      </c>
      <c r="GK2" s="29" t="s">
        <v>579</v>
      </c>
      <c r="GL2" s="29" t="s">
        <v>580</v>
      </c>
      <c r="GM2" s="29" t="s">
        <v>579</v>
      </c>
      <c r="GN2" s="29" t="s">
        <v>580</v>
      </c>
      <c r="GO2" s="29" t="s">
        <v>579</v>
      </c>
      <c r="GP2" s="29" t="s">
        <v>580</v>
      </c>
      <c r="GQ2" s="29" t="s">
        <v>579</v>
      </c>
      <c r="GR2" s="29" t="s">
        <v>580</v>
      </c>
      <c r="GS2" s="29" t="s">
        <v>579</v>
      </c>
      <c r="GT2" s="29" t="s">
        <v>580</v>
      </c>
      <c r="GU2" s="29" t="s">
        <v>579</v>
      </c>
      <c r="GV2" s="29" t="s">
        <v>580</v>
      </c>
      <c r="GW2" s="29" t="s">
        <v>579</v>
      </c>
      <c r="GX2" s="29" t="s">
        <v>580</v>
      </c>
      <c r="GY2" s="29" t="s">
        <v>579</v>
      </c>
      <c r="GZ2" s="29" t="s">
        <v>580</v>
      </c>
      <c r="HA2" s="29" t="s">
        <v>579</v>
      </c>
      <c r="HB2" s="29" t="s">
        <v>580</v>
      </c>
      <c r="HC2" s="29" t="s">
        <v>579</v>
      </c>
      <c r="HD2" s="29" t="s">
        <v>580</v>
      </c>
      <c r="HE2" s="29" t="s">
        <v>579</v>
      </c>
      <c r="HF2" s="29" t="s">
        <v>580</v>
      </c>
      <c r="HG2" s="29" t="s">
        <v>579</v>
      </c>
      <c r="HH2" s="29" t="s">
        <v>580</v>
      </c>
      <c r="HI2" s="29" t="s">
        <v>579</v>
      </c>
      <c r="HJ2" s="29" t="s">
        <v>580</v>
      </c>
      <c r="HK2" s="29" t="s">
        <v>579</v>
      </c>
      <c r="HL2" s="29" t="s">
        <v>580</v>
      </c>
      <c r="HM2" s="29" t="s">
        <v>579</v>
      </c>
      <c r="HN2" s="29" t="s">
        <v>580</v>
      </c>
      <c r="HO2" s="29" t="s">
        <v>579</v>
      </c>
      <c r="HP2" s="29" t="s">
        <v>580</v>
      </c>
      <c r="HQ2" s="29" t="s">
        <v>579</v>
      </c>
      <c r="HR2" s="29" t="s">
        <v>580</v>
      </c>
      <c r="HS2" s="29" t="s">
        <v>579</v>
      </c>
      <c r="HT2" s="29" t="s">
        <v>580</v>
      </c>
      <c r="HU2" s="29" t="s">
        <v>579</v>
      </c>
      <c r="HV2" s="29" t="s">
        <v>580</v>
      </c>
      <c r="HW2" s="29" t="s">
        <v>579</v>
      </c>
      <c r="HX2" s="29" t="s">
        <v>580</v>
      </c>
      <c r="HY2" s="29" t="s">
        <v>579</v>
      </c>
      <c r="HZ2" s="29" t="s">
        <v>580</v>
      </c>
      <c r="IA2" s="29" t="s">
        <v>579</v>
      </c>
      <c r="IB2" s="29" t="s">
        <v>580</v>
      </c>
      <c r="IC2" s="29" t="s">
        <v>579</v>
      </c>
      <c r="ID2" s="29" t="s">
        <v>580</v>
      </c>
      <c r="IE2" s="29" t="s">
        <v>579</v>
      </c>
      <c r="IF2" s="29" t="s">
        <v>580</v>
      </c>
      <c r="IG2" s="29" t="s">
        <v>579</v>
      </c>
      <c r="IH2" s="29" t="s">
        <v>580</v>
      </c>
      <c r="II2" s="29" t="s">
        <v>579</v>
      </c>
      <c r="IJ2" s="29" t="s">
        <v>580</v>
      </c>
      <c r="IK2" s="29" t="s">
        <v>579</v>
      </c>
      <c r="IL2" s="29" t="s">
        <v>580</v>
      </c>
      <c r="IM2" s="29" t="s">
        <v>579</v>
      </c>
      <c r="IN2" s="29" t="s">
        <v>580</v>
      </c>
      <c r="IO2" s="29" t="s">
        <v>579</v>
      </c>
      <c r="IP2" s="29" t="s">
        <v>580</v>
      </c>
      <c r="IQ2" s="29" t="s">
        <v>579</v>
      </c>
      <c r="IR2" s="29" t="s">
        <v>580</v>
      </c>
      <c r="IS2" s="29" t="s">
        <v>579</v>
      </c>
      <c r="IT2" s="29" t="s">
        <v>580</v>
      </c>
      <c r="IU2" s="29" t="s">
        <v>579</v>
      </c>
      <c r="IV2" s="29" t="s">
        <v>580</v>
      </c>
      <c r="IW2" s="29" t="s">
        <v>579</v>
      </c>
      <c r="IX2" s="29" t="s">
        <v>580</v>
      </c>
      <c r="IY2" s="29" t="s">
        <v>579</v>
      </c>
      <c r="IZ2" s="29" t="s">
        <v>580</v>
      </c>
      <c r="JA2" s="29" t="s">
        <v>579</v>
      </c>
      <c r="JB2" s="29" t="s">
        <v>580</v>
      </c>
      <c r="JC2" s="29" t="s">
        <v>579</v>
      </c>
      <c r="JD2" s="29" t="s">
        <v>580</v>
      </c>
      <c r="JE2" s="29" t="s">
        <v>579</v>
      </c>
      <c r="JF2" s="29" t="s">
        <v>580</v>
      </c>
      <c r="JG2" s="29" t="s">
        <v>579</v>
      </c>
      <c r="JH2" s="29" t="s">
        <v>580</v>
      </c>
      <c r="JI2" s="29" t="s">
        <v>579</v>
      </c>
      <c r="JJ2" s="29" t="s">
        <v>580</v>
      </c>
      <c r="JK2" s="29" t="s">
        <v>579</v>
      </c>
      <c r="JL2" s="29" t="s">
        <v>580</v>
      </c>
      <c r="JM2" s="29" t="s">
        <v>579</v>
      </c>
      <c r="JN2" s="29" t="s">
        <v>580</v>
      </c>
      <c r="JO2" s="29" t="s">
        <v>579</v>
      </c>
      <c r="JP2" s="29" t="s">
        <v>580</v>
      </c>
      <c r="JQ2" s="29" t="s">
        <v>579</v>
      </c>
      <c r="JR2" s="29" t="s">
        <v>580</v>
      </c>
      <c r="JS2" s="29" t="s">
        <v>579</v>
      </c>
      <c r="JT2" s="29" t="s">
        <v>580</v>
      </c>
      <c r="JU2" s="29" t="s">
        <v>579</v>
      </c>
      <c r="JV2" s="29" t="s">
        <v>580</v>
      </c>
      <c r="JW2" s="29" t="s">
        <v>579</v>
      </c>
      <c r="JX2" s="29" t="s">
        <v>580</v>
      </c>
      <c r="JY2" s="29" t="s">
        <v>579</v>
      </c>
      <c r="JZ2" s="29" t="s">
        <v>580</v>
      </c>
      <c r="KA2" s="29" t="s">
        <v>579</v>
      </c>
      <c r="KB2" s="29" t="s">
        <v>580</v>
      </c>
      <c r="KC2" s="29" t="s">
        <v>579</v>
      </c>
      <c r="KD2" s="29" t="s">
        <v>580</v>
      </c>
      <c r="KE2" s="29" t="s">
        <v>579</v>
      </c>
      <c r="KF2" s="29" t="s">
        <v>580</v>
      </c>
      <c r="KG2" s="29" t="s">
        <v>579</v>
      </c>
      <c r="KH2" s="29" t="s">
        <v>580</v>
      </c>
      <c r="KI2" s="29" t="s">
        <v>579</v>
      </c>
      <c r="KJ2" s="29" t="s">
        <v>580</v>
      </c>
      <c r="KK2" s="29" t="s">
        <v>579</v>
      </c>
      <c r="KL2" s="29" t="s">
        <v>580</v>
      </c>
      <c r="KM2" s="29" t="s">
        <v>579</v>
      </c>
      <c r="KN2" s="29" t="s">
        <v>580</v>
      </c>
      <c r="KO2" s="29" t="s">
        <v>579</v>
      </c>
      <c r="KP2" s="29" t="s">
        <v>580</v>
      </c>
      <c r="KQ2" s="29" t="s">
        <v>579</v>
      </c>
      <c r="KR2" s="29" t="s">
        <v>580</v>
      </c>
      <c r="KS2" s="29" t="s">
        <v>579</v>
      </c>
      <c r="KT2" s="29" t="s">
        <v>580</v>
      </c>
      <c r="KU2" s="29" t="s">
        <v>579</v>
      </c>
      <c r="KV2" s="29" t="s">
        <v>580</v>
      </c>
      <c r="KW2" s="29" t="s">
        <v>579</v>
      </c>
      <c r="KX2" s="29" t="s">
        <v>580</v>
      </c>
      <c r="KY2" s="29" t="s">
        <v>579</v>
      </c>
      <c r="KZ2" s="29" t="s">
        <v>580</v>
      </c>
      <c r="LA2" s="29" t="s">
        <v>579</v>
      </c>
      <c r="LB2" s="29" t="s">
        <v>580</v>
      </c>
      <c r="LC2" s="29" t="s">
        <v>579</v>
      </c>
      <c r="LD2" s="29" t="s">
        <v>580</v>
      </c>
      <c r="LE2" s="29" t="s">
        <v>579</v>
      </c>
      <c r="LF2" s="29" t="s">
        <v>580</v>
      </c>
      <c r="LG2" s="29" t="s">
        <v>579</v>
      </c>
      <c r="LH2" s="29" t="s">
        <v>580</v>
      </c>
      <c r="LI2" s="29" t="s">
        <v>579</v>
      </c>
      <c r="LJ2" s="29" t="s">
        <v>580</v>
      </c>
      <c r="LK2" s="29" t="s">
        <v>579</v>
      </c>
      <c r="LL2" s="29" t="s">
        <v>580</v>
      </c>
      <c r="LM2" s="29" t="s">
        <v>579</v>
      </c>
      <c r="LN2" s="29" t="s">
        <v>580</v>
      </c>
      <c r="LO2" s="29" t="s">
        <v>579</v>
      </c>
      <c r="LP2" s="29" t="s">
        <v>580</v>
      </c>
      <c r="LQ2" s="29" t="s">
        <v>579</v>
      </c>
      <c r="LR2" s="29" t="s">
        <v>580</v>
      </c>
      <c r="LS2" s="29" t="s">
        <v>579</v>
      </c>
      <c r="LT2" s="29" t="s">
        <v>580</v>
      </c>
      <c r="LU2" s="29" t="s">
        <v>579</v>
      </c>
      <c r="LV2" s="29" t="s">
        <v>580</v>
      </c>
      <c r="LW2" s="29" t="s">
        <v>579</v>
      </c>
      <c r="LX2" s="29" t="s">
        <v>580</v>
      </c>
      <c r="LY2" s="29" t="s">
        <v>579</v>
      </c>
      <c r="LZ2" s="29" t="s">
        <v>580</v>
      </c>
      <c r="MA2" s="29" t="s">
        <v>579</v>
      </c>
      <c r="MB2" s="29" t="s">
        <v>580</v>
      </c>
      <c r="MC2" s="29" t="s">
        <v>579</v>
      </c>
      <c r="MD2" s="29" t="s">
        <v>580</v>
      </c>
      <c r="ME2" s="29" t="s">
        <v>579</v>
      </c>
      <c r="MF2" s="29" t="s">
        <v>580</v>
      </c>
      <c r="MG2" s="29" t="s">
        <v>579</v>
      </c>
      <c r="MH2" s="29" t="s">
        <v>580</v>
      </c>
      <c r="MI2" s="29" t="s">
        <v>579</v>
      </c>
      <c r="MJ2" s="29" t="s">
        <v>580</v>
      </c>
      <c r="MK2" s="29" t="s">
        <v>579</v>
      </c>
      <c r="ML2" s="29" t="s">
        <v>580</v>
      </c>
      <c r="MM2" s="29" t="s">
        <v>579</v>
      </c>
      <c r="MN2" s="29" t="s">
        <v>580</v>
      </c>
      <c r="MO2" s="29" t="s">
        <v>579</v>
      </c>
      <c r="MP2" s="29" t="s">
        <v>580</v>
      </c>
      <c r="MQ2" s="29" t="s">
        <v>579</v>
      </c>
      <c r="MR2" s="29" t="s">
        <v>580</v>
      </c>
      <c r="MS2" s="29" t="s">
        <v>579</v>
      </c>
      <c r="MT2" s="29" t="s">
        <v>580</v>
      </c>
      <c r="MU2" s="29" t="s">
        <v>579</v>
      </c>
      <c r="MV2" s="29" t="s">
        <v>580</v>
      </c>
      <c r="MW2" s="29" t="s">
        <v>579</v>
      </c>
      <c r="MX2" s="29" t="s">
        <v>580</v>
      </c>
      <c r="MY2" s="29" t="s">
        <v>579</v>
      </c>
      <c r="MZ2" s="29" t="s">
        <v>580</v>
      </c>
      <c r="NA2" s="29" t="s">
        <v>579</v>
      </c>
      <c r="NB2" s="29" t="s">
        <v>580</v>
      </c>
      <c r="NC2" s="29" t="s">
        <v>579</v>
      </c>
      <c r="ND2" s="29" t="s">
        <v>580</v>
      </c>
      <c r="NE2" s="29" t="s">
        <v>579</v>
      </c>
      <c r="NF2" s="29" t="s">
        <v>580</v>
      </c>
      <c r="NG2" s="29" t="s">
        <v>579</v>
      </c>
      <c r="NH2" s="29" t="s">
        <v>580</v>
      </c>
      <c r="NI2" s="29" t="s">
        <v>579</v>
      </c>
      <c r="NJ2" s="29" t="s">
        <v>580</v>
      </c>
      <c r="NK2" s="29" t="s">
        <v>579</v>
      </c>
      <c r="NL2" s="29" t="s">
        <v>580</v>
      </c>
      <c r="NM2" s="29" t="s">
        <v>579</v>
      </c>
      <c r="NN2" s="29" t="s">
        <v>580</v>
      </c>
      <c r="NO2" s="29" t="s">
        <v>579</v>
      </c>
      <c r="NP2" s="29" t="s">
        <v>580</v>
      </c>
      <c r="NQ2" s="29" t="s">
        <v>579</v>
      </c>
      <c r="NR2" s="29" t="s">
        <v>580</v>
      </c>
      <c r="NS2" s="29" t="s">
        <v>579</v>
      </c>
      <c r="NT2" s="29" t="s">
        <v>580</v>
      </c>
      <c r="NU2" s="29" t="s">
        <v>579</v>
      </c>
      <c r="NV2" s="29" t="s">
        <v>580</v>
      </c>
      <c r="NW2" s="29" t="s">
        <v>579</v>
      </c>
      <c r="NX2" s="29" t="s">
        <v>580</v>
      </c>
      <c r="NY2" s="29" t="s">
        <v>579</v>
      </c>
      <c r="NZ2" s="29" t="s">
        <v>580</v>
      </c>
      <c r="OA2" s="29" t="s">
        <v>579</v>
      </c>
      <c r="OB2" s="29" t="s">
        <v>580</v>
      </c>
      <c r="OC2" s="29" t="s">
        <v>579</v>
      </c>
      <c r="OD2" s="29" t="s">
        <v>580</v>
      </c>
      <c r="OE2" s="29" t="s">
        <v>579</v>
      </c>
      <c r="OF2" s="29" t="s">
        <v>580</v>
      </c>
      <c r="OG2" s="29" t="s">
        <v>579</v>
      </c>
      <c r="OH2" s="29" t="s">
        <v>580</v>
      </c>
      <c r="OI2" s="29" t="s">
        <v>579</v>
      </c>
      <c r="OJ2" s="29" t="s">
        <v>580</v>
      </c>
      <c r="OK2" s="29" t="s">
        <v>579</v>
      </c>
      <c r="OL2" s="29" t="s">
        <v>580</v>
      </c>
      <c r="OM2" s="29" t="s">
        <v>579</v>
      </c>
      <c r="ON2" s="29" t="s">
        <v>580</v>
      </c>
      <c r="OO2" s="29" t="s">
        <v>579</v>
      </c>
      <c r="OP2" s="29" t="s">
        <v>580</v>
      </c>
      <c r="OQ2" s="29" t="s">
        <v>579</v>
      </c>
      <c r="OR2" s="29" t="s">
        <v>580</v>
      </c>
      <c r="OS2" s="29" t="s">
        <v>579</v>
      </c>
      <c r="OT2" s="29" t="s">
        <v>580</v>
      </c>
      <c r="OU2" s="29" t="s">
        <v>579</v>
      </c>
      <c r="OV2" s="29" t="s">
        <v>580</v>
      </c>
      <c r="OW2" s="29" t="s">
        <v>579</v>
      </c>
      <c r="OX2" s="29" t="s">
        <v>580</v>
      </c>
      <c r="OY2" s="29" t="s">
        <v>579</v>
      </c>
      <c r="OZ2" s="29" t="s">
        <v>580</v>
      </c>
      <c r="PA2" s="29" t="s">
        <v>579</v>
      </c>
      <c r="PB2" s="29" t="s">
        <v>580</v>
      </c>
      <c r="PC2" s="29" t="s">
        <v>579</v>
      </c>
      <c r="PD2" s="29" t="s">
        <v>580</v>
      </c>
      <c r="PE2" s="29" t="s">
        <v>579</v>
      </c>
      <c r="PF2" s="29" t="s">
        <v>580</v>
      </c>
      <c r="PG2" s="29" t="s">
        <v>579</v>
      </c>
      <c r="PH2" s="29" t="s">
        <v>580</v>
      </c>
      <c r="PI2" s="29" t="s">
        <v>579</v>
      </c>
      <c r="PJ2" s="29" t="s">
        <v>580</v>
      </c>
      <c r="PK2" s="29" t="s">
        <v>579</v>
      </c>
      <c r="PL2" s="29" t="s">
        <v>580</v>
      </c>
      <c r="PM2" s="29" t="s">
        <v>579</v>
      </c>
      <c r="PN2" s="29" t="s">
        <v>580</v>
      </c>
      <c r="PO2" s="29" t="s">
        <v>579</v>
      </c>
      <c r="PP2" s="29" t="s">
        <v>580</v>
      </c>
      <c r="PQ2" s="29" t="s">
        <v>579</v>
      </c>
      <c r="PR2" s="29" t="s">
        <v>580</v>
      </c>
      <c r="PS2" s="29" t="s">
        <v>579</v>
      </c>
      <c r="PT2" s="29" t="s">
        <v>580</v>
      </c>
      <c r="PU2" s="29" t="s">
        <v>579</v>
      </c>
      <c r="PV2" s="29" t="s">
        <v>580</v>
      </c>
      <c r="PW2" s="29" t="s">
        <v>579</v>
      </c>
      <c r="PX2" s="29" t="s">
        <v>580</v>
      </c>
      <c r="PY2" s="29" t="s">
        <v>579</v>
      </c>
      <c r="PZ2" s="29" t="s">
        <v>580</v>
      </c>
      <c r="QA2" s="29" t="s">
        <v>579</v>
      </c>
      <c r="QB2" s="29" t="s">
        <v>580</v>
      </c>
      <c r="QC2" s="29" t="s">
        <v>579</v>
      </c>
      <c r="QD2" s="29" t="s">
        <v>580</v>
      </c>
      <c r="QE2" s="29" t="s">
        <v>579</v>
      </c>
      <c r="QF2" s="29" t="s">
        <v>580</v>
      </c>
      <c r="QG2" s="29" t="s">
        <v>579</v>
      </c>
      <c r="QH2" s="29" t="s">
        <v>580</v>
      </c>
      <c r="QI2" s="29" t="s">
        <v>579</v>
      </c>
      <c r="QJ2" s="29" t="s">
        <v>580</v>
      </c>
      <c r="QK2" s="29" t="s">
        <v>579</v>
      </c>
      <c r="QL2" s="29" t="s">
        <v>580</v>
      </c>
      <c r="QM2" s="29" t="s">
        <v>579</v>
      </c>
      <c r="QN2" s="29" t="s">
        <v>580</v>
      </c>
      <c r="QO2" s="29" t="s">
        <v>579</v>
      </c>
      <c r="QP2" s="29" t="s">
        <v>580</v>
      </c>
      <c r="QQ2" s="29" t="s">
        <v>579</v>
      </c>
      <c r="QR2" s="29" t="s">
        <v>580</v>
      </c>
      <c r="QS2" s="29" t="s">
        <v>579</v>
      </c>
      <c r="QT2" s="29" t="s">
        <v>580</v>
      </c>
      <c r="QU2" s="29" t="s">
        <v>579</v>
      </c>
      <c r="QV2" s="29" t="s">
        <v>580</v>
      </c>
      <c r="QW2" s="29" t="s">
        <v>579</v>
      </c>
      <c r="QX2" s="29" t="s">
        <v>580</v>
      </c>
      <c r="QY2" s="29" t="s">
        <v>579</v>
      </c>
      <c r="QZ2" s="29" t="s">
        <v>580</v>
      </c>
      <c r="RA2" s="29" t="s">
        <v>579</v>
      </c>
      <c r="RB2" s="29" t="s">
        <v>580</v>
      </c>
      <c r="RC2" s="29" t="s">
        <v>579</v>
      </c>
      <c r="RD2" s="29" t="s">
        <v>580</v>
      </c>
      <c r="RE2" s="29" t="s">
        <v>579</v>
      </c>
      <c r="RF2" s="29" t="s">
        <v>580</v>
      </c>
      <c r="RG2" s="29" t="s">
        <v>579</v>
      </c>
      <c r="RH2" s="29" t="s">
        <v>580</v>
      </c>
      <c r="RI2" s="29" t="s">
        <v>579</v>
      </c>
      <c r="RJ2" s="29" t="s">
        <v>580</v>
      </c>
      <c r="RK2" s="29" t="s">
        <v>579</v>
      </c>
      <c r="RL2" s="29" t="s">
        <v>580</v>
      </c>
      <c r="RM2" s="29" t="s">
        <v>579</v>
      </c>
      <c r="RN2" s="29" t="s">
        <v>580</v>
      </c>
      <c r="RO2" s="29" t="s">
        <v>579</v>
      </c>
      <c r="RP2" s="29" t="s">
        <v>580</v>
      </c>
      <c r="RQ2" s="29" t="s">
        <v>579</v>
      </c>
      <c r="RR2" s="29" t="s">
        <v>580</v>
      </c>
      <c r="RS2" s="29" t="s">
        <v>579</v>
      </c>
      <c r="RT2" s="29" t="s">
        <v>580</v>
      </c>
      <c r="RU2" s="29" t="s">
        <v>579</v>
      </c>
      <c r="RV2" s="29" t="s">
        <v>580</v>
      </c>
      <c r="RW2" s="29" t="s">
        <v>579</v>
      </c>
      <c r="RX2" s="29" t="s">
        <v>580</v>
      </c>
      <c r="RY2" s="29" t="s">
        <v>579</v>
      </c>
      <c r="RZ2" s="29" t="s">
        <v>580</v>
      </c>
      <c r="SA2" s="29" t="s">
        <v>579</v>
      </c>
      <c r="SB2" s="29" t="s">
        <v>580</v>
      </c>
      <c r="SC2" s="29" t="s">
        <v>579</v>
      </c>
      <c r="SD2" s="29" t="s">
        <v>580</v>
      </c>
      <c r="SE2" s="29" t="s">
        <v>579</v>
      </c>
      <c r="SF2" s="29" t="s">
        <v>580</v>
      </c>
      <c r="SG2" s="29" t="s">
        <v>579</v>
      </c>
      <c r="SH2" s="29" t="s">
        <v>580</v>
      </c>
      <c r="SI2" s="29" t="s">
        <v>579</v>
      </c>
      <c r="SJ2" s="29"/>
      <c r="SK2" s="29" t="s">
        <v>580</v>
      </c>
      <c r="SL2" s="29" t="s">
        <v>579</v>
      </c>
      <c r="SM2" s="29" t="s">
        <v>580</v>
      </c>
      <c r="SN2" s="29" t="s">
        <v>579</v>
      </c>
      <c r="SO2" s="29" t="s">
        <v>580</v>
      </c>
      <c r="SP2" s="29" t="s">
        <v>579</v>
      </c>
      <c r="SQ2" s="29" t="s">
        <v>580</v>
      </c>
      <c r="SR2" s="29" t="s">
        <v>579</v>
      </c>
      <c r="SS2" s="29" t="s">
        <v>580</v>
      </c>
      <c r="ST2" s="29" t="s">
        <v>579</v>
      </c>
      <c r="SU2" s="29" t="s">
        <v>580</v>
      </c>
      <c r="SV2" s="29" t="s">
        <v>579</v>
      </c>
      <c r="SW2" s="29" t="s">
        <v>580</v>
      </c>
      <c r="SX2" s="29" t="s">
        <v>579</v>
      </c>
      <c r="SY2" s="29" t="s">
        <v>580</v>
      </c>
      <c r="SZ2" s="29" t="s">
        <v>579</v>
      </c>
      <c r="TA2" s="29" t="s">
        <v>580</v>
      </c>
      <c r="TB2" s="29" t="s">
        <v>579</v>
      </c>
      <c r="TC2" s="29" t="s">
        <v>580</v>
      </c>
      <c r="TD2" s="29" t="s">
        <v>579</v>
      </c>
      <c r="TE2" s="29" t="s">
        <v>580</v>
      </c>
      <c r="TF2" s="29" t="s">
        <v>579</v>
      </c>
      <c r="TG2" s="29" t="s">
        <v>580</v>
      </c>
      <c r="TH2" s="29" t="s">
        <v>579</v>
      </c>
      <c r="TI2" s="29" t="s">
        <v>580</v>
      </c>
      <c r="TJ2" s="29" t="s">
        <v>579</v>
      </c>
      <c r="TK2" s="29" t="s">
        <v>580</v>
      </c>
      <c r="TL2" s="29" t="s">
        <v>579</v>
      </c>
      <c r="TM2" s="29" t="s">
        <v>580</v>
      </c>
      <c r="TN2" s="29" t="s">
        <v>579</v>
      </c>
      <c r="TO2" s="29" t="s">
        <v>580</v>
      </c>
      <c r="TP2" s="29" t="s">
        <v>579</v>
      </c>
      <c r="TQ2" s="29" t="s">
        <v>580</v>
      </c>
      <c r="TR2" s="29" t="s">
        <v>579</v>
      </c>
      <c r="TS2" s="29" t="s">
        <v>580</v>
      </c>
      <c r="TT2" s="29" t="s">
        <v>579</v>
      </c>
      <c r="TU2" s="29" t="s">
        <v>580</v>
      </c>
      <c r="TV2" s="29" t="s">
        <v>579</v>
      </c>
      <c r="TW2" s="29" t="s">
        <v>580</v>
      </c>
      <c r="TX2" s="29" t="s">
        <v>579</v>
      </c>
      <c r="TY2" s="29" t="s">
        <v>580</v>
      </c>
      <c r="TZ2" s="29" t="s">
        <v>579</v>
      </c>
      <c r="UA2" s="29" t="s">
        <v>580</v>
      </c>
      <c r="UB2" s="29" t="s">
        <v>579</v>
      </c>
      <c r="UC2" s="29" t="s">
        <v>580</v>
      </c>
      <c r="UD2" s="29" t="s">
        <v>579</v>
      </c>
      <c r="UE2" s="29" t="s">
        <v>580</v>
      </c>
      <c r="UF2" s="29" t="s">
        <v>579</v>
      </c>
      <c r="UG2" s="29" t="s">
        <v>580</v>
      </c>
      <c r="UH2" s="29" t="s">
        <v>579</v>
      </c>
      <c r="UI2" s="29" t="s">
        <v>580</v>
      </c>
      <c r="UJ2" s="29" t="s">
        <v>579</v>
      </c>
      <c r="UK2" s="29" t="s">
        <v>580</v>
      </c>
      <c r="UL2" s="29" t="s">
        <v>579</v>
      </c>
      <c r="UM2" s="29" t="s">
        <v>580</v>
      </c>
      <c r="UN2" s="29" t="s">
        <v>579</v>
      </c>
      <c r="UO2" s="29" t="s">
        <v>580</v>
      </c>
      <c r="UP2" s="29" t="s">
        <v>579</v>
      </c>
      <c r="UQ2" s="29" t="s">
        <v>580</v>
      </c>
      <c r="UR2" s="29" t="s">
        <v>579</v>
      </c>
      <c r="US2" s="29" t="s">
        <v>580</v>
      </c>
      <c r="UT2" s="29" t="s">
        <v>579</v>
      </c>
      <c r="UU2" s="29" t="s">
        <v>580</v>
      </c>
      <c r="UV2" s="29" t="s">
        <v>579</v>
      </c>
      <c r="UW2" s="29" t="s">
        <v>580</v>
      </c>
      <c r="UX2" s="29" t="s">
        <v>579</v>
      </c>
      <c r="UY2" s="29" t="s">
        <v>580</v>
      </c>
      <c r="UZ2" s="29" t="s">
        <v>579</v>
      </c>
      <c r="VA2" s="29" t="s">
        <v>580</v>
      </c>
      <c r="VB2" s="29" t="s">
        <v>579</v>
      </c>
      <c r="VC2" s="29" t="s">
        <v>580</v>
      </c>
      <c r="VD2" s="29" t="s">
        <v>579</v>
      </c>
      <c r="VE2" s="29" t="s">
        <v>580</v>
      </c>
      <c r="VF2" s="29" t="s">
        <v>579</v>
      </c>
      <c r="VG2" s="29" t="s">
        <v>580</v>
      </c>
      <c r="VH2" s="29" t="s">
        <v>579</v>
      </c>
      <c r="VI2" s="29" t="s">
        <v>580</v>
      </c>
      <c r="VJ2" s="29" t="s">
        <v>579</v>
      </c>
      <c r="VK2" s="29" t="s">
        <v>580</v>
      </c>
      <c r="VL2" s="29" t="s">
        <v>579</v>
      </c>
      <c r="VM2" s="29" t="s">
        <v>580</v>
      </c>
      <c r="VN2" s="29" t="s">
        <v>579</v>
      </c>
      <c r="VO2" s="29" t="s">
        <v>580</v>
      </c>
      <c r="VP2" s="29" t="s">
        <v>579</v>
      </c>
      <c r="VQ2" s="29" t="s">
        <v>580</v>
      </c>
      <c r="VR2" s="29" t="s">
        <v>579</v>
      </c>
      <c r="VS2" s="29" t="s">
        <v>580</v>
      </c>
      <c r="VT2" s="29" t="s">
        <v>579</v>
      </c>
      <c r="VU2" s="29" t="s">
        <v>580</v>
      </c>
      <c r="VV2" s="29" t="s">
        <v>579</v>
      </c>
      <c r="VW2" s="29" t="s">
        <v>580</v>
      </c>
      <c r="VX2" s="29" t="s">
        <v>579</v>
      </c>
      <c r="VY2" s="29" t="s">
        <v>580</v>
      </c>
      <c r="VZ2" s="29" t="s">
        <v>579</v>
      </c>
      <c r="WA2" s="29" t="s">
        <v>580</v>
      </c>
      <c r="WB2" s="29" t="s">
        <v>579</v>
      </c>
      <c r="WC2" s="29" t="s">
        <v>580</v>
      </c>
      <c r="WD2" s="29" t="s">
        <v>579</v>
      </c>
      <c r="WE2" s="29" t="s">
        <v>580</v>
      </c>
      <c r="WF2" s="29" t="s">
        <v>579</v>
      </c>
      <c r="WG2" s="29" t="s">
        <v>580</v>
      </c>
      <c r="WH2" s="29" t="s">
        <v>579</v>
      </c>
      <c r="WI2" s="29" t="s">
        <v>580</v>
      </c>
      <c r="WJ2" s="29" t="s">
        <v>579</v>
      </c>
      <c r="WK2" s="29" t="s">
        <v>580</v>
      </c>
      <c r="WL2" s="29" t="s">
        <v>579</v>
      </c>
      <c r="WM2" s="29" t="s">
        <v>580</v>
      </c>
      <c r="WN2" s="29" t="s">
        <v>579</v>
      </c>
      <c r="WO2" s="29" t="s">
        <v>580</v>
      </c>
      <c r="WP2" s="29" t="s">
        <v>579</v>
      </c>
      <c r="WQ2" s="29" t="s">
        <v>580</v>
      </c>
      <c r="WR2" s="29" t="s">
        <v>579</v>
      </c>
      <c r="WS2" s="29" t="s">
        <v>580</v>
      </c>
      <c r="WT2" s="29" t="s">
        <v>579</v>
      </c>
      <c r="WU2" s="29" t="s">
        <v>580</v>
      </c>
      <c r="WV2" s="29" t="s">
        <v>579</v>
      </c>
      <c r="WW2" s="29" t="s">
        <v>580</v>
      </c>
      <c r="WX2" s="29" t="s">
        <v>579</v>
      </c>
      <c r="WY2" s="29" t="s">
        <v>580</v>
      </c>
      <c r="WZ2" s="29" t="s">
        <v>579</v>
      </c>
      <c r="XA2" s="29" t="s">
        <v>580</v>
      </c>
      <c r="XB2" s="29" t="s">
        <v>579</v>
      </c>
      <c r="XC2" s="29" t="s">
        <v>580</v>
      </c>
      <c r="XD2" s="29" t="s">
        <v>579</v>
      </c>
      <c r="XE2" s="29" t="s">
        <v>580</v>
      </c>
      <c r="XF2" s="29" t="s">
        <v>579</v>
      </c>
      <c r="XG2" s="29" t="s">
        <v>580</v>
      </c>
      <c r="XH2" s="29" t="s">
        <v>579</v>
      </c>
      <c r="XI2" s="29" t="s">
        <v>580</v>
      </c>
      <c r="XJ2" s="29" t="s">
        <v>579</v>
      </c>
      <c r="XK2" s="29" t="s">
        <v>580</v>
      </c>
      <c r="XL2" s="29" t="s">
        <v>579</v>
      </c>
      <c r="XM2" s="29" t="s">
        <v>580</v>
      </c>
      <c r="XN2" s="29" t="s">
        <v>579</v>
      </c>
      <c r="XO2" s="29" t="s">
        <v>580</v>
      </c>
      <c r="XP2" s="29" t="s">
        <v>579</v>
      </c>
      <c r="XQ2" s="29" t="s">
        <v>580</v>
      </c>
      <c r="XR2" s="29" t="s">
        <v>579</v>
      </c>
      <c r="XS2" s="29" t="s">
        <v>580</v>
      </c>
      <c r="XT2" s="29" t="s">
        <v>579</v>
      </c>
      <c r="XU2" s="29" t="s">
        <v>580</v>
      </c>
      <c r="XV2" s="29" t="s">
        <v>579</v>
      </c>
      <c r="XW2" s="29" t="s">
        <v>580</v>
      </c>
      <c r="XX2" s="29" t="s">
        <v>579</v>
      </c>
      <c r="XY2" s="29" t="s">
        <v>580</v>
      </c>
      <c r="XZ2" s="29" t="s">
        <v>579</v>
      </c>
      <c r="YA2" s="29" t="s">
        <v>580</v>
      </c>
      <c r="YB2" s="29" t="s">
        <v>579</v>
      </c>
      <c r="YC2" s="29" t="s">
        <v>580</v>
      </c>
      <c r="YD2" s="29" t="s">
        <v>579</v>
      </c>
      <c r="YE2" s="29" t="s">
        <v>580</v>
      </c>
      <c r="YF2" s="29" t="s">
        <v>579</v>
      </c>
      <c r="YG2" s="29" t="s">
        <v>580</v>
      </c>
      <c r="YH2" s="29" t="s">
        <v>579</v>
      </c>
      <c r="YI2" s="29" t="s">
        <v>580</v>
      </c>
      <c r="YJ2" s="29" t="s">
        <v>579</v>
      </c>
      <c r="YK2" s="29" t="s">
        <v>580</v>
      </c>
      <c r="YL2" s="29" t="s">
        <v>579</v>
      </c>
      <c r="YM2" s="29" t="s">
        <v>580</v>
      </c>
      <c r="YN2" s="29" t="s">
        <v>579</v>
      </c>
      <c r="YO2" s="29" t="s">
        <v>580</v>
      </c>
      <c r="YP2" s="29" t="s">
        <v>579</v>
      </c>
      <c r="YQ2" s="29" t="s">
        <v>580</v>
      </c>
      <c r="YR2" s="29" t="s">
        <v>579</v>
      </c>
      <c r="YS2" s="29" t="s">
        <v>580</v>
      </c>
      <c r="YT2" s="29" t="s">
        <v>579</v>
      </c>
      <c r="YU2" s="29" t="s">
        <v>580</v>
      </c>
      <c r="YV2" s="29" t="s">
        <v>579</v>
      </c>
      <c r="YW2" s="29" t="s">
        <v>580</v>
      </c>
      <c r="YX2" s="29" t="s">
        <v>579</v>
      </c>
      <c r="YY2" s="29" t="s">
        <v>580</v>
      </c>
      <c r="YZ2" s="29" t="s">
        <v>579</v>
      </c>
      <c r="ZA2" s="29" t="s">
        <v>580</v>
      </c>
      <c r="ZB2" s="29" t="s">
        <v>579</v>
      </c>
      <c r="ZC2" s="29" t="s">
        <v>580</v>
      </c>
      <c r="ZD2" s="29" t="s">
        <v>579</v>
      </c>
      <c r="ZE2" s="29" t="s">
        <v>580</v>
      </c>
      <c r="ZF2" s="29" t="s">
        <v>579</v>
      </c>
      <c r="ZG2" s="29" t="s">
        <v>580</v>
      </c>
      <c r="ZH2" s="29" t="s">
        <v>579</v>
      </c>
      <c r="ZI2" s="29" t="s">
        <v>580</v>
      </c>
      <c r="ZJ2" s="29" t="s">
        <v>579</v>
      </c>
      <c r="ZK2" s="29" t="s">
        <v>580</v>
      </c>
      <c r="ZL2" s="29" t="s">
        <v>579</v>
      </c>
      <c r="ZM2" s="29" t="s">
        <v>580</v>
      </c>
      <c r="ZN2" s="29" t="s">
        <v>579</v>
      </c>
      <c r="ZO2" s="29" t="s">
        <v>580</v>
      </c>
      <c r="ZP2" s="29" t="s">
        <v>579</v>
      </c>
      <c r="ZQ2" s="29" t="s">
        <v>580</v>
      </c>
      <c r="ZR2" s="29" t="s">
        <v>579</v>
      </c>
      <c r="ZS2" s="29" t="s">
        <v>580</v>
      </c>
      <c r="ZT2" s="29" t="s">
        <v>579</v>
      </c>
      <c r="ZU2" s="29" t="s">
        <v>580</v>
      </c>
      <c r="ZV2" s="29" t="s">
        <v>579</v>
      </c>
      <c r="ZW2" s="29" t="s">
        <v>580</v>
      </c>
      <c r="ZX2" s="29" t="s">
        <v>579</v>
      </c>
      <c r="ZY2" s="29" t="s">
        <v>580</v>
      </c>
      <c r="ZZ2" s="29" t="s">
        <v>579</v>
      </c>
      <c r="AAA2" s="29" t="s">
        <v>580</v>
      </c>
      <c r="AAB2" s="29" t="s">
        <v>579</v>
      </c>
      <c r="AAC2" s="29" t="s">
        <v>580</v>
      </c>
      <c r="AAD2" s="29" t="s">
        <v>579</v>
      </c>
      <c r="AAE2" s="29" t="s">
        <v>580</v>
      </c>
      <c r="AAF2" s="29" t="s">
        <v>579</v>
      </c>
      <c r="AAG2" s="29" t="s">
        <v>580</v>
      </c>
      <c r="AAH2" s="29" t="s">
        <v>579</v>
      </c>
      <c r="AAI2" s="29" t="s">
        <v>580</v>
      </c>
      <c r="AAJ2" s="29" t="s">
        <v>579</v>
      </c>
      <c r="AAK2" s="29" t="s">
        <v>580</v>
      </c>
      <c r="AAL2" s="29" t="s">
        <v>579</v>
      </c>
      <c r="AAM2" s="29" t="s">
        <v>580</v>
      </c>
      <c r="AAN2" s="29" t="s">
        <v>579</v>
      </c>
      <c r="AAO2" s="29" t="s">
        <v>580</v>
      </c>
      <c r="AAP2" s="29" t="s">
        <v>579</v>
      </c>
      <c r="AAQ2" s="29" t="s">
        <v>580</v>
      </c>
      <c r="AAR2" s="29" t="s">
        <v>579</v>
      </c>
      <c r="AAS2" s="29" t="s">
        <v>580</v>
      </c>
      <c r="AAT2" s="29" t="s">
        <v>579</v>
      </c>
      <c r="AAU2" s="29" t="s">
        <v>580</v>
      </c>
      <c r="AAV2" s="29" t="s">
        <v>579</v>
      </c>
      <c r="AAW2" s="29" t="s">
        <v>580</v>
      </c>
      <c r="AAX2" s="29" t="s">
        <v>579</v>
      </c>
      <c r="AAY2" s="29" t="s">
        <v>580</v>
      </c>
      <c r="AAZ2" s="29" t="s">
        <v>579</v>
      </c>
      <c r="ABA2" s="29" t="s">
        <v>580</v>
      </c>
      <c r="ABB2" s="29" t="s">
        <v>579</v>
      </c>
      <c r="ABC2" s="29" t="s">
        <v>580</v>
      </c>
      <c r="ABD2" s="29" t="s">
        <v>579</v>
      </c>
      <c r="ABE2" s="29" t="s">
        <v>580</v>
      </c>
      <c r="ABF2" s="29" t="s">
        <v>579</v>
      </c>
      <c r="ABG2" s="29" t="s">
        <v>580</v>
      </c>
      <c r="ABH2" s="29" t="s">
        <v>579</v>
      </c>
      <c r="ABI2" s="29" t="s">
        <v>580</v>
      </c>
      <c r="ABJ2" s="29" t="s">
        <v>579</v>
      </c>
      <c r="ABK2" s="29" t="s">
        <v>580</v>
      </c>
      <c r="ABL2" s="29" t="s">
        <v>579</v>
      </c>
      <c r="ABM2" s="29" t="s">
        <v>580</v>
      </c>
      <c r="ABN2" s="29" t="s">
        <v>579</v>
      </c>
      <c r="ABO2" s="29" t="s">
        <v>580</v>
      </c>
      <c r="ABP2" s="29" t="s">
        <v>579</v>
      </c>
      <c r="ABQ2" s="29" t="s">
        <v>580</v>
      </c>
      <c r="ABR2" s="29" t="s">
        <v>579</v>
      </c>
      <c r="ABS2" s="29" t="s">
        <v>580</v>
      </c>
      <c r="ABT2" s="29" t="s">
        <v>579</v>
      </c>
      <c r="ABU2" s="29" t="s">
        <v>580</v>
      </c>
      <c r="ABV2" s="29" t="s">
        <v>579</v>
      </c>
      <c r="ABW2" s="29" t="s">
        <v>580</v>
      </c>
      <c r="ABX2" s="29" t="s">
        <v>579</v>
      </c>
      <c r="ABY2" s="29" t="s">
        <v>580</v>
      </c>
      <c r="ABZ2" s="29" t="s">
        <v>579</v>
      </c>
      <c r="ACA2" s="29" t="s">
        <v>580</v>
      </c>
      <c r="ACB2" s="29" t="s">
        <v>579</v>
      </c>
      <c r="ACC2" s="29" t="s">
        <v>580</v>
      </c>
      <c r="ACD2" s="29" t="s">
        <v>579</v>
      </c>
      <c r="ACE2" s="29" t="s">
        <v>580</v>
      </c>
      <c r="ACF2" s="29" t="s">
        <v>579</v>
      </c>
      <c r="ACG2" s="29" t="s">
        <v>580</v>
      </c>
      <c r="ACH2" s="29" t="s">
        <v>579</v>
      </c>
      <c r="ACI2" s="29" t="s">
        <v>580</v>
      </c>
      <c r="ACJ2" s="29" t="s">
        <v>579</v>
      </c>
      <c r="ACK2" s="29" t="s">
        <v>580</v>
      </c>
      <c r="ACL2" s="29" t="s">
        <v>579</v>
      </c>
      <c r="ACM2" s="29" t="s">
        <v>580</v>
      </c>
      <c r="ACN2" s="29" t="s">
        <v>579</v>
      </c>
      <c r="ACO2" s="29" t="s">
        <v>580</v>
      </c>
      <c r="ACP2" s="29" t="s">
        <v>579</v>
      </c>
      <c r="ACQ2" s="29" t="s">
        <v>580</v>
      </c>
      <c r="ACR2" s="29" t="s">
        <v>579</v>
      </c>
      <c r="ACS2" s="29" t="s">
        <v>580</v>
      </c>
      <c r="ACT2" s="29" t="s">
        <v>579</v>
      </c>
      <c r="ACU2" s="29" t="s">
        <v>580</v>
      </c>
      <c r="ACV2" s="29" t="s">
        <v>579</v>
      </c>
      <c r="ACW2" s="29" t="s">
        <v>580</v>
      </c>
      <c r="ACX2" s="29" t="s">
        <v>579</v>
      </c>
      <c r="ACY2" s="29" t="s">
        <v>580</v>
      </c>
      <c r="ACZ2" s="29" t="s">
        <v>579</v>
      </c>
      <c r="ADA2" s="29" t="s">
        <v>580</v>
      </c>
      <c r="ADB2" s="29" t="s">
        <v>579</v>
      </c>
      <c r="ADC2" s="29" t="s">
        <v>580</v>
      </c>
      <c r="ADD2" s="29" t="s">
        <v>579</v>
      </c>
      <c r="ADE2" s="29" t="s">
        <v>580</v>
      </c>
      <c r="ADF2" s="29" t="s">
        <v>579</v>
      </c>
      <c r="ADG2" s="29" t="s">
        <v>580</v>
      </c>
      <c r="ADH2" s="29" t="s">
        <v>579</v>
      </c>
      <c r="ADI2" s="29" t="s">
        <v>580</v>
      </c>
      <c r="ADJ2" s="29" t="s">
        <v>579</v>
      </c>
      <c r="ADK2" s="29" t="s">
        <v>580</v>
      </c>
      <c r="ADL2" s="29" t="s">
        <v>579</v>
      </c>
      <c r="ADM2" s="29" t="s">
        <v>580</v>
      </c>
      <c r="ADN2" s="29" t="s">
        <v>579</v>
      </c>
      <c r="ADO2" s="29" t="s">
        <v>580</v>
      </c>
      <c r="ADP2" s="29" t="s">
        <v>579</v>
      </c>
      <c r="ADQ2" s="29" t="s">
        <v>580</v>
      </c>
      <c r="ADR2" s="29" t="s">
        <v>579</v>
      </c>
      <c r="ADS2" s="29" t="s">
        <v>580</v>
      </c>
      <c r="ADT2" s="29" t="s">
        <v>579</v>
      </c>
      <c r="ADU2" s="29" t="s">
        <v>580</v>
      </c>
      <c r="ADV2" s="29" t="s">
        <v>579</v>
      </c>
      <c r="ADW2" s="29" t="s">
        <v>580</v>
      </c>
      <c r="ADX2" s="29" t="s">
        <v>579</v>
      </c>
      <c r="ADY2" s="29" t="s">
        <v>580</v>
      </c>
      <c r="ADZ2" s="29" t="s">
        <v>579</v>
      </c>
      <c r="AEA2" s="29" t="s">
        <v>580</v>
      </c>
      <c r="AEB2" s="29" t="s">
        <v>579</v>
      </c>
      <c r="AEC2" s="29" t="s">
        <v>580</v>
      </c>
      <c r="AED2" s="29" t="s">
        <v>579</v>
      </c>
      <c r="AEE2" s="29" t="s">
        <v>580</v>
      </c>
      <c r="AEF2" s="29" t="s">
        <v>579</v>
      </c>
      <c r="AEG2" s="29" t="s">
        <v>580</v>
      </c>
      <c r="AEH2" s="29" t="s">
        <v>579</v>
      </c>
      <c r="AEI2" s="29" t="s">
        <v>580</v>
      </c>
      <c r="AEJ2" s="29" t="s">
        <v>579</v>
      </c>
      <c r="AEK2" s="29" t="s">
        <v>580</v>
      </c>
      <c r="AEL2" s="29" t="s">
        <v>579</v>
      </c>
      <c r="AEM2" s="29" t="s">
        <v>580</v>
      </c>
      <c r="AEN2" s="29" t="s">
        <v>579</v>
      </c>
      <c r="AEO2" s="29" t="s">
        <v>580</v>
      </c>
      <c r="AEP2" s="29" t="s">
        <v>579</v>
      </c>
      <c r="AEQ2" s="29" t="s">
        <v>580</v>
      </c>
      <c r="AER2" s="29" t="s">
        <v>579</v>
      </c>
      <c r="AES2" s="29" t="s">
        <v>580</v>
      </c>
      <c r="AET2" s="29" t="s">
        <v>579</v>
      </c>
      <c r="AEU2" s="29" t="s">
        <v>580</v>
      </c>
      <c r="AEV2" s="29" t="s">
        <v>579</v>
      </c>
      <c r="AEW2" s="29" t="s">
        <v>580</v>
      </c>
      <c r="AEX2" s="29" t="s">
        <v>579</v>
      </c>
      <c r="AEY2" s="29" t="s">
        <v>580</v>
      </c>
      <c r="AEZ2" s="29" t="s">
        <v>579</v>
      </c>
      <c r="AFA2" s="29" t="s">
        <v>580</v>
      </c>
      <c r="AFB2" s="29" t="s">
        <v>579</v>
      </c>
      <c r="AFC2" s="29" t="s">
        <v>580</v>
      </c>
      <c r="AFD2" s="29" t="s">
        <v>579</v>
      </c>
      <c r="AFE2" s="29" t="s">
        <v>580</v>
      </c>
      <c r="AFF2" s="29" t="s">
        <v>579</v>
      </c>
      <c r="AFG2" s="29" t="s">
        <v>580</v>
      </c>
      <c r="AFH2" s="29" t="s">
        <v>579</v>
      </c>
      <c r="AFI2" s="29" t="s">
        <v>580</v>
      </c>
      <c r="AFJ2" s="29" t="s">
        <v>579</v>
      </c>
      <c r="AFK2" s="29" t="s">
        <v>580</v>
      </c>
      <c r="AFL2" s="29" t="s">
        <v>579</v>
      </c>
      <c r="AFM2" s="29" t="s">
        <v>580</v>
      </c>
      <c r="AFN2" s="29" t="s">
        <v>579</v>
      </c>
      <c r="AFO2" s="29" t="s">
        <v>580</v>
      </c>
      <c r="AFP2" s="29" t="s">
        <v>579</v>
      </c>
      <c r="AFQ2" s="29" t="s">
        <v>580</v>
      </c>
      <c r="AFR2" s="29" t="s">
        <v>579</v>
      </c>
      <c r="AFS2" s="29" t="s">
        <v>580</v>
      </c>
      <c r="AFT2" s="29" t="s">
        <v>579</v>
      </c>
      <c r="AFU2" s="29" t="s">
        <v>580</v>
      </c>
      <c r="AFV2" s="29" t="s">
        <v>579</v>
      </c>
      <c r="AFW2" s="29" t="s">
        <v>580</v>
      </c>
      <c r="AFX2" s="29" t="s">
        <v>579</v>
      </c>
      <c r="AFY2" s="29" t="s">
        <v>580</v>
      </c>
      <c r="AFZ2" s="29" t="s">
        <v>579</v>
      </c>
      <c r="AGA2" s="29" t="s">
        <v>580</v>
      </c>
      <c r="AGB2" s="29" t="s">
        <v>579</v>
      </c>
      <c r="AGC2" s="29" t="s">
        <v>580</v>
      </c>
      <c r="AGD2" s="29" t="s">
        <v>579</v>
      </c>
      <c r="AGE2" s="29" t="s">
        <v>580</v>
      </c>
      <c r="AGF2" s="29" t="s">
        <v>579</v>
      </c>
      <c r="AGG2" s="29" t="s">
        <v>580</v>
      </c>
      <c r="AGH2" s="29" t="s">
        <v>579</v>
      </c>
      <c r="AGI2" s="29" t="s">
        <v>580</v>
      </c>
      <c r="AGJ2" s="29" t="s">
        <v>579</v>
      </c>
      <c r="AGK2" s="29" t="s">
        <v>580</v>
      </c>
      <c r="AGL2" s="29" t="s">
        <v>579</v>
      </c>
      <c r="AGM2" s="29" t="s">
        <v>580</v>
      </c>
      <c r="AGN2" s="29" t="s">
        <v>579</v>
      </c>
      <c r="AGO2" s="29" t="s">
        <v>580</v>
      </c>
      <c r="AGP2" s="29" t="s">
        <v>579</v>
      </c>
      <c r="AGQ2" s="29" t="s">
        <v>580</v>
      </c>
      <c r="AGR2" s="29" t="s">
        <v>579</v>
      </c>
      <c r="AGS2" s="29" t="s">
        <v>580</v>
      </c>
      <c r="AGT2" s="29" t="s">
        <v>579</v>
      </c>
      <c r="AGU2" s="29" t="s">
        <v>580</v>
      </c>
      <c r="AGV2" s="29" t="s">
        <v>579</v>
      </c>
      <c r="AGW2" s="29" t="s">
        <v>580</v>
      </c>
      <c r="AGX2" s="29" t="s">
        <v>579</v>
      </c>
      <c r="AGY2" s="29" t="s">
        <v>580</v>
      </c>
      <c r="AGZ2" s="29" t="s">
        <v>579</v>
      </c>
      <c r="AHA2" s="29" t="s">
        <v>580</v>
      </c>
      <c r="AHB2" s="29" t="s">
        <v>579</v>
      </c>
      <c r="AHC2" s="29" t="s">
        <v>580</v>
      </c>
      <c r="AHD2" s="29" t="s">
        <v>579</v>
      </c>
      <c r="AHE2" s="29" t="s">
        <v>580</v>
      </c>
      <c r="AHF2" s="29" t="s">
        <v>579</v>
      </c>
      <c r="AHG2" s="29" t="s">
        <v>580</v>
      </c>
      <c r="AHH2" s="29" t="s">
        <v>579</v>
      </c>
      <c r="AHI2" s="29" t="s">
        <v>580</v>
      </c>
      <c r="AHJ2" s="29" t="s">
        <v>579</v>
      </c>
      <c r="AHK2" s="29" t="s">
        <v>580</v>
      </c>
      <c r="AHL2" s="29" t="s">
        <v>579</v>
      </c>
      <c r="AHM2" s="29" t="s">
        <v>580</v>
      </c>
      <c r="AHN2" s="29" t="s">
        <v>579</v>
      </c>
      <c r="AHO2" s="29" t="s">
        <v>580</v>
      </c>
      <c r="AHP2" s="29" t="s">
        <v>579</v>
      </c>
      <c r="AHQ2" s="29" t="s">
        <v>580</v>
      </c>
      <c r="AHR2" s="29" t="s">
        <v>579</v>
      </c>
      <c r="AHS2" s="29" t="s">
        <v>580</v>
      </c>
      <c r="AHT2" s="29" t="s">
        <v>579</v>
      </c>
      <c r="AHU2" s="29" t="s">
        <v>580</v>
      </c>
      <c r="AHV2" s="29" t="s">
        <v>579</v>
      </c>
      <c r="AHW2" s="29" t="s">
        <v>580</v>
      </c>
      <c r="AHX2" s="29" t="s">
        <v>579</v>
      </c>
      <c r="AHY2" s="29" t="s">
        <v>580</v>
      </c>
      <c r="AHZ2" s="29" t="s">
        <v>579</v>
      </c>
      <c r="AIA2" s="29" t="s">
        <v>580</v>
      </c>
      <c r="AIB2" s="29" t="s">
        <v>579</v>
      </c>
      <c r="AIC2" s="29" t="s">
        <v>580</v>
      </c>
      <c r="AID2" s="29" t="s">
        <v>579</v>
      </c>
      <c r="AIE2" s="29" t="s">
        <v>580</v>
      </c>
      <c r="AIF2" s="29" t="s">
        <v>579</v>
      </c>
      <c r="AIG2" s="29" t="s">
        <v>580</v>
      </c>
      <c r="AIH2" s="29" t="s">
        <v>579</v>
      </c>
      <c r="AII2" s="29" t="s">
        <v>580</v>
      </c>
      <c r="AIJ2" s="29" t="s">
        <v>579</v>
      </c>
      <c r="AIK2" s="29" t="s">
        <v>580</v>
      </c>
      <c r="AIL2" s="29" t="s">
        <v>579</v>
      </c>
      <c r="AIM2" s="29" t="s">
        <v>580</v>
      </c>
      <c r="AIN2" s="29" t="s">
        <v>579</v>
      </c>
      <c r="AIO2" s="29" t="s">
        <v>580</v>
      </c>
      <c r="AIP2" s="29" t="s">
        <v>579</v>
      </c>
      <c r="AIQ2" s="29" t="s">
        <v>580</v>
      </c>
      <c r="AIR2" s="29" t="s">
        <v>579</v>
      </c>
      <c r="AIS2" s="29" t="s">
        <v>580</v>
      </c>
      <c r="AIT2" s="29" t="s">
        <v>579</v>
      </c>
      <c r="AIU2" s="29" t="s">
        <v>580</v>
      </c>
      <c r="AIV2" s="29" t="s">
        <v>579</v>
      </c>
      <c r="AIW2" s="29" t="s">
        <v>580</v>
      </c>
      <c r="AIX2" s="29" t="s">
        <v>579</v>
      </c>
      <c r="AIY2" s="29" t="s">
        <v>580</v>
      </c>
      <c r="AIZ2" s="29" t="s">
        <v>579</v>
      </c>
      <c r="AJA2" s="29" t="s">
        <v>580</v>
      </c>
      <c r="AJB2" s="29" t="s">
        <v>579</v>
      </c>
      <c r="AJC2" s="29" t="s">
        <v>580</v>
      </c>
      <c r="AJD2" s="29" t="s">
        <v>579</v>
      </c>
      <c r="AJE2" s="29" t="s">
        <v>580</v>
      </c>
      <c r="AJF2" s="29" t="s">
        <v>579</v>
      </c>
      <c r="AJG2" s="29" t="s">
        <v>580</v>
      </c>
      <c r="AJH2" s="29" t="s">
        <v>579</v>
      </c>
      <c r="AJI2" s="29" t="s">
        <v>580</v>
      </c>
      <c r="AJJ2" s="29" t="s">
        <v>579</v>
      </c>
      <c r="AJK2" s="29" t="s">
        <v>580</v>
      </c>
      <c r="AJL2" s="29" t="s">
        <v>579</v>
      </c>
      <c r="AJM2" s="29" t="s">
        <v>580</v>
      </c>
      <c r="AJN2" s="29" t="s">
        <v>579</v>
      </c>
      <c r="AJO2" s="29" t="s">
        <v>580</v>
      </c>
      <c r="AJP2" s="29" t="s">
        <v>579</v>
      </c>
      <c r="AJQ2" s="29" t="s">
        <v>580</v>
      </c>
      <c r="AJR2" s="29" t="s">
        <v>579</v>
      </c>
      <c r="AJS2" s="29" t="s">
        <v>580</v>
      </c>
      <c r="AJT2" s="29" t="s">
        <v>579</v>
      </c>
      <c r="AJU2" s="29" t="s">
        <v>580</v>
      </c>
      <c r="AJV2" s="29" t="s">
        <v>579</v>
      </c>
      <c r="AJW2" s="29" t="s">
        <v>580</v>
      </c>
      <c r="AJX2" s="29" t="s">
        <v>579</v>
      </c>
      <c r="AJY2" s="29" t="s">
        <v>580</v>
      </c>
      <c r="AJZ2" s="29" t="s">
        <v>579</v>
      </c>
      <c r="AKA2" s="29" t="s">
        <v>580</v>
      </c>
      <c r="AKB2" s="29" t="s">
        <v>579</v>
      </c>
      <c r="AKC2" s="29" t="s">
        <v>580</v>
      </c>
      <c r="AKD2" s="29" t="s">
        <v>579</v>
      </c>
      <c r="AKE2" s="29" t="s">
        <v>580</v>
      </c>
      <c r="AKF2" s="29" t="s">
        <v>579</v>
      </c>
      <c r="AKG2" s="29" t="s">
        <v>580</v>
      </c>
      <c r="AKH2" s="29" t="s">
        <v>579</v>
      </c>
      <c r="AKI2" s="29" t="s">
        <v>580</v>
      </c>
      <c r="AKJ2" s="29" t="s">
        <v>579</v>
      </c>
      <c r="AKK2" s="29" t="s">
        <v>580</v>
      </c>
      <c r="AKL2" s="29" t="s">
        <v>579</v>
      </c>
      <c r="AKM2" s="29" t="s">
        <v>580</v>
      </c>
      <c r="AKN2" s="29" t="s">
        <v>579</v>
      </c>
      <c r="AKO2" s="29" t="s">
        <v>580</v>
      </c>
      <c r="AKP2" s="29" t="s">
        <v>579</v>
      </c>
      <c r="AKQ2" s="29" t="s">
        <v>580</v>
      </c>
      <c r="AKR2" s="29" t="s">
        <v>579</v>
      </c>
      <c r="AKS2" s="29" t="s">
        <v>580</v>
      </c>
      <c r="AKT2" s="29" t="s">
        <v>579</v>
      </c>
      <c r="AKU2" s="29" t="s">
        <v>580</v>
      </c>
      <c r="AKV2" s="29" t="s">
        <v>579</v>
      </c>
      <c r="AKW2" s="29" t="s">
        <v>580</v>
      </c>
      <c r="AKX2" s="29" t="s">
        <v>579</v>
      </c>
      <c r="AKY2" s="29" t="s">
        <v>580</v>
      </c>
      <c r="AKZ2" s="29" t="s">
        <v>579</v>
      </c>
      <c r="ALA2" s="29" t="s">
        <v>580</v>
      </c>
      <c r="ALB2" s="29" t="s">
        <v>579</v>
      </c>
      <c r="ALC2" s="29" t="s">
        <v>580</v>
      </c>
      <c r="ALD2" s="29" t="s">
        <v>579</v>
      </c>
      <c r="ALE2" s="29" t="s">
        <v>580</v>
      </c>
      <c r="ALF2" s="29" t="s">
        <v>579</v>
      </c>
      <c r="ALG2" s="29" t="s">
        <v>580</v>
      </c>
      <c r="ALH2" s="29" t="s">
        <v>579</v>
      </c>
      <c r="ALI2" s="29" t="s">
        <v>580</v>
      </c>
      <c r="ALJ2" s="29" t="s">
        <v>579</v>
      </c>
      <c r="ALK2" s="29" t="s">
        <v>580</v>
      </c>
      <c r="ALL2" s="29" t="s">
        <v>579</v>
      </c>
      <c r="ALM2" s="29" t="s">
        <v>580</v>
      </c>
      <c r="ALN2" s="29" t="s">
        <v>579</v>
      </c>
      <c r="ALO2" s="29" t="s">
        <v>580</v>
      </c>
      <c r="ALP2" s="29" t="s">
        <v>579</v>
      </c>
      <c r="ALQ2" s="29" t="s">
        <v>580</v>
      </c>
      <c r="ALR2" s="29" t="s">
        <v>579</v>
      </c>
      <c r="ALS2" s="29" t="s">
        <v>580</v>
      </c>
      <c r="ALT2" s="29" t="s">
        <v>579</v>
      </c>
      <c r="ALU2" s="29" t="s">
        <v>580</v>
      </c>
      <c r="ALV2" s="29" t="s">
        <v>579</v>
      </c>
      <c r="ALW2" s="29" t="s">
        <v>580</v>
      </c>
      <c r="ALX2" s="29" t="s">
        <v>579</v>
      </c>
      <c r="ALY2" s="29" t="s">
        <v>580</v>
      </c>
      <c r="ALZ2" s="29" t="s">
        <v>579</v>
      </c>
      <c r="AMA2" s="29" t="s">
        <v>580</v>
      </c>
      <c r="AMB2" s="29" t="s">
        <v>579</v>
      </c>
      <c r="AMC2" s="29" t="s">
        <v>580</v>
      </c>
      <c r="AMD2" s="29" t="s">
        <v>579</v>
      </c>
      <c r="AME2" s="29" t="s">
        <v>580</v>
      </c>
      <c r="AMF2" s="29" t="s">
        <v>579</v>
      </c>
      <c r="AMG2" s="29" t="s">
        <v>580</v>
      </c>
      <c r="AMH2" s="29" t="s">
        <v>579</v>
      </c>
      <c r="AMI2" s="29" t="s">
        <v>580</v>
      </c>
      <c r="AMJ2" s="29" t="s">
        <v>579</v>
      </c>
      <c r="AMK2" s="29" t="s">
        <v>580</v>
      </c>
      <c r="AML2" s="29" t="s">
        <v>579</v>
      </c>
      <c r="AMM2" s="29" t="s">
        <v>580</v>
      </c>
      <c r="AMN2" s="29" t="s">
        <v>579</v>
      </c>
      <c r="AMO2" s="29" t="s">
        <v>580</v>
      </c>
      <c r="AMP2" s="29" t="s">
        <v>579</v>
      </c>
      <c r="AMQ2" s="29" t="s">
        <v>580</v>
      </c>
      <c r="AMR2" s="29" t="s">
        <v>579</v>
      </c>
      <c r="AMS2" s="29" t="s">
        <v>580</v>
      </c>
      <c r="AMT2" s="29" t="s">
        <v>579</v>
      </c>
      <c r="AMU2" s="29" t="s">
        <v>580</v>
      </c>
      <c r="AMV2" s="29" t="s">
        <v>579</v>
      </c>
      <c r="AMW2" s="29" t="s">
        <v>580</v>
      </c>
      <c r="AMX2" s="29" t="s">
        <v>579</v>
      </c>
      <c r="AMY2" s="29" t="s">
        <v>580</v>
      </c>
      <c r="AMZ2" s="29" t="s">
        <v>579</v>
      </c>
      <c r="ANA2" s="29" t="s">
        <v>580</v>
      </c>
      <c r="ANB2" s="29" t="s">
        <v>579</v>
      </c>
      <c r="ANC2" s="29" t="s">
        <v>580</v>
      </c>
      <c r="AND2" s="29" t="s">
        <v>579</v>
      </c>
      <c r="ANE2" s="29" t="s">
        <v>580</v>
      </c>
      <c r="ANF2" s="29" t="s">
        <v>579</v>
      </c>
      <c r="ANG2" s="29" t="s">
        <v>580</v>
      </c>
      <c r="ANH2" s="29" t="s">
        <v>579</v>
      </c>
      <c r="ANI2" s="29" t="s">
        <v>580</v>
      </c>
      <c r="ANJ2" s="29" t="s">
        <v>579</v>
      </c>
      <c r="ANK2" s="29" t="s">
        <v>580</v>
      </c>
      <c r="ANL2" s="29" t="s">
        <v>579</v>
      </c>
      <c r="ANM2" s="29" t="s">
        <v>580</v>
      </c>
      <c r="ANN2" s="29" t="s">
        <v>579</v>
      </c>
      <c r="ANO2" s="29" t="s">
        <v>580</v>
      </c>
      <c r="ANP2" s="29" t="s">
        <v>579</v>
      </c>
      <c r="ANQ2" s="29" t="s">
        <v>580</v>
      </c>
      <c r="ANR2" s="29" t="s">
        <v>579</v>
      </c>
      <c r="ANS2" s="29" t="s">
        <v>580</v>
      </c>
      <c r="ANT2" s="29" t="s">
        <v>579</v>
      </c>
      <c r="ANU2" s="29" t="s">
        <v>580</v>
      </c>
      <c r="ANV2" s="29" t="s">
        <v>579</v>
      </c>
      <c r="ANW2" s="29" t="s">
        <v>580</v>
      </c>
      <c r="ANX2" s="29" t="s">
        <v>579</v>
      </c>
      <c r="ANY2" s="29" t="s">
        <v>580</v>
      </c>
      <c r="ANZ2" s="29" t="s">
        <v>579</v>
      </c>
      <c r="AOA2" s="29" t="s">
        <v>580</v>
      </c>
      <c r="AOB2" s="29" t="s">
        <v>579</v>
      </c>
      <c r="AOC2" s="29" t="s">
        <v>580</v>
      </c>
      <c r="AOD2" s="29" t="s">
        <v>579</v>
      </c>
      <c r="AOE2" s="29" t="s">
        <v>580</v>
      </c>
      <c r="AOF2" s="29" t="s">
        <v>579</v>
      </c>
      <c r="AOG2" s="29" t="s">
        <v>580</v>
      </c>
      <c r="AOH2" s="29" t="s">
        <v>579</v>
      </c>
      <c r="AOI2" s="29" t="s">
        <v>580</v>
      </c>
      <c r="AOJ2" s="29" t="s">
        <v>579</v>
      </c>
      <c r="AOK2" s="29" t="s">
        <v>580</v>
      </c>
      <c r="AOL2" s="29" t="s">
        <v>579</v>
      </c>
      <c r="AOM2" s="29" t="s">
        <v>580</v>
      </c>
      <c r="AON2" s="29" t="s">
        <v>579</v>
      </c>
      <c r="AOO2" s="29" t="s">
        <v>580</v>
      </c>
      <c r="AOP2" s="29" t="s">
        <v>579</v>
      </c>
      <c r="AOQ2" s="29" t="s">
        <v>580</v>
      </c>
      <c r="AOR2" s="29" t="s">
        <v>579</v>
      </c>
      <c r="AOS2" s="29" t="s">
        <v>580</v>
      </c>
      <c r="AOT2" s="29" t="s">
        <v>579</v>
      </c>
      <c r="AOU2" s="29" t="s">
        <v>580</v>
      </c>
      <c r="AOV2" s="29" t="s">
        <v>579</v>
      </c>
      <c r="AOW2" s="29" t="s">
        <v>580</v>
      </c>
      <c r="AOX2" s="29" t="s">
        <v>579</v>
      </c>
      <c r="AOY2" s="29" t="s">
        <v>580</v>
      </c>
      <c r="AOZ2" s="29" t="s">
        <v>579</v>
      </c>
      <c r="APA2" s="29" t="s">
        <v>580</v>
      </c>
      <c r="APB2" s="29" t="s">
        <v>579</v>
      </c>
      <c r="APC2" s="29" t="s">
        <v>580</v>
      </c>
      <c r="APD2" s="29" t="s">
        <v>579</v>
      </c>
      <c r="APE2" s="29" t="s">
        <v>580</v>
      </c>
      <c r="APF2" s="29" t="s">
        <v>579</v>
      </c>
      <c r="APG2" s="29" t="s">
        <v>580</v>
      </c>
      <c r="APH2" s="29" t="s">
        <v>579</v>
      </c>
      <c r="API2" s="29" t="s">
        <v>580</v>
      </c>
      <c r="APJ2" s="29" t="s">
        <v>579</v>
      </c>
      <c r="APK2" s="29" t="s">
        <v>580</v>
      </c>
      <c r="APL2" s="29" t="s">
        <v>579</v>
      </c>
      <c r="APM2" s="29" t="s">
        <v>580</v>
      </c>
      <c r="APN2" s="29" t="s">
        <v>579</v>
      </c>
      <c r="APO2" s="29" t="s">
        <v>580</v>
      </c>
      <c r="APP2" s="29" t="s">
        <v>579</v>
      </c>
      <c r="APQ2" s="29" t="s">
        <v>580</v>
      </c>
      <c r="APR2" s="29" t="s">
        <v>579</v>
      </c>
      <c r="APS2" s="29" t="s">
        <v>580</v>
      </c>
      <c r="APT2" s="29" t="s">
        <v>579</v>
      </c>
      <c r="APU2" s="29" t="s">
        <v>580</v>
      </c>
      <c r="APV2" s="29" t="s">
        <v>579</v>
      </c>
      <c r="APW2" s="29" t="s">
        <v>580</v>
      </c>
      <c r="APX2" s="29" t="s">
        <v>579</v>
      </c>
      <c r="APY2" s="29" t="s">
        <v>580</v>
      </c>
      <c r="APZ2" s="29" t="s">
        <v>579</v>
      </c>
      <c r="AQA2" s="29" t="s">
        <v>580</v>
      </c>
      <c r="AQB2" s="29" t="s">
        <v>579</v>
      </c>
      <c r="AQC2" s="29" t="s">
        <v>580</v>
      </c>
      <c r="AQD2" s="29" t="s">
        <v>579</v>
      </c>
      <c r="AQE2" s="29" t="s">
        <v>580</v>
      </c>
      <c r="AQF2" s="29" t="s">
        <v>579</v>
      </c>
      <c r="AQG2" s="29" t="s">
        <v>580</v>
      </c>
      <c r="AQH2" s="29" t="s">
        <v>579</v>
      </c>
      <c r="AQI2" s="29" t="s">
        <v>580</v>
      </c>
      <c r="AQJ2" s="29" t="s">
        <v>579</v>
      </c>
      <c r="AQK2" s="29" t="s">
        <v>580</v>
      </c>
      <c r="AQL2" s="29" t="s">
        <v>579</v>
      </c>
      <c r="AQM2" s="29" t="s">
        <v>580</v>
      </c>
      <c r="AQN2" s="29" t="s">
        <v>579</v>
      </c>
      <c r="AQO2" s="29" t="s">
        <v>580</v>
      </c>
      <c r="AQP2" s="29" t="s">
        <v>579</v>
      </c>
      <c r="AQQ2" s="29" t="s">
        <v>580</v>
      </c>
      <c r="AQR2" s="29" t="s">
        <v>579</v>
      </c>
      <c r="AQS2" s="29" t="s">
        <v>580</v>
      </c>
      <c r="AQT2" s="29" t="s">
        <v>579</v>
      </c>
      <c r="AQU2" s="29" t="s">
        <v>580</v>
      </c>
      <c r="AQV2" s="29" t="s">
        <v>579</v>
      </c>
      <c r="AQW2" s="29" t="s">
        <v>580</v>
      </c>
      <c r="AQX2" s="29" t="s">
        <v>579</v>
      </c>
      <c r="AQY2" s="29" t="s">
        <v>580</v>
      </c>
      <c r="AQZ2" s="29" t="s">
        <v>579</v>
      </c>
      <c r="ARA2" s="29" t="s">
        <v>580</v>
      </c>
      <c r="ARB2" s="29" t="s">
        <v>579</v>
      </c>
      <c r="ARC2" s="29" t="s">
        <v>580</v>
      </c>
      <c r="ARD2" s="29" t="s">
        <v>579</v>
      </c>
      <c r="ARE2" s="29" t="s">
        <v>580</v>
      </c>
      <c r="ARF2" s="29" t="s">
        <v>579</v>
      </c>
      <c r="ARG2" s="29" t="s">
        <v>580</v>
      </c>
      <c r="ARH2" s="29" t="s">
        <v>579</v>
      </c>
      <c r="ARI2" s="29" t="s">
        <v>580</v>
      </c>
      <c r="ARJ2" s="29" t="s">
        <v>579</v>
      </c>
      <c r="ARK2" s="29" t="s">
        <v>580</v>
      </c>
      <c r="ARL2" s="29" t="s">
        <v>579</v>
      </c>
      <c r="ARM2" s="29" t="s">
        <v>580</v>
      </c>
      <c r="ARN2" s="29" t="s">
        <v>579</v>
      </c>
      <c r="ARO2" s="29" t="s">
        <v>580</v>
      </c>
      <c r="ARP2" s="29" t="s">
        <v>579</v>
      </c>
      <c r="ARQ2" s="29" t="s">
        <v>580</v>
      </c>
      <c r="ARR2" s="29" t="s">
        <v>579</v>
      </c>
      <c r="ARS2" s="29" t="s">
        <v>580</v>
      </c>
      <c r="ART2" s="29" t="s">
        <v>579</v>
      </c>
      <c r="ARU2" s="29" t="s">
        <v>580</v>
      </c>
      <c r="ARV2" s="29" t="s">
        <v>579</v>
      </c>
      <c r="ARW2" s="29" t="s">
        <v>580</v>
      </c>
      <c r="ARX2" s="29" t="s">
        <v>579</v>
      </c>
      <c r="ARY2" s="29" t="s">
        <v>580</v>
      </c>
      <c r="ARZ2" s="29" t="s">
        <v>579</v>
      </c>
      <c r="ASA2" s="29" t="s">
        <v>580</v>
      </c>
      <c r="ASB2" s="29" t="s">
        <v>579</v>
      </c>
      <c r="ASC2" s="29" t="s">
        <v>580</v>
      </c>
      <c r="ASD2" s="29" t="s">
        <v>579</v>
      </c>
      <c r="ASE2" s="29" t="s">
        <v>580</v>
      </c>
      <c r="ASF2" s="29" t="s">
        <v>579</v>
      </c>
      <c r="ASG2" s="29" t="s">
        <v>580</v>
      </c>
      <c r="ASH2" s="29" t="s">
        <v>579</v>
      </c>
      <c r="ASI2" s="29" t="s">
        <v>580</v>
      </c>
      <c r="ASJ2" s="29" t="s">
        <v>579</v>
      </c>
      <c r="ASK2" s="29" t="s">
        <v>580</v>
      </c>
      <c r="ASL2" s="29" t="s">
        <v>579</v>
      </c>
      <c r="ASM2" s="29" t="s">
        <v>580</v>
      </c>
      <c r="ASN2" s="29" t="s">
        <v>579</v>
      </c>
      <c r="ASO2" s="29" t="s">
        <v>580</v>
      </c>
      <c r="ASP2" s="29" t="s">
        <v>579</v>
      </c>
      <c r="ASQ2" s="29" t="s">
        <v>580</v>
      </c>
      <c r="ASR2" s="29" t="s">
        <v>579</v>
      </c>
      <c r="ASS2" s="29" t="s">
        <v>580</v>
      </c>
      <c r="AST2" s="29" t="s">
        <v>579</v>
      </c>
      <c r="ASU2" s="29" t="s">
        <v>580</v>
      </c>
      <c r="ASV2" s="29" t="s">
        <v>579</v>
      </c>
      <c r="ASW2" s="29" t="s">
        <v>580</v>
      </c>
      <c r="ASX2" s="29" t="s">
        <v>579</v>
      </c>
      <c r="ASY2" s="29" t="s">
        <v>580</v>
      </c>
      <c r="ASZ2" s="29" t="s">
        <v>579</v>
      </c>
      <c r="ATA2" s="29" t="s">
        <v>580</v>
      </c>
      <c r="ATB2" s="29" t="s">
        <v>579</v>
      </c>
      <c r="ATC2" s="29" t="s">
        <v>580</v>
      </c>
      <c r="ATD2" s="29" t="s">
        <v>579</v>
      </c>
      <c r="ATE2" s="29" t="s">
        <v>580</v>
      </c>
      <c r="ATF2" s="29" t="s">
        <v>579</v>
      </c>
      <c r="ATG2" s="29" t="s">
        <v>580</v>
      </c>
      <c r="ATH2" s="29" t="s">
        <v>579</v>
      </c>
      <c r="ATI2" s="29" t="s">
        <v>580</v>
      </c>
      <c r="ATJ2" s="29" t="s">
        <v>579</v>
      </c>
      <c r="ATK2" s="29" t="s">
        <v>580</v>
      </c>
      <c r="ATL2" s="29" t="s">
        <v>579</v>
      </c>
      <c r="ATM2" s="29" t="s">
        <v>580</v>
      </c>
      <c r="ATN2" s="29" t="s">
        <v>579</v>
      </c>
      <c r="ATO2" s="29" t="s">
        <v>580</v>
      </c>
      <c r="ATP2" s="29" t="s">
        <v>579</v>
      </c>
      <c r="ATQ2" s="29" t="s">
        <v>580</v>
      </c>
      <c r="ATR2" s="29" t="s">
        <v>579</v>
      </c>
      <c r="ATS2" s="29" t="s">
        <v>580</v>
      </c>
      <c r="ATT2" s="29" t="s">
        <v>579</v>
      </c>
      <c r="ATU2" s="29" t="s">
        <v>580</v>
      </c>
      <c r="ATV2" s="29" t="s">
        <v>579</v>
      </c>
      <c r="ATW2" s="29" t="s">
        <v>580</v>
      </c>
      <c r="ATX2" s="29" t="s">
        <v>579</v>
      </c>
      <c r="ATY2" s="29" t="s">
        <v>580</v>
      </c>
      <c r="ATZ2" s="29" t="s">
        <v>579</v>
      </c>
      <c r="AUA2" s="29" t="s">
        <v>580</v>
      </c>
      <c r="AUB2" s="29" t="s">
        <v>579</v>
      </c>
      <c r="AUC2" s="29" t="s">
        <v>580</v>
      </c>
      <c r="AUD2" s="29" t="s">
        <v>579</v>
      </c>
      <c r="AUE2" s="29" t="s">
        <v>580</v>
      </c>
      <c r="AUF2" s="29" t="s">
        <v>579</v>
      </c>
      <c r="AUG2" s="29" t="s">
        <v>580</v>
      </c>
      <c r="AUH2" s="29" t="s">
        <v>579</v>
      </c>
      <c r="AUI2" s="29" t="s">
        <v>580</v>
      </c>
      <c r="AUJ2" s="29" t="s">
        <v>579</v>
      </c>
      <c r="AUK2" s="29" t="s">
        <v>580</v>
      </c>
      <c r="AUL2" s="29" t="s">
        <v>579</v>
      </c>
      <c r="AUM2" s="29" t="s">
        <v>580</v>
      </c>
      <c r="AUN2" s="29" t="s">
        <v>579</v>
      </c>
      <c r="AUO2" s="29" t="s">
        <v>580</v>
      </c>
      <c r="AUP2" s="29" t="s">
        <v>579</v>
      </c>
      <c r="AUQ2" s="29" t="s">
        <v>580</v>
      </c>
      <c r="AUR2" s="29" t="s">
        <v>579</v>
      </c>
      <c r="AUS2" s="29" t="s">
        <v>580</v>
      </c>
      <c r="AUT2" s="29" t="s">
        <v>579</v>
      </c>
      <c r="AUU2" s="29" t="s">
        <v>580</v>
      </c>
      <c r="AUV2" s="29" t="s">
        <v>579</v>
      </c>
      <c r="AUW2" s="29" t="s">
        <v>580</v>
      </c>
      <c r="AUX2" s="29" t="s">
        <v>579</v>
      </c>
      <c r="AUY2" s="29" t="s">
        <v>580</v>
      </c>
      <c r="AUZ2" s="29" t="s">
        <v>579</v>
      </c>
      <c r="AVA2" s="29" t="s">
        <v>580</v>
      </c>
      <c r="AVB2" s="29" t="s">
        <v>579</v>
      </c>
      <c r="AVC2" s="29" t="s">
        <v>580</v>
      </c>
      <c r="AVD2" s="29" t="s">
        <v>579</v>
      </c>
      <c r="AVE2" s="29" t="s">
        <v>580</v>
      </c>
      <c r="AVF2" s="29" t="s">
        <v>579</v>
      </c>
      <c r="AVG2" s="29" t="s">
        <v>580</v>
      </c>
      <c r="AVH2" s="29" t="s">
        <v>579</v>
      </c>
      <c r="AVI2" s="29" t="s">
        <v>580</v>
      </c>
      <c r="AVJ2" s="29" t="s">
        <v>579</v>
      </c>
      <c r="AVK2" s="29" t="s">
        <v>580</v>
      </c>
      <c r="AVL2" s="29" t="s">
        <v>579</v>
      </c>
      <c r="AVM2" s="29" t="s">
        <v>580</v>
      </c>
      <c r="AVN2" s="29" t="s">
        <v>579</v>
      </c>
      <c r="AVO2" s="29" t="s">
        <v>580</v>
      </c>
      <c r="AVP2" s="29" t="s">
        <v>579</v>
      </c>
      <c r="AVQ2" s="29" t="s">
        <v>580</v>
      </c>
      <c r="AVR2" s="29" t="s">
        <v>579</v>
      </c>
      <c r="AVS2" s="29" t="s">
        <v>580</v>
      </c>
      <c r="AVT2" s="29" t="s">
        <v>579</v>
      </c>
      <c r="AVU2" s="29" t="s">
        <v>580</v>
      </c>
      <c r="AVV2" s="29" t="s">
        <v>579</v>
      </c>
      <c r="AVW2" s="29" t="s">
        <v>580</v>
      </c>
      <c r="AVX2" s="29" t="s">
        <v>579</v>
      </c>
      <c r="AVY2" s="29" t="s">
        <v>580</v>
      </c>
      <c r="AVZ2" s="29" t="s">
        <v>579</v>
      </c>
      <c r="AWA2" s="29" t="s">
        <v>580</v>
      </c>
      <c r="AWB2" s="29" t="s">
        <v>579</v>
      </c>
      <c r="AWC2" s="29" t="s">
        <v>580</v>
      </c>
      <c r="AWD2" s="29" t="s">
        <v>579</v>
      </c>
      <c r="AWE2" s="29" t="s">
        <v>580</v>
      </c>
      <c r="AWF2" s="29" t="s">
        <v>579</v>
      </c>
      <c r="AWG2" s="29" t="s">
        <v>580</v>
      </c>
      <c r="AWH2" s="29" t="s">
        <v>579</v>
      </c>
      <c r="AWI2" s="29" t="s">
        <v>580</v>
      </c>
      <c r="AWJ2" s="29" t="s">
        <v>579</v>
      </c>
      <c r="AWK2" s="29" t="s">
        <v>580</v>
      </c>
      <c r="AWL2" s="29" t="s">
        <v>579</v>
      </c>
      <c r="AWM2" s="29" t="s">
        <v>580</v>
      </c>
      <c r="AWN2" s="29" t="s">
        <v>579</v>
      </c>
      <c r="AWO2" s="29" t="s">
        <v>580</v>
      </c>
      <c r="AWP2" s="29" t="s">
        <v>579</v>
      </c>
      <c r="AWQ2" s="29" t="s">
        <v>580</v>
      </c>
      <c r="AWR2" s="29" t="s">
        <v>579</v>
      </c>
      <c r="AWS2" s="29" t="s">
        <v>580</v>
      </c>
      <c r="AWT2" s="29" t="s">
        <v>579</v>
      </c>
      <c r="AWU2" s="29" t="s">
        <v>580</v>
      </c>
      <c r="AWV2" s="29" t="s">
        <v>579</v>
      </c>
      <c r="AWW2" s="29" t="s">
        <v>580</v>
      </c>
      <c r="AWX2" s="29" t="s">
        <v>579</v>
      </c>
      <c r="AWY2" s="29" t="s">
        <v>580</v>
      </c>
      <c r="AWZ2" s="29" t="s">
        <v>579</v>
      </c>
      <c r="AXA2" s="29" t="s">
        <v>580</v>
      </c>
      <c r="AXB2" s="29" t="s">
        <v>579</v>
      </c>
      <c r="AXC2" s="29" t="s">
        <v>580</v>
      </c>
      <c r="AXD2" s="29" t="s">
        <v>579</v>
      </c>
      <c r="AXE2" s="29" t="s">
        <v>580</v>
      </c>
      <c r="AXF2" s="29" t="s">
        <v>579</v>
      </c>
      <c r="AXG2" s="29" t="s">
        <v>580</v>
      </c>
      <c r="AXH2" s="29" t="s">
        <v>579</v>
      </c>
      <c r="AXI2" s="29" t="s">
        <v>580</v>
      </c>
      <c r="AXJ2" s="29" t="s">
        <v>579</v>
      </c>
      <c r="AXK2" s="29" t="s">
        <v>580</v>
      </c>
      <c r="AXL2" s="29" t="s">
        <v>579</v>
      </c>
      <c r="AXM2" s="29" t="s">
        <v>580</v>
      </c>
      <c r="AXN2" s="29" t="s">
        <v>579</v>
      </c>
      <c r="AXO2" s="29" t="s">
        <v>580</v>
      </c>
      <c r="AXP2" s="29" t="s">
        <v>579</v>
      </c>
      <c r="AXQ2" s="29" t="s">
        <v>580</v>
      </c>
      <c r="AXR2" s="29" t="s">
        <v>579</v>
      </c>
      <c r="AXS2" s="29" t="s">
        <v>580</v>
      </c>
      <c r="AXT2" s="29" t="s">
        <v>579</v>
      </c>
      <c r="AXU2" s="29" t="s">
        <v>580</v>
      </c>
      <c r="AXV2" s="29" t="s">
        <v>579</v>
      </c>
      <c r="AXW2" s="29" t="s">
        <v>580</v>
      </c>
      <c r="AXX2" s="29" t="s">
        <v>579</v>
      </c>
      <c r="AXY2" s="29" t="s">
        <v>580</v>
      </c>
      <c r="AXZ2" s="29" t="s">
        <v>579</v>
      </c>
      <c r="AYA2" s="29" t="s">
        <v>580</v>
      </c>
      <c r="AYB2" s="29" t="s">
        <v>579</v>
      </c>
      <c r="AYC2" s="29" t="s">
        <v>580</v>
      </c>
      <c r="AYD2" s="29" t="s">
        <v>579</v>
      </c>
      <c r="AYE2" s="29" t="s">
        <v>580</v>
      </c>
      <c r="AYF2" s="29" t="s">
        <v>579</v>
      </c>
      <c r="AYG2" s="29" t="s">
        <v>580</v>
      </c>
      <c r="AYH2" s="29" t="s">
        <v>579</v>
      </c>
      <c r="AYI2" s="29" t="s">
        <v>580</v>
      </c>
      <c r="AYJ2" s="29" t="s">
        <v>579</v>
      </c>
      <c r="AYK2" s="29" t="s">
        <v>580</v>
      </c>
      <c r="AYL2" s="29" t="s">
        <v>579</v>
      </c>
      <c r="AYM2" s="29" t="s">
        <v>580</v>
      </c>
      <c r="AYN2" s="29" t="s">
        <v>579</v>
      </c>
      <c r="AYO2" s="29" t="s">
        <v>580</v>
      </c>
      <c r="AYP2" s="29" t="s">
        <v>579</v>
      </c>
      <c r="AYQ2" s="29" t="s">
        <v>580</v>
      </c>
      <c r="AYR2" s="29" t="s">
        <v>579</v>
      </c>
      <c r="AYS2" s="29" t="s">
        <v>580</v>
      </c>
      <c r="AYT2" s="29" t="s">
        <v>579</v>
      </c>
      <c r="AYU2" s="29" t="s">
        <v>580</v>
      </c>
      <c r="AYV2" s="29" t="s">
        <v>579</v>
      </c>
      <c r="AYW2" s="29" t="s">
        <v>580</v>
      </c>
      <c r="AYX2" s="29" t="s">
        <v>579</v>
      </c>
      <c r="AYY2" s="29" t="s">
        <v>580</v>
      </c>
      <c r="AYZ2" s="29" t="s">
        <v>579</v>
      </c>
      <c r="AZA2" s="29" t="s">
        <v>580</v>
      </c>
      <c r="AZB2" s="29" t="s">
        <v>579</v>
      </c>
      <c r="AZC2" s="29" t="s">
        <v>580</v>
      </c>
      <c r="AZD2" s="29" t="s">
        <v>579</v>
      </c>
      <c r="AZE2" s="29" t="s">
        <v>580</v>
      </c>
      <c r="AZF2" s="29" t="s">
        <v>579</v>
      </c>
      <c r="AZG2" s="29" t="s">
        <v>580</v>
      </c>
      <c r="AZH2" s="29" t="s">
        <v>579</v>
      </c>
      <c r="AZI2" s="29" t="s">
        <v>580</v>
      </c>
      <c r="AZJ2" s="29" t="s">
        <v>579</v>
      </c>
      <c r="AZK2" s="29" t="s">
        <v>580</v>
      </c>
      <c r="AZL2" s="29" t="s">
        <v>579</v>
      </c>
      <c r="AZM2" s="29" t="s">
        <v>580</v>
      </c>
      <c r="AZN2" s="29" t="s">
        <v>579</v>
      </c>
      <c r="AZO2" s="29" t="s">
        <v>580</v>
      </c>
      <c r="AZP2" s="29" t="s">
        <v>579</v>
      </c>
      <c r="AZQ2" s="29" t="s">
        <v>580</v>
      </c>
      <c r="AZR2" s="29" t="s">
        <v>579</v>
      </c>
      <c r="AZS2" s="29" t="s">
        <v>580</v>
      </c>
      <c r="AZT2" s="29" t="s">
        <v>579</v>
      </c>
      <c r="AZU2" s="29" t="s">
        <v>580</v>
      </c>
      <c r="AZV2" s="29" t="s">
        <v>579</v>
      </c>
      <c r="AZW2" s="29" t="s">
        <v>580</v>
      </c>
      <c r="AZX2" s="29" t="s">
        <v>579</v>
      </c>
      <c r="AZY2" s="29" t="s">
        <v>580</v>
      </c>
      <c r="AZZ2" s="29" t="s">
        <v>579</v>
      </c>
      <c r="BAA2" s="29" t="s">
        <v>580</v>
      </c>
      <c r="BAB2" s="29" t="s">
        <v>579</v>
      </c>
      <c r="BAC2" s="29" t="s">
        <v>580</v>
      </c>
      <c r="BAD2" s="29" t="s">
        <v>579</v>
      </c>
      <c r="BAE2" s="29" t="s">
        <v>580</v>
      </c>
      <c r="BAF2" s="29" t="s">
        <v>579</v>
      </c>
      <c r="BAG2" s="29" t="s">
        <v>580</v>
      </c>
      <c r="BAH2" s="29" t="s">
        <v>579</v>
      </c>
      <c r="BAI2" s="29" t="s">
        <v>580</v>
      </c>
      <c r="BAJ2" s="29" t="s">
        <v>579</v>
      </c>
      <c r="BAK2" s="29" t="s">
        <v>580</v>
      </c>
      <c r="BAL2" s="29" t="s">
        <v>579</v>
      </c>
      <c r="BAM2" s="29" t="s">
        <v>580</v>
      </c>
      <c r="BAN2" s="29" t="s">
        <v>579</v>
      </c>
      <c r="BAO2" s="29" t="s">
        <v>580</v>
      </c>
      <c r="BAP2" s="29" t="s">
        <v>579</v>
      </c>
      <c r="BAQ2" s="29" t="s">
        <v>580</v>
      </c>
      <c r="BAR2" s="29" t="s">
        <v>579</v>
      </c>
      <c r="BAS2" s="29" t="s">
        <v>580</v>
      </c>
      <c r="BAT2" s="29" t="s">
        <v>579</v>
      </c>
      <c r="BAU2" s="29" t="s">
        <v>580</v>
      </c>
      <c r="BAV2" s="29" t="s">
        <v>579</v>
      </c>
      <c r="BAW2" s="29" t="s">
        <v>580</v>
      </c>
      <c r="BAX2" s="29" t="s">
        <v>579</v>
      </c>
      <c r="BAY2" s="29" t="s">
        <v>580</v>
      </c>
      <c r="BAZ2" s="29" t="s">
        <v>579</v>
      </c>
      <c r="BBA2" s="29" t="s">
        <v>580</v>
      </c>
      <c r="BBB2" s="29" t="s">
        <v>579</v>
      </c>
      <c r="BBC2" s="29" t="s">
        <v>580</v>
      </c>
      <c r="BBD2" s="29" t="s">
        <v>579</v>
      </c>
      <c r="BBE2" s="29" t="s">
        <v>580</v>
      </c>
      <c r="BBF2" s="29" t="s">
        <v>579</v>
      </c>
      <c r="BBG2" s="29" t="s">
        <v>580</v>
      </c>
      <c r="BBH2" s="29" t="s">
        <v>579</v>
      </c>
      <c r="BBI2" s="29" t="s">
        <v>580</v>
      </c>
      <c r="BBJ2" s="29" t="s">
        <v>579</v>
      </c>
      <c r="BBK2" s="29" t="s">
        <v>580</v>
      </c>
      <c r="BBL2" s="29" t="s">
        <v>579</v>
      </c>
      <c r="BBM2" s="29" t="s">
        <v>580</v>
      </c>
      <c r="BBN2" s="29" t="s">
        <v>579</v>
      </c>
      <c r="BBO2" s="29" t="s">
        <v>580</v>
      </c>
      <c r="BBP2" s="29" t="s">
        <v>579</v>
      </c>
      <c r="BBQ2" s="29" t="s">
        <v>580</v>
      </c>
      <c r="BBR2" s="29" t="s">
        <v>579</v>
      </c>
      <c r="BBS2" s="29" t="s">
        <v>580</v>
      </c>
      <c r="BBT2" s="29" t="s">
        <v>579</v>
      </c>
      <c r="BBU2" s="29" t="s">
        <v>580</v>
      </c>
      <c r="BBV2" s="29" t="s">
        <v>579</v>
      </c>
      <c r="BBW2" s="29" t="s">
        <v>580</v>
      </c>
      <c r="BBX2" s="29" t="s">
        <v>579</v>
      </c>
      <c r="BBY2" s="29" t="s">
        <v>580</v>
      </c>
      <c r="BBZ2" s="29" t="s">
        <v>579</v>
      </c>
      <c r="BCA2" s="29" t="s">
        <v>580</v>
      </c>
      <c r="BCB2" s="29" t="s">
        <v>579</v>
      </c>
      <c r="BCC2" s="29" t="s">
        <v>580</v>
      </c>
      <c r="BCD2" s="29" t="s">
        <v>579</v>
      </c>
      <c r="BCE2" s="29" t="s">
        <v>580</v>
      </c>
      <c r="BCF2" s="29" t="s">
        <v>579</v>
      </c>
      <c r="BCG2" s="29" t="s">
        <v>580</v>
      </c>
      <c r="BCH2" s="29" t="s">
        <v>579</v>
      </c>
      <c r="BCI2" s="29" t="s">
        <v>580</v>
      </c>
      <c r="BCJ2" s="29" t="s">
        <v>579</v>
      </c>
      <c r="BCK2" s="29" t="s">
        <v>580</v>
      </c>
      <c r="BCL2" s="29" t="s">
        <v>579</v>
      </c>
      <c r="BCM2" s="29" t="s">
        <v>580</v>
      </c>
      <c r="BCN2" s="29" t="s">
        <v>579</v>
      </c>
      <c r="BCO2" s="29" t="s">
        <v>580</v>
      </c>
      <c r="BCP2" s="29" t="s">
        <v>579</v>
      </c>
      <c r="BCQ2" s="29" t="s">
        <v>580</v>
      </c>
    </row>
    <row r="3" spans="1:1447">
      <c r="A3" s="30" t="s">
        <v>581</v>
      </c>
      <c r="B3" s="30"/>
      <c r="C3" s="31" t="s">
        <v>389</v>
      </c>
      <c r="D3" s="31" t="s">
        <v>581</v>
      </c>
      <c r="E3" s="32" t="s">
        <v>582</v>
      </c>
      <c r="F3" s="32" t="s">
        <v>46</v>
      </c>
      <c r="G3" s="30"/>
      <c r="H3" s="30" t="s">
        <v>319</v>
      </c>
      <c r="I3" s="33" t="s">
        <v>59</v>
      </c>
      <c r="J3" s="33" t="s">
        <v>59</v>
      </c>
      <c r="K3" s="32" t="s">
        <v>46</v>
      </c>
      <c r="L3" s="32"/>
      <c r="M3" s="30" t="s">
        <v>581</v>
      </c>
      <c r="N3" s="30"/>
      <c r="O3" s="31"/>
      <c r="P3" s="31"/>
      <c r="Q3" s="32"/>
      <c r="R3" s="32" t="s">
        <v>581</v>
      </c>
      <c r="S3" s="30" t="s">
        <v>59</v>
      </c>
      <c r="T3" s="30" t="s">
        <v>74</v>
      </c>
      <c r="U3" s="31" t="s">
        <v>448</v>
      </c>
      <c r="V3" s="31" t="s">
        <v>81</v>
      </c>
      <c r="W3" s="32"/>
      <c r="X3" s="32"/>
      <c r="Y3" s="30" t="s">
        <v>81</v>
      </c>
      <c r="Z3" s="33" t="s">
        <v>54</v>
      </c>
      <c r="AA3" s="31" t="s">
        <v>582</v>
      </c>
      <c r="AB3" s="31"/>
      <c r="AC3" s="32"/>
      <c r="AD3" s="32" t="s">
        <v>74</v>
      </c>
      <c r="AE3" s="30" t="s">
        <v>581</v>
      </c>
      <c r="AF3" s="30"/>
      <c r="AG3" s="31"/>
      <c r="AH3" s="31"/>
      <c r="AI3" s="32"/>
      <c r="AJ3" s="32" t="s">
        <v>59</v>
      </c>
      <c r="AK3" s="33" t="s">
        <v>41</v>
      </c>
      <c r="AL3" s="33" t="s">
        <v>41</v>
      </c>
      <c r="AM3" s="31"/>
      <c r="AN3" s="31"/>
      <c r="AO3" s="32" t="s">
        <v>59</v>
      </c>
      <c r="AP3" s="32"/>
      <c r="AQ3" s="30"/>
      <c r="AR3" s="30" t="s">
        <v>28</v>
      </c>
      <c r="AS3" s="31"/>
      <c r="AT3" s="31" t="s">
        <v>368</v>
      </c>
      <c r="AU3" s="32"/>
      <c r="AV3" s="32"/>
      <c r="AW3" s="30"/>
      <c r="AX3" s="30"/>
      <c r="AY3" s="31" t="s">
        <v>41</v>
      </c>
      <c r="AZ3" s="31"/>
      <c r="BA3" s="32" t="s">
        <v>368</v>
      </c>
      <c r="BB3" s="32"/>
      <c r="BC3" s="30"/>
      <c r="BD3" s="30" t="s">
        <v>59</v>
      </c>
      <c r="BE3" s="31"/>
      <c r="BF3" s="31" t="s">
        <v>583</v>
      </c>
      <c r="BG3" s="32"/>
      <c r="BH3" s="32"/>
      <c r="BI3" s="30"/>
      <c r="BJ3" s="30" t="s">
        <v>584</v>
      </c>
      <c r="BK3" s="31"/>
      <c r="BL3" s="31" t="s">
        <v>46</v>
      </c>
      <c r="BM3" s="32" t="s">
        <v>59</v>
      </c>
      <c r="BN3" s="32"/>
      <c r="BO3" s="30" t="s">
        <v>584</v>
      </c>
      <c r="BP3" s="30"/>
      <c r="BQ3" s="31" t="s">
        <v>583</v>
      </c>
      <c r="BR3" s="31" t="s">
        <v>585</v>
      </c>
      <c r="BS3" s="32" t="s">
        <v>46</v>
      </c>
      <c r="BT3" s="32"/>
      <c r="BU3" s="30"/>
      <c r="BV3" s="30"/>
      <c r="BW3" s="31"/>
      <c r="BX3" s="31" t="s">
        <v>363</v>
      </c>
      <c r="BY3" s="32"/>
      <c r="BZ3" s="32"/>
      <c r="CA3" s="30" t="s">
        <v>33</v>
      </c>
      <c r="CB3" s="30" t="s">
        <v>368</v>
      </c>
      <c r="CC3" s="31" t="s">
        <v>363</v>
      </c>
      <c r="CD3" s="31" t="s">
        <v>271</v>
      </c>
      <c r="CE3" s="32"/>
      <c r="CF3" s="32" t="s">
        <v>81</v>
      </c>
      <c r="CG3" s="30"/>
      <c r="CH3" s="30" t="s">
        <v>164</v>
      </c>
      <c r="CI3" s="34" t="s">
        <v>54</v>
      </c>
      <c r="CJ3" s="31" t="s">
        <v>586</v>
      </c>
      <c r="CK3" s="35"/>
      <c r="CL3" s="32" t="s">
        <v>74</v>
      </c>
      <c r="CM3" s="30" t="s">
        <v>585</v>
      </c>
      <c r="CN3" s="30"/>
      <c r="CO3" s="31" t="s">
        <v>586</v>
      </c>
      <c r="CP3" s="31"/>
      <c r="CQ3" s="32" t="s">
        <v>585</v>
      </c>
      <c r="CR3" s="33" t="s">
        <v>33</v>
      </c>
      <c r="CS3" s="30" t="s">
        <v>59</v>
      </c>
      <c r="CT3" s="30"/>
      <c r="CU3" s="31" t="s">
        <v>583</v>
      </c>
      <c r="CV3" s="31"/>
      <c r="CW3" s="32" t="s">
        <v>74</v>
      </c>
      <c r="CX3" s="32"/>
      <c r="CY3" s="30"/>
      <c r="CZ3" s="30" t="s">
        <v>54</v>
      </c>
      <c r="DA3" s="31"/>
      <c r="DB3" s="31"/>
      <c r="DC3" s="32"/>
      <c r="DD3" s="32" t="s">
        <v>41</v>
      </c>
      <c r="DE3" s="30" t="s">
        <v>54</v>
      </c>
      <c r="DF3" s="30"/>
      <c r="DG3" s="31"/>
      <c r="DH3" s="31"/>
      <c r="DI3" s="32"/>
      <c r="DJ3" s="32"/>
      <c r="DK3" s="30"/>
      <c r="DL3" s="30"/>
      <c r="DM3" s="31"/>
      <c r="DN3" s="31" t="s">
        <v>185</v>
      </c>
      <c r="DO3" s="32"/>
      <c r="DP3" s="32"/>
      <c r="DQ3" s="30"/>
      <c r="DR3" s="30"/>
      <c r="DS3" s="31" t="s">
        <v>41</v>
      </c>
      <c r="DT3" s="31"/>
      <c r="DU3" s="32"/>
      <c r="DV3" s="32"/>
      <c r="DW3" s="30" t="s">
        <v>185</v>
      </c>
      <c r="DX3" s="30"/>
      <c r="DY3" s="31" t="s">
        <v>587</v>
      </c>
      <c r="DZ3" s="31" t="s">
        <v>584</v>
      </c>
      <c r="EA3" s="32"/>
      <c r="EB3" s="32" t="s">
        <v>41</v>
      </c>
      <c r="EC3" s="30" t="s">
        <v>33</v>
      </c>
      <c r="ED3" s="30"/>
      <c r="EE3" s="31" t="s">
        <v>584</v>
      </c>
      <c r="EF3" s="31"/>
      <c r="EG3" s="32" t="s">
        <v>173</v>
      </c>
      <c r="EH3" s="32"/>
      <c r="EI3" s="30"/>
      <c r="EJ3" s="30" t="s">
        <v>74</v>
      </c>
      <c r="EK3" s="31"/>
      <c r="EL3" s="31"/>
      <c r="EM3" s="32"/>
      <c r="EN3" s="32" t="s">
        <v>363</v>
      </c>
      <c r="EO3" s="30" t="s">
        <v>41</v>
      </c>
      <c r="EP3" s="30" t="s">
        <v>583</v>
      </c>
      <c r="EQ3" s="31" t="s">
        <v>28</v>
      </c>
      <c r="ER3" s="31" t="s">
        <v>59</v>
      </c>
      <c r="ES3" s="33" t="s">
        <v>74</v>
      </c>
      <c r="ET3" s="33" t="s">
        <v>74</v>
      </c>
      <c r="EU3" s="30"/>
      <c r="EV3" s="30"/>
      <c r="EW3" s="33" t="s">
        <v>59</v>
      </c>
      <c r="EX3" s="31" t="s">
        <v>300</v>
      </c>
      <c r="EY3" s="32" t="s">
        <v>94</v>
      </c>
      <c r="EZ3" s="32" t="s">
        <v>585</v>
      </c>
      <c r="FA3" s="33" t="s">
        <v>583</v>
      </c>
      <c r="FB3" s="30" t="s">
        <v>94</v>
      </c>
      <c r="FC3" s="31" t="s">
        <v>300</v>
      </c>
      <c r="FD3" s="31" t="s">
        <v>588</v>
      </c>
      <c r="FE3" s="33" t="s">
        <v>587</v>
      </c>
      <c r="FF3" s="33" t="s">
        <v>587</v>
      </c>
      <c r="FG3" s="33" t="s">
        <v>102</v>
      </c>
      <c r="FH3" s="33" t="s">
        <v>46</v>
      </c>
      <c r="FI3" s="32"/>
      <c r="FJ3" s="33" t="s">
        <v>448</v>
      </c>
      <c r="FK3" s="30" t="s">
        <v>59</v>
      </c>
      <c r="FL3" s="33" t="s">
        <v>319</v>
      </c>
      <c r="FM3" s="31" t="s">
        <v>589</v>
      </c>
      <c r="FN3" s="31" t="s">
        <v>176</v>
      </c>
      <c r="FO3" s="32" t="s">
        <v>589</v>
      </c>
      <c r="FP3" s="32" t="s">
        <v>363</v>
      </c>
      <c r="FQ3" s="30" t="s">
        <v>28</v>
      </c>
      <c r="FR3" s="30"/>
      <c r="FS3" s="31" t="s">
        <v>94</v>
      </c>
      <c r="FT3" s="31"/>
      <c r="FU3" s="32" t="s">
        <v>319</v>
      </c>
      <c r="FV3" s="32"/>
      <c r="FW3" s="30" t="s">
        <v>363</v>
      </c>
      <c r="FX3" s="30"/>
      <c r="FY3" s="31"/>
      <c r="FZ3" s="31" t="s">
        <v>94</v>
      </c>
      <c r="GA3" s="32"/>
      <c r="GB3" s="32" t="s">
        <v>54</v>
      </c>
      <c r="GC3" s="30"/>
      <c r="GD3" s="30" t="s">
        <v>363</v>
      </c>
      <c r="GE3" s="31"/>
      <c r="GF3" s="31" t="s">
        <v>81</v>
      </c>
      <c r="GG3" s="32"/>
      <c r="GH3" s="32" t="s">
        <v>590</v>
      </c>
      <c r="GI3" s="30" t="s">
        <v>94</v>
      </c>
      <c r="GJ3" s="30" t="s">
        <v>591</v>
      </c>
      <c r="GK3" s="31" t="s">
        <v>368</v>
      </c>
      <c r="GL3" s="31"/>
      <c r="GM3" s="32" t="s">
        <v>363</v>
      </c>
      <c r="GN3" s="32" t="s">
        <v>54</v>
      </c>
      <c r="GO3" s="30"/>
      <c r="GP3" s="30" t="s">
        <v>589</v>
      </c>
      <c r="GQ3" s="31" t="s">
        <v>238</v>
      </c>
      <c r="GR3" s="31" t="s">
        <v>185</v>
      </c>
      <c r="GS3" s="32"/>
      <c r="GT3" s="32" t="s">
        <v>584</v>
      </c>
      <c r="GU3" s="30" t="s">
        <v>22</v>
      </c>
      <c r="GV3" s="30"/>
      <c r="GW3" s="31" t="s">
        <v>54</v>
      </c>
      <c r="GX3" s="31" t="s">
        <v>363</v>
      </c>
      <c r="GY3" s="32" t="s">
        <v>74</v>
      </c>
      <c r="GZ3" s="32" t="s">
        <v>583</v>
      </c>
      <c r="HA3" s="30"/>
      <c r="HB3" s="30"/>
      <c r="HC3" s="31" t="s">
        <v>363</v>
      </c>
      <c r="HD3" s="31" t="s">
        <v>368</v>
      </c>
      <c r="HE3" s="32"/>
      <c r="HF3" s="32" t="s">
        <v>173</v>
      </c>
      <c r="HG3" s="30"/>
      <c r="HH3" s="30" t="s">
        <v>54</v>
      </c>
      <c r="HI3" s="31"/>
      <c r="HJ3" s="31" t="s">
        <v>389</v>
      </c>
      <c r="HK3" s="32" t="s">
        <v>173</v>
      </c>
      <c r="HL3" s="32" t="s">
        <v>94</v>
      </c>
      <c r="HM3" s="30" t="s">
        <v>583</v>
      </c>
      <c r="HN3" s="30" t="s">
        <v>173</v>
      </c>
      <c r="HO3" s="31" t="s">
        <v>176</v>
      </c>
      <c r="HP3" s="31" t="s">
        <v>22</v>
      </c>
      <c r="HQ3" s="32" t="s">
        <v>588</v>
      </c>
      <c r="HR3" s="32" t="s">
        <v>592</v>
      </c>
      <c r="HS3" s="30"/>
      <c r="HT3" s="30" t="s">
        <v>368</v>
      </c>
      <c r="HU3" s="33" t="s">
        <v>41</v>
      </c>
      <c r="HV3" s="31" t="s">
        <v>451</v>
      </c>
      <c r="HW3" s="32" t="s">
        <v>238</v>
      </c>
      <c r="HX3" s="32" t="s">
        <v>593</v>
      </c>
      <c r="HY3" s="30" t="s">
        <v>368</v>
      </c>
      <c r="HZ3" s="30" t="s">
        <v>594</v>
      </c>
      <c r="IA3" s="31" t="s">
        <v>451</v>
      </c>
      <c r="IB3" s="31" t="s">
        <v>79</v>
      </c>
      <c r="IC3" s="32" t="s">
        <v>185</v>
      </c>
      <c r="ID3" s="32" t="s">
        <v>102</v>
      </c>
      <c r="IE3" s="30" t="s">
        <v>94</v>
      </c>
      <c r="IF3" s="30" t="s">
        <v>451</v>
      </c>
      <c r="IG3" s="33" t="s">
        <v>238</v>
      </c>
      <c r="IH3" s="31" t="s">
        <v>176</v>
      </c>
      <c r="II3" s="32" t="s">
        <v>595</v>
      </c>
      <c r="IJ3" s="33" t="s">
        <v>594</v>
      </c>
      <c r="IK3" s="30" t="s">
        <v>389</v>
      </c>
      <c r="IL3" s="30" t="s">
        <v>596</v>
      </c>
      <c r="IM3" s="31" t="s">
        <v>173</v>
      </c>
      <c r="IN3" s="33" t="s">
        <v>451</v>
      </c>
      <c r="IO3" s="32" t="s">
        <v>79</v>
      </c>
      <c r="IP3" s="33" t="s">
        <v>594</v>
      </c>
      <c r="IQ3" s="30" t="s">
        <v>33</v>
      </c>
      <c r="IR3" s="30" t="s">
        <v>79</v>
      </c>
      <c r="IS3" s="33" t="s">
        <v>94</v>
      </c>
      <c r="IT3" s="31" t="s">
        <v>74</v>
      </c>
      <c r="IU3" s="33" t="s">
        <v>28</v>
      </c>
      <c r="IV3" s="32" t="s">
        <v>33</v>
      </c>
      <c r="IW3" s="30"/>
      <c r="IX3" s="30" t="s">
        <v>597</v>
      </c>
      <c r="IY3" s="31" t="s">
        <v>594</v>
      </c>
      <c r="IZ3" s="31" t="s">
        <v>585</v>
      </c>
      <c r="JA3" s="33" t="s">
        <v>451</v>
      </c>
      <c r="JB3" s="33" t="s">
        <v>46</v>
      </c>
      <c r="JC3" s="33" t="s">
        <v>592</v>
      </c>
      <c r="JD3" s="33" t="s">
        <v>592</v>
      </c>
      <c r="JE3" s="31" t="s">
        <v>598</v>
      </c>
      <c r="JF3" s="31"/>
      <c r="JG3" s="32" t="s">
        <v>595</v>
      </c>
      <c r="JH3" s="32" t="s">
        <v>594</v>
      </c>
      <c r="JI3" s="30"/>
      <c r="JJ3" s="30" t="s">
        <v>46</v>
      </c>
      <c r="JK3" s="33" t="s">
        <v>448</v>
      </c>
      <c r="JL3" s="31" t="s">
        <v>597</v>
      </c>
      <c r="JM3" s="32" t="s">
        <v>74</v>
      </c>
      <c r="JN3" s="33" t="s">
        <v>81</v>
      </c>
      <c r="JO3" s="30" t="s">
        <v>599</v>
      </c>
      <c r="JP3" s="30" t="s">
        <v>22</v>
      </c>
      <c r="JQ3" s="31" t="s">
        <v>81</v>
      </c>
      <c r="JR3" s="31" t="s">
        <v>74</v>
      </c>
      <c r="JS3" s="32" t="s">
        <v>79</v>
      </c>
      <c r="JT3" s="33" t="s">
        <v>176</v>
      </c>
      <c r="JU3" s="30"/>
      <c r="JV3" s="30" t="s">
        <v>363</v>
      </c>
      <c r="JW3" s="33" t="s">
        <v>74</v>
      </c>
      <c r="JX3" s="31" t="s">
        <v>368</v>
      </c>
      <c r="JY3" s="33" t="s">
        <v>173</v>
      </c>
      <c r="JZ3" s="33" t="s">
        <v>176</v>
      </c>
      <c r="KA3" s="33" t="s">
        <v>451</v>
      </c>
      <c r="KB3" s="33" t="s">
        <v>451</v>
      </c>
      <c r="KC3" s="31" t="s">
        <v>368</v>
      </c>
      <c r="KD3" s="33" t="s">
        <v>74</v>
      </c>
      <c r="KE3" s="33" t="s">
        <v>176</v>
      </c>
      <c r="KF3" s="33" t="s">
        <v>594</v>
      </c>
      <c r="KG3" s="30" t="s">
        <v>451</v>
      </c>
      <c r="KH3" s="30"/>
      <c r="KI3" s="31" t="s">
        <v>74</v>
      </c>
      <c r="KJ3" s="31" t="s">
        <v>583</v>
      </c>
      <c r="KK3" s="32" t="s">
        <v>164</v>
      </c>
      <c r="KL3" s="32" t="s">
        <v>599</v>
      </c>
      <c r="KM3" s="33" t="s">
        <v>594</v>
      </c>
      <c r="KN3" s="30" t="s">
        <v>592</v>
      </c>
      <c r="KO3" s="33" t="s">
        <v>36</v>
      </c>
      <c r="KP3" s="31" t="s">
        <v>588</v>
      </c>
      <c r="KQ3" s="32" t="s">
        <v>599</v>
      </c>
      <c r="KR3" s="33" t="s">
        <v>586</v>
      </c>
      <c r="KS3" s="30" t="s">
        <v>592</v>
      </c>
      <c r="KT3" s="33" t="s">
        <v>238</v>
      </c>
      <c r="KU3" s="31" t="s">
        <v>597</v>
      </c>
      <c r="KV3" s="36" t="s">
        <v>593</v>
      </c>
      <c r="KW3" s="33" t="s">
        <v>586</v>
      </c>
      <c r="KX3" s="32" t="s">
        <v>583</v>
      </c>
      <c r="KY3" s="33" t="s">
        <v>238</v>
      </c>
      <c r="KZ3" s="30" t="s">
        <v>595</v>
      </c>
      <c r="LA3" s="31" t="s">
        <v>448</v>
      </c>
      <c r="LB3" s="33" t="s">
        <v>598</v>
      </c>
      <c r="LC3" s="33" t="s">
        <v>451</v>
      </c>
      <c r="LD3" s="32" t="s">
        <v>451</v>
      </c>
      <c r="LE3" s="30" t="s">
        <v>595</v>
      </c>
      <c r="LF3" s="33" t="s">
        <v>94</v>
      </c>
      <c r="LG3" s="31" t="s">
        <v>589</v>
      </c>
      <c r="LH3" s="31" t="s">
        <v>593</v>
      </c>
      <c r="LI3" s="33" t="s">
        <v>238</v>
      </c>
      <c r="LJ3" s="33" t="s">
        <v>238</v>
      </c>
      <c r="LK3" s="30" t="s">
        <v>586</v>
      </c>
      <c r="LL3" s="30" t="s">
        <v>124</v>
      </c>
      <c r="LM3" s="33" t="s">
        <v>94</v>
      </c>
      <c r="LN3" s="31" t="s">
        <v>589</v>
      </c>
      <c r="LO3" s="33" t="s">
        <v>79</v>
      </c>
      <c r="LP3" s="33" t="s">
        <v>79</v>
      </c>
      <c r="LQ3" s="30" t="s">
        <v>238</v>
      </c>
      <c r="LR3" s="33" t="s">
        <v>22</v>
      </c>
      <c r="LS3" s="33" t="s">
        <v>589</v>
      </c>
      <c r="LT3" s="33" t="s">
        <v>600</v>
      </c>
      <c r="LU3" s="33" t="s">
        <v>583</v>
      </c>
      <c r="LV3" s="33" t="s">
        <v>583</v>
      </c>
      <c r="LW3" s="30" t="s">
        <v>94</v>
      </c>
      <c r="LX3" s="30" t="s">
        <v>81</v>
      </c>
      <c r="LY3" s="33" t="s">
        <v>22</v>
      </c>
      <c r="LZ3" s="31" t="s">
        <v>601</v>
      </c>
      <c r="MA3" s="33" t="s">
        <v>164</v>
      </c>
      <c r="MB3" s="32" t="s">
        <v>592</v>
      </c>
      <c r="MC3" s="33" t="s">
        <v>597</v>
      </c>
      <c r="MD3" s="33" t="s">
        <v>173</v>
      </c>
      <c r="ME3" s="33" t="s">
        <v>176</v>
      </c>
      <c r="MF3" s="31" t="s">
        <v>46</v>
      </c>
      <c r="MG3" s="32" t="s">
        <v>592</v>
      </c>
      <c r="MH3" s="33" t="s">
        <v>81</v>
      </c>
      <c r="MI3" s="33" t="s">
        <v>173</v>
      </c>
      <c r="MJ3" s="33" t="s">
        <v>583</v>
      </c>
      <c r="MK3" s="33" t="s">
        <v>46</v>
      </c>
      <c r="ML3" s="31" t="s">
        <v>594</v>
      </c>
      <c r="MM3" s="32" t="s">
        <v>33</v>
      </c>
      <c r="MN3" s="33" t="s">
        <v>581</v>
      </c>
      <c r="MO3" s="33" t="s">
        <v>583</v>
      </c>
      <c r="MP3" s="33" t="s">
        <v>583</v>
      </c>
      <c r="MQ3" s="31" t="s">
        <v>596</v>
      </c>
      <c r="MR3" s="31" t="s">
        <v>596</v>
      </c>
      <c r="MS3" s="37" t="s">
        <v>581</v>
      </c>
      <c r="MT3" s="32" t="s">
        <v>363</v>
      </c>
      <c r="MU3" s="30" t="s">
        <v>583</v>
      </c>
      <c r="MV3" s="33" t="s">
        <v>74</v>
      </c>
      <c r="MW3" s="31" t="s">
        <v>596</v>
      </c>
      <c r="MX3" s="31" t="s">
        <v>94</v>
      </c>
      <c r="MY3" s="32" t="s">
        <v>363</v>
      </c>
      <c r="MZ3" s="32" t="s">
        <v>583</v>
      </c>
      <c r="NA3" s="33" t="s">
        <v>22</v>
      </c>
      <c r="NB3" s="33" t="s">
        <v>22</v>
      </c>
      <c r="NC3" s="33" t="s">
        <v>74</v>
      </c>
      <c r="ND3" s="31" t="s">
        <v>368</v>
      </c>
      <c r="NE3" s="32" t="s">
        <v>451</v>
      </c>
      <c r="NF3" s="32" t="s">
        <v>46</v>
      </c>
      <c r="NG3" s="30" t="s">
        <v>585</v>
      </c>
      <c r="NH3" s="33" t="s">
        <v>94</v>
      </c>
      <c r="NI3" s="31" t="s">
        <v>368</v>
      </c>
      <c r="NJ3" s="31" t="s">
        <v>448</v>
      </c>
      <c r="NK3" s="32" t="s">
        <v>46</v>
      </c>
      <c r="NL3" s="32"/>
      <c r="NM3" s="30" t="s">
        <v>94</v>
      </c>
      <c r="NN3" s="30" t="s">
        <v>185</v>
      </c>
      <c r="NO3" s="31"/>
      <c r="NP3" s="31" t="s">
        <v>74</v>
      </c>
      <c r="NQ3" s="32" t="s">
        <v>33</v>
      </c>
      <c r="NR3" s="32" t="s">
        <v>319</v>
      </c>
      <c r="NS3" s="33" t="s">
        <v>300</v>
      </c>
      <c r="NT3" s="30" t="s">
        <v>22</v>
      </c>
      <c r="NU3" s="31" t="s">
        <v>124</v>
      </c>
      <c r="NV3" s="33" t="s">
        <v>41</v>
      </c>
      <c r="NW3" s="32" t="s">
        <v>319</v>
      </c>
      <c r="NX3" s="32" t="s">
        <v>124</v>
      </c>
      <c r="NY3" s="30" t="s">
        <v>22</v>
      </c>
      <c r="NZ3" s="30" t="s">
        <v>238</v>
      </c>
      <c r="OA3" s="31" t="s">
        <v>79</v>
      </c>
      <c r="OB3" s="31"/>
      <c r="OC3" s="32" t="s">
        <v>124</v>
      </c>
      <c r="OD3" s="32" t="s">
        <v>59</v>
      </c>
      <c r="OE3" s="30" t="s">
        <v>176</v>
      </c>
      <c r="OF3" s="30" t="s">
        <v>300</v>
      </c>
      <c r="OG3" s="31" t="s">
        <v>46</v>
      </c>
      <c r="OH3" s="31" t="s">
        <v>79</v>
      </c>
      <c r="OI3" s="32" t="s">
        <v>41</v>
      </c>
      <c r="OJ3" s="32"/>
      <c r="OK3" s="30" t="s">
        <v>300</v>
      </c>
      <c r="OL3" s="30" t="s">
        <v>124</v>
      </c>
      <c r="OM3" s="31" t="s">
        <v>584</v>
      </c>
      <c r="ON3" s="31" t="s">
        <v>41</v>
      </c>
      <c r="OO3" s="32" t="s">
        <v>54</v>
      </c>
      <c r="OP3" s="32"/>
      <c r="OQ3" s="30" t="s">
        <v>124</v>
      </c>
      <c r="OR3" s="30" t="s">
        <v>74</v>
      </c>
      <c r="OS3" s="31"/>
      <c r="OT3" s="31" t="s">
        <v>368</v>
      </c>
      <c r="OU3" s="32"/>
      <c r="OV3" s="32" t="s">
        <v>448</v>
      </c>
      <c r="OW3" s="30"/>
      <c r="OX3" s="30" t="s">
        <v>124</v>
      </c>
      <c r="OY3" s="31" t="s">
        <v>368</v>
      </c>
      <c r="OZ3" s="31"/>
      <c r="PA3" s="32" t="s">
        <v>585</v>
      </c>
      <c r="PB3" s="32" t="s">
        <v>74</v>
      </c>
      <c r="PC3" s="30" t="s">
        <v>124</v>
      </c>
      <c r="PD3" s="30" t="s">
        <v>59</v>
      </c>
      <c r="PE3" s="31"/>
      <c r="PF3" s="31"/>
      <c r="PG3" s="32" t="s">
        <v>74</v>
      </c>
      <c r="PH3" s="32" t="s">
        <v>74</v>
      </c>
      <c r="PI3" s="30"/>
      <c r="PJ3" s="30" t="s">
        <v>94</v>
      </c>
      <c r="PK3" s="31"/>
      <c r="PL3" s="31"/>
      <c r="PM3" s="32" t="s">
        <v>74</v>
      </c>
      <c r="PN3" s="32"/>
      <c r="PO3" s="30" t="s">
        <v>94</v>
      </c>
      <c r="PP3" s="30" t="s">
        <v>54</v>
      </c>
      <c r="PQ3" s="31" t="s">
        <v>79</v>
      </c>
      <c r="PR3" s="31" t="s">
        <v>124</v>
      </c>
      <c r="PS3" s="32"/>
      <c r="PT3" s="32"/>
      <c r="PU3" s="30"/>
      <c r="PV3" s="30" t="s">
        <v>59</v>
      </c>
      <c r="PW3" s="31"/>
      <c r="PX3" s="31" t="s">
        <v>74</v>
      </c>
      <c r="PY3" s="32" t="s">
        <v>54</v>
      </c>
      <c r="PZ3" s="32" t="s">
        <v>79</v>
      </c>
      <c r="QA3" s="30" t="s">
        <v>59</v>
      </c>
      <c r="QB3" s="30"/>
      <c r="QC3" s="31" t="s">
        <v>74</v>
      </c>
      <c r="QD3" s="31"/>
      <c r="QE3" s="32" t="s">
        <v>79</v>
      </c>
      <c r="QF3" s="32" t="s">
        <v>36</v>
      </c>
      <c r="QG3" s="30"/>
      <c r="QH3" s="30"/>
      <c r="QI3" s="31"/>
      <c r="QJ3" s="31" t="s">
        <v>81</v>
      </c>
      <c r="QK3" s="32" t="s">
        <v>94</v>
      </c>
      <c r="QL3" s="32" t="s">
        <v>314</v>
      </c>
      <c r="QM3" s="30" t="s">
        <v>33</v>
      </c>
      <c r="QN3" s="30" t="s">
        <v>33</v>
      </c>
      <c r="QO3" s="31" t="s">
        <v>81</v>
      </c>
      <c r="QP3" s="31" t="s">
        <v>584</v>
      </c>
      <c r="QQ3" s="32" t="s">
        <v>33</v>
      </c>
      <c r="QR3" s="34" t="s">
        <v>594</v>
      </c>
      <c r="QS3" s="30" t="s">
        <v>363</v>
      </c>
      <c r="QT3" s="30"/>
      <c r="QU3" s="31" t="s">
        <v>94</v>
      </c>
      <c r="QV3" s="31" t="s">
        <v>124</v>
      </c>
      <c r="QW3" s="32" t="s">
        <v>594</v>
      </c>
      <c r="QX3" s="38" t="s">
        <v>597</v>
      </c>
      <c r="QY3" s="30"/>
      <c r="QZ3" s="30" t="s">
        <v>22</v>
      </c>
      <c r="RA3" s="31" t="s">
        <v>448</v>
      </c>
      <c r="RB3" s="31" t="s">
        <v>64</v>
      </c>
      <c r="RC3" s="32" t="s">
        <v>584</v>
      </c>
      <c r="RD3" s="32" t="s">
        <v>79</v>
      </c>
      <c r="RE3" s="30" t="s">
        <v>22</v>
      </c>
      <c r="RF3" s="30" t="s">
        <v>74</v>
      </c>
      <c r="RG3" s="31"/>
      <c r="RH3" s="31" t="s">
        <v>389</v>
      </c>
      <c r="RI3" s="34" t="s">
        <v>124</v>
      </c>
      <c r="RJ3" s="32" t="s">
        <v>584</v>
      </c>
      <c r="RK3" s="30"/>
      <c r="RL3" s="30" t="s">
        <v>368</v>
      </c>
      <c r="RM3" s="31" t="s">
        <v>79</v>
      </c>
      <c r="RN3" s="31" t="s">
        <v>581</v>
      </c>
      <c r="RO3" s="32" t="s">
        <v>389</v>
      </c>
      <c r="RP3" s="32" t="s">
        <v>79</v>
      </c>
      <c r="RQ3" s="30" t="s">
        <v>33</v>
      </c>
      <c r="RR3" s="33" t="s">
        <v>584</v>
      </c>
      <c r="RS3" s="31" t="s">
        <v>581</v>
      </c>
      <c r="RT3" s="31" t="s">
        <v>586</v>
      </c>
      <c r="RU3" s="32" t="s">
        <v>46</v>
      </c>
      <c r="RV3" s="32"/>
      <c r="RW3" s="30" t="s">
        <v>583</v>
      </c>
      <c r="RX3" s="30" t="s">
        <v>46</v>
      </c>
      <c r="RY3" s="31"/>
      <c r="RZ3" s="31" t="s">
        <v>583</v>
      </c>
      <c r="SA3" s="33" t="s">
        <v>164</v>
      </c>
      <c r="SB3" s="32" t="s">
        <v>368</v>
      </c>
      <c r="SC3" s="30" t="s">
        <v>59</v>
      </c>
      <c r="SD3" s="30" t="s">
        <v>185</v>
      </c>
      <c r="SE3" s="31" t="s">
        <v>124</v>
      </c>
      <c r="SF3" s="31"/>
      <c r="SG3" s="32" t="s">
        <v>185</v>
      </c>
      <c r="SH3" s="32" t="s">
        <v>74</v>
      </c>
      <c r="SI3" s="30"/>
      <c r="SJ3" s="30"/>
      <c r="SK3" s="30" t="s">
        <v>363</v>
      </c>
      <c r="SL3" s="31"/>
      <c r="SM3" s="31" t="s">
        <v>64</v>
      </c>
      <c r="SN3" s="32"/>
      <c r="SO3" s="32" t="s">
        <v>36</v>
      </c>
      <c r="SP3" s="33" t="s">
        <v>587</v>
      </c>
      <c r="SQ3" s="30" t="s">
        <v>602</v>
      </c>
      <c r="SR3" s="31" t="s">
        <v>86</v>
      </c>
      <c r="SS3" s="31" t="s">
        <v>588</v>
      </c>
      <c r="ST3" s="32" t="s">
        <v>602</v>
      </c>
      <c r="SU3" s="32"/>
      <c r="SV3" s="30" t="s">
        <v>587</v>
      </c>
      <c r="SW3" s="30" t="s">
        <v>300</v>
      </c>
      <c r="SX3" s="31" t="s">
        <v>584</v>
      </c>
      <c r="SY3" s="31" t="s">
        <v>176</v>
      </c>
      <c r="SZ3" s="32" t="s">
        <v>583</v>
      </c>
      <c r="TA3" s="32" t="s">
        <v>389</v>
      </c>
      <c r="TB3" s="30" t="s">
        <v>581</v>
      </c>
      <c r="TC3" s="30" t="s">
        <v>36</v>
      </c>
      <c r="TD3" s="31" t="s">
        <v>59</v>
      </c>
      <c r="TE3" s="31" t="s">
        <v>602</v>
      </c>
      <c r="TF3" s="33" t="s">
        <v>588</v>
      </c>
      <c r="TG3" s="32" t="s">
        <v>451</v>
      </c>
      <c r="TH3" s="30" t="s">
        <v>602</v>
      </c>
      <c r="TI3" s="33" t="s">
        <v>389</v>
      </c>
      <c r="TJ3" s="31" t="s">
        <v>33</v>
      </c>
      <c r="TK3" s="31" t="s">
        <v>300</v>
      </c>
      <c r="TL3" s="32" t="s">
        <v>176</v>
      </c>
      <c r="TM3" s="32" t="s">
        <v>589</v>
      </c>
      <c r="TN3" s="33" t="s">
        <v>451</v>
      </c>
      <c r="TO3" s="30" t="s">
        <v>238</v>
      </c>
      <c r="TP3" s="33" t="s">
        <v>86</v>
      </c>
      <c r="TQ3" s="31" t="s">
        <v>592</v>
      </c>
      <c r="TR3" s="32" t="s">
        <v>176</v>
      </c>
      <c r="TS3" s="33" t="s">
        <v>588</v>
      </c>
      <c r="TT3" s="33" t="s">
        <v>81</v>
      </c>
      <c r="TU3" s="33" t="s">
        <v>185</v>
      </c>
      <c r="TV3" s="31" t="s">
        <v>592</v>
      </c>
      <c r="TW3" s="31" t="s">
        <v>54</v>
      </c>
      <c r="TX3" s="32" t="s">
        <v>176</v>
      </c>
      <c r="TY3" s="32" t="s">
        <v>74</v>
      </c>
      <c r="TZ3" s="30" t="s">
        <v>86</v>
      </c>
      <c r="UA3" s="30"/>
      <c r="UB3" s="31" t="s">
        <v>289</v>
      </c>
      <c r="UC3" s="31" t="s">
        <v>389</v>
      </c>
      <c r="UD3" s="32"/>
      <c r="UE3" s="32" t="s">
        <v>79</v>
      </c>
      <c r="UF3" s="30" t="s">
        <v>102</v>
      </c>
      <c r="UG3" s="30" t="s">
        <v>59</v>
      </c>
      <c r="UH3" s="33" t="s">
        <v>74</v>
      </c>
      <c r="UI3" s="36" t="s">
        <v>81</v>
      </c>
      <c r="UJ3" s="32" t="s">
        <v>588</v>
      </c>
      <c r="UK3" s="33" t="s">
        <v>79</v>
      </c>
      <c r="UL3" s="30" t="s">
        <v>36</v>
      </c>
      <c r="UM3" s="30" t="s">
        <v>300</v>
      </c>
      <c r="UN3" s="31"/>
      <c r="UO3" s="31" t="s">
        <v>587</v>
      </c>
      <c r="UP3" s="32"/>
      <c r="UQ3" s="32" t="s">
        <v>584</v>
      </c>
      <c r="UR3" s="33" t="s">
        <v>79</v>
      </c>
      <c r="US3" s="30" t="s">
        <v>164</v>
      </c>
      <c r="UT3" s="31" t="s">
        <v>22</v>
      </c>
      <c r="UU3" s="33" t="s">
        <v>300</v>
      </c>
      <c r="UV3" s="32" t="s">
        <v>587</v>
      </c>
      <c r="UW3" s="32" t="s">
        <v>314</v>
      </c>
      <c r="UX3" s="30" t="s">
        <v>164</v>
      </c>
      <c r="UY3" s="30" t="s">
        <v>588</v>
      </c>
      <c r="UZ3" s="31" t="s">
        <v>54</v>
      </c>
      <c r="VA3" s="31" t="s">
        <v>46</v>
      </c>
      <c r="VB3" s="32" t="s">
        <v>603</v>
      </c>
      <c r="VC3" s="32"/>
      <c r="VD3" s="30"/>
      <c r="VE3" s="30" t="s">
        <v>368</v>
      </c>
      <c r="VF3" s="33" t="s">
        <v>46</v>
      </c>
      <c r="VG3" s="31" t="s">
        <v>41</v>
      </c>
      <c r="VH3" s="33" t="s">
        <v>588</v>
      </c>
      <c r="VI3" s="33" t="s">
        <v>588</v>
      </c>
      <c r="VJ3" s="30" t="s">
        <v>86</v>
      </c>
      <c r="VK3" s="30" t="s">
        <v>583</v>
      </c>
      <c r="VL3" s="33" t="s">
        <v>41</v>
      </c>
      <c r="VM3" s="33" t="s">
        <v>271</v>
      </c>
      <c r="VN3" s="32" t="s">
        <v>124</v>
      </c>
      <c r="VO3" s="32" t="s">
        <v>46</v>
      </c>
      <c r="VP3" s="30" t="s">
        <v>33</v>
      </c>
      <c r="VQ3" s="30"/>
      <c r="VR3" s="31" t="s">
        <v>271</v>
      </c>
      <c r="VS3" s="31"/>
      <c r="VT3" s="32" t="s">
        <v>583</v>
      </c>
      <c r="VU3" s="32" t="s">
        <v>584</v>
      </c>
      <c r="VV3" s="30" t="s">
        <v>46</v>
      </c>
      <c r="VW3" s="30" t="s">
        <v>602</v>
      </c>
      <c r="VX3" s="31" t="s">
        <v>185</v>
      </c>
      <c r="VY3" s="31" t="s">
        <v>368</v>
      </c>
      <c r="VZ3" s="32" t="s">
        <v>59</v>
      </c>
      <c r="WA3" s="33" t="s">
        <v>79</v>
      </c>
      <c r="WB3" s="30" t="s">
        <v>588</v>
      </c>
      <c r="WC3" s="30" t="s">
        <v>79</v>
      </c>
      <c r="WD3" s="31" t="s">
        <v>368</v>
      </c>
      <c r="WE3" s="31"/>
      <c r="WF3" s="39" t="s">
        <v>448</v>
      </c>
      <c r="WG3" s="32" t="s">
        <v>583</v>
      </c>
      <c r="WH3" s="30" t="s">
        <v>79</v>
      </c>
      <c r="WI3" s="30" t="s">
        <v>185</v>
      </c>
      <c r="WJ3" s="31" t="s">
        <v>94</v>
      </c>
      <c r="WK3" s="31" t="s">
        <v>164</v>
      </c>
      <c r="WL3" s="32" t="s">
        <v>124</v>
      </c>
      <c r="WM3" s="39" t="s">
        <v>86</v>
      </c>
      <c r="WN3" s="30" t="s">
        <v>583</v>
      </c>
      <c r="WO3" s="30"/>
      <c r="WP3" s="33" t="s">
        <v>94</v>
      </c>
      <c r="WQ3" s="33" t="s">
        <v>94</v>
      </c>
      <c r="WR3" s="39" t="s">
        <v>86</v>
      </c>
      <c r="WS3" s="32"/>
      <c r="WT3" s="30" t="s">
        <v>451</v>
      </c>
      <c r="WU3" s="30" t="s">
        <v>74</v>
      </c>
      <c r="WV3" s="31"/>
      <c r="WW3" s="31" t="s">
        <v>124</v>
      </c>
      <c r="WX3" s="32" t="s">
        <v>94</v>
      </c>
      <c r="WY3" s="32" t="s">
        <v>389</v>
      </c>
      <c r="WZ3" s="33" t="s">
        <v>46</v>
      </c>
      <c r="XA3" s="33" t="s">
        <v>46</v>
      </c>
      <c r="XB3" s="31" t="s">
        <v>74</v>
      </c>
      <c r="XC3" s="31"/>
      <c r="XD3" s="32" t="s">
        <v>389</v>
      </c>
      <c r="XE3" s="32"/>
      <c r="XF3" s="30" t="s">
        <v>46</v>
      </c>
      <c r="XG3" s="30"/>
      <c r="XH3" s="31"/>
      <c r="XI3" s="31"/>
      <c r="XJ3" s="32" t="s">
        <v>124</v>
      </c>
      <c r="XK3" s="32" t="s">
        <v>79</v>
      </c>
      <c r="XL3" s="30"/>
      <c r="XM3" s="30"/>
      <c r="XN3" s="33" t="s">
        <v>46</v>
      </c>
      <c r="XO3" s="33" t="s">
        <v>46</v>
      </c>
      <c r="XP3" s="32" t="s">
        <v>79</v>
      </c>
      <c r="XQ3" s="32"/>
      <c r="XR3" s="30" t="s">
        <v>86</v>
      </c>
      <c r="XS3" s="30"/>
      <c r="XT3" s="31"/>
      <c r="XU3" s="31"/>
      <c r="XV3" s="32"/>
      <c r="XW3" s="32" t="s">
        <v>74</v>
      </c>
      <c r="XX3" s="30"/>
      <c r="XY3" s="30" t="s">
        <v>271</v>
      </c>
      <c r="XZ3" s="31" t="s">
        <v>46</v>
      </c>
      <c r="YA3" s="31" t="s">
        <v>36</v>
      </c>
      <c r="YB3" s="32"/>
      <c r="YC3" s="32" t="s">
        <v>54</v>
      </c>
      <c r="YD3" s="30" t="s">
        <v>271</v>
      </c>
      <c r="YE3" s="30"/>
      <c r="YF3" s="31" t="s">
        <v>54</v>
      </c>
      <c r="YG3" s="31"/>
      <c r="YH3" s="32"/>
      <c r="YI3" s="32"/>
      <c r="YJ3" s="30" t="s">
        <v>59</v>
      </c>
      <c r="YK3" s="30" t="s">
        <v>46</v>
      </c>
      <c r="YL3" s="31"/>
      <c r="YM3" s="31"/>
      <c r="YN3" s="32"/>
      <c r="YO3" s="32" t="s">
        <v>601</v>
      </c>
      <c r="YP3" s="30" t="s">
        <v>46</v>
      </c>
      <c r="YQ3" s="30"/>
      <c r="YR3" s="31" t="s">
        <v>124</v>
      </c>
      <c r="YS3" s="40" t="s">
        <v>584</v>
      </c>
      <c r="YT3" s="32" t="s">
        <v>601</v>
      </c>
      <c r="YU3" s="32"/>
      <c r="YV3" s="41" t="s">
        <v>604</v>
      </c>
      <c r="YW3" s="30"/>
      <c r="YX3" s="31" t="s">
        <v>86</v>
      </c>
      <c r="YY3" s="31"/>
      <c r="YZ3" s="32"/>
      <c r="ZA3" s="32"/>
      <c r="ZB3" s="30" t="s">
        <v>173</v>
      </c>
      <c r="ZC3" s="30"/>
      <c r="ZD3" s="31"/>
      <c r="ZE3" s="31"/>
      <c r="ZF3" s="32"/>
      <c r="ZG3" s="32"/>
      <c r="ZH3" s="30"/>
      <c r="ZI3" s="41" t="s">
        <v>327</v>
      </c>
      <c r="ZJ3" s="31"/>
      <c r="ZK3" s="31"/>
      <c r="ZL3" s="32"/>
      <c r="ZM3" s="32"/>
      <c r="ZN3" s="30"/>
      <c r="ZO3" s="30" t="s">
        <v>36</v>
      </c>
      <c r="ZP3" s="40" t="s">
        <v>327</v>
      </c>
      <c r="ZQ3" s="31"/>
      <c r="ZR3" s="32"/>
      <c r="ZS3" s="32"/>
      <c r="ZT3" s="30" t="s">
        <v>36</v>
      </c>
      <c r="ZU3" s="30"/>
      <c r="ZV3" s="31"/>
      <c r="ZW3" s="31"/>
      <c r="ZX3" s="32"/>
      <c r="ZY3" s="32"/>
      <c r="ZZ3" s="30"/>
      <c r="AAA3" s="30" t="s">
        <v>54</v>
      </c>
      <c r="AAB3" s="31"/>
      <c r="AAC3" s="31"/>
      <c r="AAD3" s="32"/>
      <c r="AAE3" s="32" t="s">
        <v>86</v>
      </c>
      <c r="AAF3" s="30"/>
      <c r="AAG3" s="30" t="s">
        <v>596</v>
      </c>
      <c r="AAH3" s="33" t="s">
        <v>54</v>
      </c>
      <c r="AAI3" s="33" t="s">
        <v>54</v>
      </c>
      <c r="AAJ3" s="32" t="s">
        <v>86</v>
      </c>
      <c r="AAK3" s="32" t="s">
        <v>176</v>
      </c>
      <c r="AAL3" s="33" t="s">
        <v>596</v>
      </c>
      <c r="AAM3" s="30" t="s">
        <v>368</v>
      </c>
      <c r="AAN3" s="31"/>
      <c r="AAO3" s="31" t="s">
        <v>314</v>
      </c>
      <c r="AAP3" s="33" t="s">
        <v>164</v>
      </c>
      <c r="AAQ3" s="32" t="s">
        <v>448</v>
      </c>
      <c r="AAR3" s="33" t="s">
        <v>176</v>
      </c>
      <c r="AAS3" s="30" t="s">
        <v>86</v>
      </c>
      <c r="AAT3" s="33" t="s">
        <v>36</v>
      </c>
      <c r="AAU3" s="33" t="s">
        <v>36</v>
      </c>
      <c r="AAV3" s="32" t="s">
        <v>448</v>
      </c>
      <c r="AAW3" s="33" t="s">
        <v>271</v>
      </c>
      <c r="AAX3" s="30" t="s">
        <v>86</v>
      </c>
      <c r="AAY3" s="30"/>
      <c r="AAZ3" s="31" t="s">
        <v>124</v>
      </c>
      <c r="ABA3" s="31"/>
      <c r="ABB3" s="32" t="s">
        <v>601</v>
      </c>
      <c r="ABC3" s="32"/>
      <c r="ABD3" s="30"/>
      <c r="ABE3" s="30"/>
      <c r="ABF3" s="31" t="s">
        <v>289</v>
      </c>
      <c r="ABG3" s="31" t="s">
        <v>164</v>
      </c>
      <c r="ABH3" s="33" t="s">
        <v>173</v>
      </c>
      <c r="ABI3" s="32" t="s">
        <v>300</v>
      </c>
      <c r="ABJ3" s="30"/>
      <c r="ABK3" s="30" t="s">
        <v>54</v>
      </c>
      <c r="ABL3" s="31"/>
      <c r="ABM3" s="31" t="s">
        <v>36</v>
      </c>
      <c r="ABN3" s="32"/>
      <c r="ABO3" s="32" t="s">
        <v>583</v>
      </c>
      <c r="ABP3" s="33" t="s">
        <v>164</v>
      </c>
      <c r="ABQ3" s="30" t="s">
        <v>59</v>
      </c>
      <c r="ABR3" s="31"/>
      <c r="ABS3" s="31" t="s">
        <v>86</v>
      </c>
      <c r="ABT3" s="33" t="s">
        <v>185</v>
      </c>
      <c r="ABU3" s="33" t="s">
        <v>185</v>
      </c>
      <c r="ABV3" s="30"/>
      <c r="ABW3" s="30"/>
      <c r="ABX3" s="31" t="s">
        <v>314</v>
      </c>
      <c r="ABY3" s="31"/>
      <c r="ABZ3" s="32" t="s">
        <v>54</v>
      </c>
      <c r="ACA3" s="32" t="s">
        <v>314</v>
      </c>
      <c r="ACB3" s="30"/>
      <c r="ACC3" s="30"/>
      <c r="ACD3" s="31"/>
      <c r="ACE3" s="31" t="s">
        <v>59</v>
      </c>
      <c r="ACF3" s="33" t="s">
        <v>588</v>
      </c>
      <c r="ACG3" s="32" t="s">
        <v>227</v>
      </c>
      <c r="ACH3" s="33" t="s">
        <v>86</v>
      </c>
      <c r="ACI3" s="33" t="s">
        <v>86</v>
      </c>
      <c r="ACJ3" s="31" t="s">
        <v>300</v>
      </c>
      <c r="ACK3" s="33" t="s">
        <v>319</v>
      </c>
      <c r="ACL3" s="33" t="s">
        <v>59</v>
      </c>
      <c r="ACM3" s="39" t="s">
        <v>102</v>
      </c>
      <c r="ACN3" s="30" t="s">
        <v>54</v>
      </c>
      <c r="ACO3" s="36" t="s">
        <v>605</v>
      </c>
      <c r="ACP3" s="31"/>
      <c r="ACQ3" s="31"/>
      <c r="ACR3" s="32" t="s">
        <v>227</v>
      </c>
      <c r="ACS3" s="32"/>
      <c r="ACT3" s="30" t="s">
        <v>94</v>
      </c>
      <c r="ACU3" s="30" t="s">
        <v>36</v>
      </c>
      <c r="ACV3" s="31" t="s">
        <v>86</v>
      </c>
      <c r="ACW3" s="31" t="s">
        <v>94</v>
      </c>
      <c r="ACX3" s="32" t="s">
        <v>319</v>
      </c>
      <c r="ACY3" s="32"/>
      <c r="ACZ3" s="30" t="s">
        <v>33</v>
      </c>
      <c r="ADA3" s="30" t="s">
        <v>451</v>
      </c>
      <c r="ADB3" s="33" t="s">
        <v>94</v>
      </c>
      <c r="ADC3" s="33" t="s">
        <v>94</v>
      </c>
      <c r="ADD3" s="32"/>
      <c r="ADE3" s="32" t="s">
        <v>583</v>
      </c>
      <c r="ADF3" s="30" t="s">
        <v>59</v>
      </c>
      <c r="ADG3" s="30" t="s">
        <v>227</v>
      </c>
      <c r="ADH3" s="31"/>
      <c r="ADI3" s="31" t="s">
        <v>59</v>
      </c>
      <c r="ADJ3" s="33" t="s">
        <v>94</v>
      </c>
      <c r="ADK3" s="33" t="s">
        <v>94</v>
      </c>
      <c r="ADL3" s="33" t="s">
        <v>33</v>
      </c>
      <c r="ADM3" s="30" t="s">
        <v>86</v>
      </c>
      <c r="ADN3" s="33" t="s">
        <v>227</v>
      </c>
      <c r="ADO3" s="33" t="s">
        <v>227</v>
      </c>
      <c r="ADP3" s="32" t="s">
        <v>94</v>
      </c>
      <c r="ADQ3" s="33" t="s">
        <v>587</v>
      </c>
      <c r="ADR3" s="30" t="s">
        <v>86</v>
      </c>
      <c r="ADS3" s="30" t="s">
        <v>587</v>
      </c>
      <c r="ADT3" s="33" t="s">
        <v>33</v>
      </c>
      <c r="ADU3" s="33" t="s">
        <v>33</v>
      </c>
      <c r="ADV3" s="32" t="s">
        <v>588</v>
      </c>
      <c r="ADW3" s="32" t="s">
        <v>94</v>
      </c>
      <c r="ADX3" s="30" t="s">
        <v>102</v>
      </c>
      <c r="ADY3" s="41" t="s">
        <v>81</v>
      </c>
      <c r="ADZ3" s="31" t="s">
        <v>33</v>
      </c>
      <c r="AEA3" s="31"/>
      <c r="AEB3" s="32" t="s">
        <v>94</v>
      </c>
      <c r="AEC3" s="32" t="s">
        <v>33</v>
      </c>
      <c r="AED3" s="41" t="s">
        <v>79</v>
      </c>
      <c r="AEE3" s="30"/>
      <c r="AEF3" s="31"/>
      <c r="AEG3" s="31" t="s">
        <v>94</v>
      </c>
      <c r="AEH3" s="32"/>
      <c r="AEI3" s="32"/>
      <c r="AEJ3" s="33" t="s">
        <v>451</v>
      </c>
      <c r="AEK3" s="30" t="s">
        <v>46</v>
      </c>
      <c r="AEL3" s="31" t="s">
        <v>33</v>
      </c>
      <c r="AEM3" s="31"/>
      <c r="AEN3" s="32"/>
      <c r="AEO3" s="32" t="s">
        <v>33</v>
      </c>
      <c r="AEP3" s="30" t="s">
        <v>46</v>
      </c>
      <c r="AEQ3" s="30" t="s">
        <v>606</v>
      </c>
      <c r="AER3" s="31" t="s">
        <v>319</v>
      </c>
      <c r="AES3" s="33" t="s">
        <v>588</v>
      </c>
      <c r="AET3" s="33" t="s">
        <v>33</v>
      </c>
      <c r="AEU3" s="32" t="s">
        <v>319</v>
      </c>
      <c r="AEV3" s="33" t="s">
        <v>227</v>
      </c>
      <c r="AEW3" s="30" t="s">
        <v>69</v>
      </c>
      <c r="AEX3" s="31"/>
      <c r="AEY3" s="31" t="s">
        <v>583</v>
      </c>
      <c r="AEZ3" s="32" t="s">
        <v>601</v>
      </c>
      <c r="AFA3" s="32"/>
      <c r="AFB3" s="30" t="s">
        <v>69</v>
      </c>
      <c r="AFC3" s="30" t="s">
        <v>227</v>
      </c>
      <c r="AFD3" s="31" t="s">
        <v>583</v>
      </c>
      <c r="AFE3" s="33" t="s">
        <v>606</v>
      </c>
      <c r="AFF3" s="39" t="s">
        <v>300</v>
      </c>
      <c r="AFG3" s="32" t="s">
        <v>368</v>
      </c>
      <c r="AFH3" s="30" t="s">
        <v>587</v>
      </c>
      <c r="AFI3" s="30"/>
      <c r="AFJ3" s="31" t="s">
        <v>314</v>
      </c>
      <c r="AFK3" s="31" t="s">
        <v>587</v>
      </c>
      <c r="AFL3" s="32"/>
      <c r="AFM3" s="32" t="s">
        <v>69</v>
      </c>
      <c r="AFN3" s="30"/>
      <c r="AFO3" s="30" t="s">
        <v>46</v>
      </c>
      <c r="AFP3" s="31"/>
      <c r="AFQ3" s="31"/>
      <c r="AFR3" s="33" t="s">
        <v>69</v>
      </c>
      <c r="AFS3" s="33" t="s">
        <v>69</v>
      </c>
      <c r="AFT3" s="30" t="s">
        <v>46</v>
      </c>
      <c r="AFU3" s="33" t="s">
        <v>59</v>
      </c>
      <c r="AFV3" s="31"/>
      <c r="AFW3" s="31"/>
      <c r="AFX3" s="32"/>
      <c r="AFY3" s="32"/>
      <c r="AFZ3" s="30" t="s">
        <v>606</v>
      </c>
      <c r="AGA3" s="30" t="s">
        <v>33</v>
      </c>
      <c r="AGB3" s="33" t="s">
        <v>59</v>
      </c>
      <c r="AGC3" s="33" t="s">
        <v>59</v>
      </c>
      <c r="AGD3" s="32" t="s">
        <v>102</v>
      </c>
      <c r="AGE3" s="32"/>
      <c r="AGF3" s="30" t="s">
        <v>33</v>
      </c>
      <c r="AGG3" s="41" t="s">
        <v>592</v>
      </c>
      <c r="AGH3" s="33" t="s">
        <v>94</v>
      </c>
      <c r="AGI3" s="33" t="s">
        <v>94</v>
      </c>
      <c r="AGJ3" s="32"/>
      <c r="AGK3" s="32"/>
      <c r="AGL3" s="33" t="s">
        <v>59</v>
      </c>
      <c r="AGM3" s="33" t="s">
        <v>59</v>
      </c>
      <c r="AGN3" s="31" t="s">
        <v>606</v>
      </c>
      <c r="AGO3" s="31" t="s">
        <v>69</v>
      </c>
      <c r="AGP3" s="32" t="s">
        <v>94</v>
      </c>
      <c r="AGQ3" s="32" t="s">
        <v>173</v>
      </c>
      <c r="AGR3" s="30" t="s">
        <v>59</v>
      </c>
      <c r="AGS3" s="30" t="s">
        <v>74</v>
      </c>
      <c r="AGT3" s="33" t="s">
        <v>69</v>
      </c>
      <c r="AGU3" s="31" t="s">
        <v>36</v>
      </c>
      <c r="AGV3" s="32" t="s">
        <v>587</v>
      </c>
      <c r="AGW3" s="32" t="s">
        <v>33</v>
      </c>
      <c r="AGX3" s="30"/>
      <c r="AGY3" s="30" t="s">
        <v>583</v>
      </c>
      <c r="AGZ3" s="31" t="s">
        <v>36</v>
      </c>
      <c r="AHA3" s="31" t="s">
        <v>587</v>
      </c>
      <c r="AHB3" s="32" t="s">
        <v>33</v>
      </c>
      <c r="AHC3" s="33" t="s">
        <v>74</v>
      </c>
      <c r="AHD3" s="33" t="s">
        <v>583</v>
      </c>
      <c r="AHE3" s="33" t="s">
        <v>94</v>
      </c>
      <c r="AHF3" s="31" t="s">
        <v>69</v>
      </c>
      <c r="AHG3" s="33" t="s">
        <v>601</v>
      </c>
      <c r="AHH3" s="33" t="s">
        <v>74</v>
      </c>
      <c r="AHI3" s="33" t="s">
        <v>74</v>
      </c>
      <c r="AHJ3" s="30" t="s">
        <v>94</v>
      </c>
      <c r="AHK3" s="30" t="s">
        <v>86</v>
      </c>
      <c r="AHL3" s="31" t="s">
        <v>601</v>
      </c>
      <c r="AHM3" s="31" t="s">
        <v>94</v>
      </c>
      <c r="AHN3" s="32" t="s">
        <v>587</v>
      </c>
      <c r="AHO3" s="33" t="s">
        <v>41</v>
      </c>
      <c r="AHP3" s="30" t="s">
        <v>54</v>
      </c>
      <c r="AHQ3" s="30" t="s">
        <v>587</v>
      </c>
      <c r="AHR3" s="31" t="s">
        <v>94</v>
      </c>
      <c r="AHS3" s="31"/>
      <c r="AHT3" s="33" t="s">
        <v>33</v>
      </c>
      <c r="AHU3" s="32" t="s">
        <v>583</v>
      </c>
      <c r="AHV3" s="30" t="s">
        <v>327</v>
      </c>
      <c r="AHW3" s="30" t="s">
        <v>86</v>
      </c>
      <c r="AHX3" s="31" t="s">
        <v>601</v>
      </c>
      <c r="AHY3" s="31" t="s">
        <v>327</v>
      </c>
      <c r="AHZ3" s="32" t="s">
        <v>173</v>
      </c>
      <c r="AIA3" s="39" t="s">
        <v>102</v>
      </c>
      <c r="AIB3" s="30" t="s">
        <v>587</v>
      </c>
      <c r="AIC3" s="30"/>
      <c r="AID3" s="31"/>
      <c r="AIE3" s="31"/>
      <c r="AIF3" s="32"/>
      <c r="AIG3" s="32"/>
      <c r="AIH3" s="30" t="s">
        <v>176</v>
      </c>
      <c r="AII3" s="30" t="s">
        <v>606</v>
      </c>
      <c r="AIJ3" s="31" t="s">
        <v>94</v>
      </c>
      <c r="AIK3" s="31"/>
      <c r="AIL3" s="32" t="s">
        <v>583</v>
      </c>
      <c r="AIM3" s="32" t="s">
        <v>319</v>
      </c>
      <c r="AIN3" s="30" t="s">
        <v>327</v>
      </c>
      <c r="AIO3" s="30" t="s">
        <v>59</v>
      </c>
      <c r="AIP3" s="40" t="s">
        <v>124</v>
      </c>
      <c r="AIQ3" s="31" t="s">
        <v>451</v>
      </c>
      <c r="AIR3" s="32"/>
      <c r="AIS3" s="32" t="s">
        <v>69</v>
      </c>
      <c r="AIT3" s="30" t="s">
        <v>46</v>
      </c>
      <c r="AIU3" s="30" t="s">
        <v>176</v>
      </c>
      <c r="AIV3" s="31"/>
      <c r="AIW3" s="31" t="s">
        <v>173</v>
      </c>
      <c r="AIX3" s="32" t="s">
        <v>69</v>
      </c>
      <c r="AIY3" s="33" t="s">
        <v>606</v>
      </c>
      <c r="AIZ3" s="30" t="s">
        <v>601</v>
      </c>
      <c r="AJA3" s="41" t="s">
        <v>69</v>
      </c>
      <c r="AJB3" s="31" t="s">
        <v>176</v>
      </c>
      <c r="AJC3" s="31"/>
      <c r="AJD3" s="39" t="s">
        <v>69</v>
      </c>
      <c r="AJE3" s="32" t="s">
        <v>587</v>
      </c>
      <c r="AJF3" s="30"/>
      <c r="AJG3" s="30" t="s">
        <v>176</v>
      </c>
      <c r="AJH3" s="31" t="s">
        <v>94</v>
      </c>
      <c r="AJI3" s="31"/>
      <c r="AJJ3" s="32" t="s">
        <v>74</v>
      </c>
      <c r="AJK3" s="39"/>
      <c r="AJL3" s="30" t="s">
        <v>319</v>
      </c>
      <c r="AJM3" s="30"/>
      <c r="AJN3" s="31" t="s">
        <v>587</v>
      </c>
      <c r="AJO3" s="40" t="s">
        <v>205</v>
      </c>
      <c r="AJP3" s="32"/>
      <c r="AJQ3" s="32"/>
      <c r="AJR3" s="30"/>
      <c r="AJS3" s="30" t="s">
        <v>588</v>
      </c>
      <c r="AJT3" s="31"/>
      <c r="AJU3" s="31" t="s">
        <v>327</v>
      </c>
      <c r="AJV3" s="32" t="s">
        <v>41</v>
      </c>
      <c r="AJW3" s="32"/>
      <c r="AJX3" s="33" t="s">
        <v>238</v>
      </c>
      <c r="AJY3" s="33" t="s">
        <v>238</v>
      </c>
      <c r="AJZ3" s="31" t="s">
        <v>327</v>
      </c>
      <c r="AKA3" s="31" t="s">
        <v>46</v>
      </c>
      <c r="AKB3" s="33" t="s">
        <v>94</v>
      </c>
      <c r="AKC3" s="32" t="s">
        <v>164</v>
      </c>
      <c r="AKD3" s="30"/>
      <c r="AKE3" s="30"/>
      <c r="AKF3" s="31" t="s">
        <v>176</v>
      </c>
      <c r="AKG3" s="31" t="s">
        <v>448</v>
      </c>
      <c r="AKH3" s="33" t="s">
        <v>86</v>
      </c>
      <c r="AKI3" s="33" t="s">
        <v>86</v>
      </c>
      <c r="AKJ3" s="33" t="s">
        <v>164</v>
      </c>
      <c r="AKK3" s="30" t="s">
        <v>601</v>
      </c>
      <c r="AKL3" s="31" t="s">
        <v>587</v>
      </c>
      <c r="AKM3" s="31" t="s">
        <v>588</v>
      </c>
      <c r="AKN3" s="32" t="s">
        <v>300</v>
      </c>
      <c r="AKO3" s="32"/>
      <c r="AKP3" s="30" t="s">
        <v>601</v>
      </c>
      <c r="AKQ3" s="33" t="s">
        <v>94</v>
      </c>
      <c r="AKR3" s="31" t="s">
        <v>164</v>
      </c>
      <c r="AKS3" s="31" t="s">
        <v>448</v>
      </c>
      <c r="AKT3" s="33" t="s">
        <v>319</v>
      </c>
      <c r="AKU3" s="32" t="s">
        <v>327</v>
      </c>
      <c r="AKV3" s="33" t="s">
        <v>389</v>
      </c>
      <c r="AKW3" s="33" t="s">
        <v>389</v>
      </c>
      <c r="AKX3" s="33" t="s">
        <v>94</v>
      </c>
      <c r="AKY3" s="33" t="s">
        <v>28</v>
      </c>
      <c r="AKZ3" s="33" t="s">
        <v>327</v>
      </c>
      <c r="ALA3" s="33" t="s">
        <v>74</v>
      </c>
      <c r="ALB3" s="30"/>
      <c r="ALC3" s="33" t="s">
        <v>176</v>
      </c>
      <c r="ALD3" s="33" t="s">
        <v>28</v>
      </c>
      <c r="ALE3" s="31" t="s">
        <v>448</v>
      </c>
      <c r="ALF3" s="32" t="s">
        <v>86</v>
      </c>
      <c r="ALG3" s="33" t="s">
        <v>79</v>
      </c>
      <c r="ALH3" s="33" t="s">
        <v>74</v>
      </c>
      <c r="ALI3" s="30" t="s">
        <v>86</v>
      </c>
      <c r="ALJ3" s="33" t="s">
        <v>448</v>
      </c>
      <c r="ALK3" s="31" t="s">
        <v>173</v>
      </c>
      <c r="ALL3" s="33" t="s">
        <v>94</v>
      </c>
      <c r="ALM3" s="39" t="s">
        <v>289</v>
      </c>
      <c r="ALN3" s="33" t="s">
        <v>86</v>
      </c>
      <c r="ALO3" s="33" t="s">
        <v>74</v>
      </c>
      <c r="ALP3" s="31" t="s">
        <v>173</v>
      </c>
      <c r="ALQ3" s="31"/>
      <c r="ALR3" s="33" t="s">
        <v>28</v>
      </c>
      <c r="ALS3" s="33" t="s">
        <v>28</v>
      </c>
      <c r="ALT3" s="30" t="s">
        <v>594</v>
      </c>
      <c r="ALU3" s="30" t="s">
        <v>28</v>
      </c>
      <c r="ALV3" s="31" t="s">
        <v>74</v>
      </c>
      <c r="ALW3" s="31" t="s">
        <v>389</v>
      </c>
      <c r="ALX3" s="33" t="s">
        <v>583</v>
      </c>
      <c r="ALY3" s="32" t="s">
        <v>79</v>
      </c>
      <c r="ALZ3" s="30"/>
      <c r="AMA3" s="30" t="s">
        <v>448</v>
      </c>
      <c r="AMB3" s="33" t="s">
        <v>587</v>
      </c>
      <c r="AMC3" s="33" t="s">
        <v>389</v>
      </c>
      <c r="AMD3" s="33" t="s">
        <v>79</v>
      </c>
      <c r="AME3" s="33" t="s">
        <v>79</v>
      </c>
      <c r="AMF3" s="33" t="s">
        <v>448</v>
      </c>
      <c r="AMG3" s="30" t="s">
        <v>601</v>
      </c>
      <c r="AMH3" s="31" t="s">
        <v>389</v>
      </c>
      <c r="AMI3" s="33" t="s">
        <v>259</v>
      </c>
      <c r="AMJ3" s="33" t="s">
        <v>164</v>
      </c>
      <c r="AMK3" s="33" t="s">
        <v>164</v>
      </c>
      <c r="AML3" s="33" t="s">
        <v>79</v>
      </c>
      <c r="AMM3" s="33" t="s">
        <v>587</v>
      </c>
      <c r="AMN3" s="31" t="s">
        <v>259</v>
      </c>
      <c r="AMO3" s="33" t="s">
        <v>601</v>
      </c>
      <c r="AMP3" s="33" t="s">
        <v>587</v>
      </c>
      <c r="AMQ3" s="33" t="s">
        <v>69</v>
      </c>
      <c r="AMR3" s="30" t="s">
        <v>54</v>
      </c>
      <c r="AMS3" s="33" t="s">
        <v>79</v>
      </c>
      <c r="AMT3" s="31" t="s">
        <v>69</v>
      </c>
      <c r="AMU3" s="31" t="s">
        <v>102</v>
      </c>
      <c r="AMV3" s="32" t="s">
        <v>164</v>
      </c>
      <c r="AMW3" s="33" t="s">
        <v>227</v>
      </c>
      <c r="AMX3" s="33" t="s">
        <v>94</v>
      </c>
      <c r="AMY3" s="33" t="s">
        <v>64</v>
      </c>
      <c r="AMZ3" s="31" t="s">
        <v>79</v>
      </c>
      <c r="ANA3" s="31" t="s">
        <v>185</v>
      </c>
      <c r="ANB3" s="32" t="s">
        <v>227</v>
      </c>
      <c r="ANC3" s="33" t="s">
        <v>102</v>
      </c>
      <c r="AND3" s="33" t="s">
        <v>64</v>
      </c>
      <c r="ANE3" s="33" t="s">
        <v>259</v>
      </c>
      <c r="ANF3" s="31" t="s">
        <v>185</v>
      </c>
      <c r="ANG3" s="33" t="s">
        <v>583</v>
      </c>
      <c r="ANH3" s="33" t="s">
        <v>102</v>
      </c>
      <c r="ANI3" s="33" t="s">
        <v>173</v>
      </c>
      <c r="ANJ3" s="33" t="s">
        <v>259</v>
      </c>
      <c r="ANK3" s="33" t="s">
        <v>259</v>
      </c>
      <c r="ANL3" s="33" t="s">
        <v>583</v>
      </c>
      <c r="ANM3" s="33" t="s">
        <v>74</v>
      </c>
      <c r="ANN3" s="33" t="s">
        <v>173</v>
      </c>
      <c r="ANO3" s="33" t="s">
        <v>173</v>
      </c>
      <c r="ANP3" s="33" t="s">
        <v>259</v>
      </c>
      <c r="ANQ3" s="33" t="s">
        <v>601</v>
      </c>
      <c r="ANR3" s="33" t="s">
        <v>74</v>
      </c>
      <c r="ANS3" s="33" t="s">
        <v>164</v>
      </c>
      <c r="ANT3" s="33" t="s">
        <v>173</v>
      </c>
      <c r="ANU3" s="32" t="s">
        <v>124</v>
      </c>
      <c r="ANV3" s="30" t="s">
        <v>601</v>
      </c>
      <c r="ANW3" s="30" t="s">
        <v>94</v>
      </c>
      <c r="ANX3" s="31" t="s">
        <v>259</v>
      </c>
      <c r="ANY3" s="31" t="s">
        <v>601</v>
      </c>
      <c r="ANZ3" s="32" t="s">
        <v>124</v>
      </c>
      <c r="AOA3" s="33" t="s">
        <v>164</v>
      </c>
      <c r="AOB3" s="33" t="s">
        <v>227</v>
      </c>
      <c r="AOC3" s="33" t="s">
        <v>227</v>
      </c>
      <c r="AOD3" s="31"/>
      <c r="AOE3" s="31" t="s">
        <v>79</v>
      </c>
      <c r="AOF3" s="33" t="s">
        <v>164</v>
      </c>
      <c r="AOG3" s="33" t="s">
        <v>33</v>
      </c>
      <c r="AOH3" s="30" t="s">
        <v>227</v>
      </c>
      <c r="AOI3" s="30" t="s">
        <v>64</v>
      </c>
      <c r="AOJ3" s="31" t="s">
        <v>79</v>
      </c>
      <c r="AOK3" s="31" t="s">
        <v>389</v>
      </c>
      <c r="AOL3" s="32" t="s">
        <v>205</v>
      </c>
      <c r="AOM3" s="32" t="s">
        <v>601</v>
      </c>
      <c r="AON3" s="30" t="s">
        <v>33</v>
      </c>
      <c r="AOO3" s="30" t="s">
        <v>79</v>
      </c>
      <c r="AOP3" s="31"/>
      <c r="AOQ3" s="31" t="s">
        <v>74</v>
      </c>
      <c r="AOR3" s="32" t="s">
        <v>64</v>
      </c>
      <c r="AOS3" s="33" t="s">
        <v>389</v>
      </c>
      <c r="AOT3" s="33" t="s">
        <v>79</v>
      </c>
      <c r="AOU3" s="33" t="s">
        <v>86</v>
      </c>
      <c r="AOV3" s="33" t="s">
        <v>74</v>
      </c>
      <c r="AOW3" s="33" t="s">
        <v>74</v>
      </c>
      <c r="AOX3" s="32" t="s">
        <v>389</v>
      </c>
      <c r="AOY3" s="32" t="s">
        <v>601</v>
      </c>
      <c r="AOZ3" s="30" t="s">
        <v>86</v>
      </c>
      <c r="APA3" s="30" t="s">
        <v>606</v>
      </c>
      <c r="APB3" s="31" t="s">
        <v>74</v>
      </c>
      <c r="APC3" s="31" t="s">
        <v>238</v>
      </c>
      <c r="APD3" s="33" t="s">
        <v>54</v>
      </c>
      <c r="APE3" s="32" t="s">
        <v>28</v>
      </c>
      <c r="APF3" s="33" t="s">
        <v>102</v>
      </c>
      <c r="APG3" s="30" t="s">
        <v>327</v>
      </c>
      <c r="APH3" s="32" t="s">
        <v>238</v>
      </c>
      <c r="API3" s="33" t="s">
        <v>583</v>
      </c>
      <c r="APJ3" s="31" t="s">
        <v>28</v>
      </c>
      <c r="APK3" s="33" t="s">
        <v>389</v>
      </c>
      <c r="APL3" s="30" t="s">
        <v>327</v>
      </c>
      <c r="APM3" s="30" t="s">
        <v>259</v>
      </c>
      <c r="APN3" s="33" t="s">
        <v>587</v>
      </c>
      <c r="APO3" s="33" t="s">
        <v>64</v>
      </c>
      <c r="APP3" s="33" t="s">
        <v>86</v>
      </c>
      <c r="APQ3" s="31" t="s">
        <v>238</v>
      </c>
      <c r="APR3" s="30" t="s">
        <v>300</v>
      </c>
      <c r="APS3" s="30" t="s">
        <v>185</v>
      </c>
      <c r="APT3" s="32" t="s">
        <v>327</v>
      </c>
      <c r="APU3" s="32" t="s">
        <v>81</v>
      </c>
      <c r="APV3" s="33" t="s">
        <v>54</v>
      </c>
      <c r="APW3" s="33" t="s">
        <v>164</v>
      </c>
      <c r="APX3" s="30" t="s">
        <v>205</v>
      </c>
      <c r="APY3" s="33" t="s">
        <v>86</v>
      </c>
      <c r="APZ3" s="32" t="s">
        <v>81</v>
      </c>
      <c r="AQA3" s="32" t="s">
        <v>448</v>
      </c>
      <c r="AQB3" s="31" t="s">
        <v>164</v>
      </c>
      <c r="AQC3" s="33" t="s">
        <v>259</v>
      </c>
      <c r="AQD3" s="30" t="s">
        <v>74</v>
      </c>
      <c r="AQE3" s="30" t="s">
        <v>176</v>
      </c>
      <c r="AQF3" s="32"/>
      <c r="AQG3" s="32" t="s">
        <v>48</v>
      </c>
      <c r="AQH3" s="31" t="s">
        <v>448</v>
      </c>
      <c r="AQI3" s="31" t="s">
        <v>79</v>
      </c>
      <c r="AQJ3" s="30" t="s">
        <v>176</v>
      </c>
      <c r="AQK3" s="30"/>
      <c r="AQL3" s="32" t="s">
        <v>81</v>
      </c>
      <c r="AQM3" s="32" t="s">
        <v>59</v>
      </c>
      <c r="AQN3" s="31" t="s">
        <v>79</v>
      </c>
      <c r="AQO3" s="31" t="s">
        <v>28</v>
      </c>
      <c r="AQP3" s="33" t="s">
        <v>46</v>
      </c>
      <c r="AQQ3" s="33" t="s">
        <v>46</v>
      </c>
      <c r="AQR3" s="32" t="s">
        <v>300</v>
      </c>
      <c r="AQS3" s="33" t="s">
        <v>606</v>
      </c>
      <c r="AQT3" s="31" t="s">
        <v>451</v>
      </c>
      <c r="AQU3" s="31" t="s">
        <v>81</v>
      </c>
      <c r="AQV3" s="30" t="s">
        <v>46</v>
      </c>
      <c r="AQW3" s="30" t="s">
        <v>33</v>
      </c>
      <c r="AQX3" s="32" t="s">
        <v>28</v>
      </c>
      <c r="AQY3" s="32"/>
      <c r="AQZ3" s="31" t="s">
        <v>81</v>
      </c>
      <c r="ARA3" s="31" t="s">
        <v>389</v>
      </c>
      <c r="ARB3" s="30" t="s">
        <v>33</v>
      </c>
      <c r="ARC3" s="33" t="s">
        <v>94</v>
      </c>
      <c r="ARD3" s="32"/>
      <c r="ARE3" s="32" t="s">
        <v>79</v>
      </c>
      <c r="ARF3" s="31"/>
      <c r="ARG3" s="31" t="s">
        <v>74</v>
      </c>
      <c r="ARH3" s="30"/>
      <c r="ARI3" s="30" t="s">
        <v>314</v>
      </c>
      <c r="ARJ3" s="32"/>
      <c r="ARK3" s="32"/>
      <c r="ARL3" s="31" t="s">
        <v>74</v>
      </c>
      <c r="ARM3" s="31" t="s">
        <v>607</v>
      </c>
      <c r="ARN3" s="30" t="s">
        <v>314</v>
      </c>
      <c r="ARO3" s="30"/>
      <c r="ARP3" s="32" t="s">
        <v>69</v>
      </c>
      <c r="ARQ3" s="32" t="s">
        <v>94</v>
      </c>
      <c r="ARR3" s="31" t="s">
        <v>102</v>
      </c>
      <c r="ARS3" s="31"/>
      <c r="ART3" s="30"/>
      <c r="ARU3" s="30"/>
      <c r="ARV3" s="32"/>
      <c r="ARW3" s="32" t="s">
        <v>64</v>
      </c>
      <c r="ARX3" s="33" t="s">
        <v>94</v>
      </c>
      <c r="ARY3" s="31" t="s">
        <v>69</v>
      </c>
      <c r="ARZ3" s="30"/>
      <c r="ASA3" s="30" t="s">
        <v>74</v>
      </c>
      <c r="ASB3" s="32" t="s">
        <v>64</v>
      </c>
      <c r="ASC3" s="32" t="s">
        <v>173</v>
      </c>
      <c r="ASD3" s="31" t="s">
        <v>69</v>
      </c>
      <c r="ASE3" s="31"/>
      <c r="ASF3" s="30" t="s">
        <v>94</v>
      </c>
      <c r="ASG3" s="30"/>
      <c r="ASH3" s="32"/>
      <c r="ASI3" s="32" t="s">
        <v>451</v>
      </c>
      <c r="ASJ3" s="31" t="s">
        <v>173</v>
      </c>
      <c r="ASK3" s="31" t="s">
        <v>587</v>
      </c>
      <c r="ASL3" s="30" t="s">
        <v>54</v>
      </c>
      <c r="ASM3" s="30" t="s">
        <v>102</v>
      </c>
      <c r="ASN3" s="33" t="s">
        <v>46</v>
      </c>
      <c r="ASO3" s="33" t="s">
        <v>46</v>
      </c>
      <c r="ASP3" s="31" t="s">
        <v>587</v>
      </c>
      <c r="ASQ3" s="31" t="s">
        <v>205</v>
      </c>
      <c r="ASR3" s="30" t="s">
        <v>176</v>
      </c>
      <c r="ASS3" s="30"/>
      <c r="AST3" s="32" t="s">
        <v>46</v>
      </c>
      <c r="ASU3" s="32" t="s">
        <v>164</v>
      </c>
      <c r="ASV3" s="33" t="s">
        <v>79</v>
      </c>
      <c r="ASW3" s="33" t="s">
        <v>79</v>
      </c>
      <c r="ASX3" s="30" t="s">
        <v>28</v>
      </c>
      <c r="ASY3" s="30" t="s">
        <v>46</v>
      </c>
      <c r="ASZ3" s="33" t="s">
        <v>607</v>
      </c>
      <c r="ATA3" s="33" t="s">
        <v>607</v>
      </c>
      <c r="ATB3" s="33" t="s">
        <v>79</v>
      </c>
      <c r="ATC3" s="33" t="s">
        <v>79</v>
      </c>
      <c r="ATD3" s="30" t="s">
        <v>46</v>
      </c>
      <c r="ATE3" s="33" t="s">
        <v>86</v>
      </c>
      <c r="ATF3" s="32" t="s">
        <v>74</v>
      </c>
      <c r="ATG3" s="32" t="s">
        <v>205</v>
      </c>
      <c r="ATH3" s="31" t="s">
        <v>607</v>
      </c>
      <c r="ATI3" s="31" t="s">
        <v>164</v>
      </c>
      <c r="ATJ3" s="33" t="s">
        <v>64</v>
      </c>
      <c r="ATK3" s="30" t="s">
        <v>59</v>
      </c>
      <c r="ATL3" s="32"/>
      <c r="ATM3" s="32" t="s">
        <v>74</v>
      </c>
      <c r="ATN3" s="31" t="s">
        <v>205</v>
      </c>
      <c r="ATO3" s="31" t="s">
        <v>36</v>
      </c>
      <c r="ATP3" s="33" t="s">
        <v>86</v>
      </c>
      <c r="ATQ3" s="30" t="s">
        <v>205</v>
      </c>
      <c r="ATR3" s="33" t="s">
        <v>74</v>
      </c>
      <c r="ATS3" s="32" t="s">
        <v>79</v>
      </c>
      <c r="ATT3" s="31" t="s">
        <v>36</v>
      </c>
      <c r="ATU3" s="40" t="s">
        <v>81</v>
      </c>
      <c r="ATV3" s="30" t="s">
        <v>205</v>
      </c>
      <c r="ATW3" s="30"/>
      <c r="ATX3" s="32" t="s">
        <v>587</v>
      </c>
      <c r="ATY3" s="32" t="s">
        <v>271</v>
      </c>
      <c r="ATZ3" s="31" t="s">
        <v>79</v>
      </c>
      <c r="AUA3" s="31" t="s">
        <v>164</v>
      </c>
      <c r="AUB3" s="33" t="s">
        <v>74</v>
      </c>
      <c r="AUC3" s="30" t="s">
        <v>277</v>
      </c>
      <c r="AUD3" s="32" t="s">
        <v>389</v>
      </c>
      <c r="AUE3" s="32" t="s">
        <v>79</v>
      </c>
      <c r="AUF3" s="31" t="s">
        <v>164</v>
      </c>
      <c r="AUG3" s="31" t="s">
        <v>259</v>
      </c>
      <c r="AUH3" s="30" t="s">
        <v>277</v>
      </c>
      <c r="AUI3" s="30" t="s">
        <v>48</v>
      </c>
      <c r="AUJ3" s="32" t="s">
        <v>69</v>
      </c>
      <c r="AUK3" s="39" t="s">
        <v>81</v>
      </c>
      <c r="AUL3" s="31" t="s">
        <v>238</v>
      </c>
      <c r="AUM3" s="31" t="s">
        <v>587</v>
      </c>
      <c r="AUN3" s="30"/>
      <c r="AUO3" s="30" t="s">
        <v>86</v>
      </c>
      <c r="AUP3" s="32" t="s">
        <v>41</v>
      </c>
      <c r="AUQ3" s="32" t="s">
        <v>176</v>
      </c>
      <c r="AUR3" s="33" t="s">
        <v>79</v>
      </c>
      <c r="AUS3" s="33" t="s">
        <v>79</v>
      </c>
      <c r="AUT3" s="30" t="s">
        <v>86</v>
      </c>
      <c r="AUU3" s="41" t="s">
        <v>277</v>
      </c>
      <c r="AUV3" s="32" t="s">
        <v>176</v>
      </c>
      <c r="AUW3" s="39" t="s">
        <v>36</v>
      </c>
      <c r="AUX3" s="31"/>
      <c r="AUY3" s="31" t="s">
        <v>59</v>
      </c>
      <c r="AUZ3" s="30" t="s">
        <v>79</v>
      </c>
      <c r="AVA3" s="30" t="s">
        <v>94</v>
      </c>
      <c r="AVB3" s="36" t="s">
        <v>36</v>
      </c>
      <c r="AVC3" s="32" t="s">
        <v>79</v>
      </c>
      <c r="AVD3" s="33" t="s">
        <v>59</v>
      </c>
      <c r="AVE3" s="31" t="s">
        <v>601</v>
      </c>
      <c r="AVF3" s="33" t="s">
        <v>86</v>
      </c>
      <c r="AVG3" s="33" t="s">
        <v>46</v>
      </c>
      <c r="AVH3" s="32" t="s">
        <v>601</v>
      </c>
      <c r="AVI3" s="33" t="s">
        <v>94</v>
      </c>
      <c r="AVJ3" s="31" t="s">
        <v>259</v>
      </c>
      <c r="AVK3" s="31" t="s">
        <v>79</v>
      </c>
      <c r="AVL3" s="30" t="s">
        <v>46</v>
      </c>
      <c r="AVM3" s="30" t="s">
        <v>259</v>
      </c>
      <c r="AVN3" s="32" t="s">
        <v>314</v>
      </c>
      <c r="AVO3" s="32" t="s">
        <v>363</v>
      </c>
      <c r="AVP3" s="31" t="s">
        <v>124</v>
      </c>
      <c r="AVQ3" s="31" t="s">
        <v>389</v>
      </c>
      <c r="AVR3" s="33" t="s">
        <v>79</v>
      </c>
      <c r="AVS3" s="33" t="s">
        <v>94</v>
      </c>
      <c r="AVT3" s="33" t="s">
        <v>41</v>
      </c>
      <c r="AVU3" s="32" t="s">
        <v>124</v>
      </c>
      <c r="AVV3" s="31" t="s">
        <v>389</v>
      </c>
      <c r="AVW3" s="33" t="s">
        <v>64</v>
      </c>
      <c r="AVX3" s="30" t="s">
        <v>94</v>
      </c>
      <c r="AVY3" s="30" t="s">
        <v>205</v>
      </c>
      <c r="AVZ3" s="32" t="s">
        <v>124</v>
      </c>
      <c r="AWA3" s="32"/>
      <c r="AWB3" s="31" t="s">
        <v>271</v>
      </c>
      <c r="AWC3" s="31" t="s">
        <v>451</v>
      </c>
      <c r="AWD3" s="33" t="s">
        <v>64</v>
      </c>
      <c r="AWE3" s="33" t="s">
        <v>64</v>
      </c>
      <c r="AWF3" s="32" t="s">
        <v>300</v>
      </c>
      <c r="AWG3" s="32" t="s">
        <v>79</v>
      </c>
      <c r="AWH3" s="31" t="s">
        <v>205</v>
      </c>
      <c r="AWI3" s="40" t="s">
        <v>259</v>
      </c>
      <c r="AWJ3" s="33" t="s">
        <v>64</v>
      </c>
      <c r="AWK3" s="30" t="s">
        <v>205</v>
      </c>
      <c r="AWL3" s="32" t="s">
        <v>54</v>
      </c>
      <c r="AWM3" s="33" t="s">
        <v>74</v>
      </c>
      <c r="AWN3" s="31" t="s">
        <v>79</v>
      </c>
      <c r="AWO3" s="31" t="s">
        <v>389</v>
      </c>
      <c r="AWP3" s="33" t="s">
        <v>46</v>
      </c>
      <c r="AWQ3" s="33" t="s">
        <v>46</v>
      </c>
      <c r="AWR3" s="33" t="s">
        <v>205</v>
      </c>
      <c r="AWS3" s="32" t="s">
        <v>54</v>
      </c>
      <c r="AWT3" s="33" t="s">
        <v>74</v>
      </c>
      <c r="AWU3" s="31" t="s">
        <v>259</v>
      </c>
      <c r="AWV3" s="33" t="s">
        <v>46</v>
      </c>
      <c r="AWW3" s="36" t="s">
        <v>389</v>
      </c>
      <c r="AWX3" s="32" t="s">
        <v>271</v>
      </c>
      <c r="AWY3" s="32"/>
      <c r="AWZ3" s="31" t="s">
        <v>259</v>
      </c>
      <c r="AXA3" s="33" t="s">
        <v>54</v>
      </c>
      <c r="AXB3" s="30"/>
      <c r="AXC3" s="30" t="s">
        <v>277</v>
      </c>
      <c r="AXD3" s="32"/>
      <c r="AXE3" s="32" t="s">
        <v>59</v>
      </c>
      <c r="AXF3" s="31" t="s">
        <v>451</v>
      </c>
      <c r="AXG3" s="31" t="s">
        <v>124</v>
      </c>
      <c r="AXH3" s="33" t="s">
        <v>54</v>
      </c>
      <c r="AXI3" s="30" t="s">
        <v>94</v>
      </c>
      <c r="AXJ3" s="33" t="s">
        <v>69</v>
      </c>
      <c r="AXK3" s="33" t="s">
        <v>69</v>
      </c>
      <c r="AXL3" s="33" t="s">
        <v>124</v>
      </c>
      <c r="AXM3" s="31" t="s">
        <v>79</v>
      </c>
      <c r="AXN3" s="30" t="s">
        <v>94</v>
      </c>
      <c r="AXO3" s="30"/>
      <c r="AXP3" s="32" t="s">
        <v>327</v>
      </c>
      <c r="AXQ3" s="32"/>
      <c r="AXR3" s="33" t="s">
        <v>79</v>
      </c>
      <c r="AXS3" s="33" t="s">
        <v>79</v>
      </c>
      <c r="AXT3" s="33" t="s">
        <v>64</v>
      </c>
      <c r="AXU3" s="30" t="s">
        <v>205</v>
      </c>
      <c r="AXV3" s="32" t="s">
        <v>227</v>
      </c>
      <c r="AXW3" s="32" t="s">
        <v>164</v>
      </c>
      <c r="AXX3" s="31" t="s">
        <v>124</v>
      </c>
      <c r="AXY3" s="31"/>
      <c r="AXZ3" s="30" t="s">
        <v>238</v>
      </c>
      <c r="AYA3" s="30"/>
      <c r="AYB3" s="33" t="s">
        <v>164</v>
      </c>
      <c r="AYC3" s="33" t="s">
        <v>79</v>
      </c>
      <c r="AYD3" s="31" t="s">
        <v>587</v>
      </c>
      <c r="AYE3" s="31" t="s">
        <v>205</v>
      </c>
      <c r="AYF3" s="30" t="s">
        <v>327</v>
      </c>
      <c r="AYG3" s="30"/>
      <c r="AYH3" s="33" t="s">
        <v>79</v>
      </c>
      <c r="AYI3" s="33" t="s">
        <v>79</v>
      </c>
      <c r="AYJ3" s="31" t="s">
        <v>164</v>
      </c>
      <c r="AYK3" s="31" t="s">
        <v>185</v>
      </c>
      <c r="AYL3" s="30" t="s">
        <v>94</v>
      </c>
      <c r="AYM3" s="30"/>
      <c r="AYN3" s="32" t="s">
        <v>79</v>
      </c>
      <c r="AYO3" s="32" t="s">
        <v>74</v>
      </c>
      <c r="AYP3" s="31" t="s">
        <v>205</v>
      </c>
      <c r="AYQ3" s="31"/>
      <c r="AYR3" s="30"/>
      <c r="AYS3" s="30" t="s">
        <v>79</v>
      </c>
      <c r="AYT3" s="32" t="s">
        <v>86</v>
      </c>
      <c r="AYU3" s="32" t="s">
        <v>205</v>
      </c>
      <c r="AYV3" s="31"/>
      <c r="AYW3" s="31" t="s">
        <v>86</v>
      </c>
      <c r="AYX3" s="33" t="s">
        <v>79</v>
      </c>
      <c r="AYY3" s="33" t="s">
        <v>79</v>
      </c>
      <c r="AYZ3" s="32"/>
      <c r="AZA3" s="32"/>
      <c r="AZB3" s="31" t="s">
        <v>74</v>
      </c>
      <c r="AZC3" s="31" t="s">
        <v>41</v>
      </c>
      <c r="AZD3" s="30"/>
      <c r="AZE3" s="33" t="s">
        <v>205</v>
      </c>
      <c r="AZF3" s="32"/>
      <c r="AZG3" s="32"/>
      <c r="AZH3" s="31"/>
      <c r="AZI3" s="31" t="s">
        <v>79</v>
      </c>
      <c r="AZJ3" s="30" t="s">
        <v>605</v>
      </c>
      <c r="AZK3" s="30" t="s">
        <v>86</v>
      </c>
      <c r="AZL3" s="33" t="s">
        <v>205</v>
      </c>
      <c r="AZM3" s="33" t="s">
        <v>205</v>
      </c>
      <c r="AZN3" s="31" t="s">
        <v>596</v>
      </c>
      <c r="AZO3" s="31"/>
      <c r="AZP3" s="30" t="s">
        <v>69</v>
      </c>
      <c r="AZQ3" s="30"/>
      <c r="AZR3" s="32" t="s">
        <v>205</v>
      </c>
      <c r="AZS3" s="32" t="s">
        <v>46</v>
      </c>
      <c r="AZT3" s="31"/>
      <c r="AZU3" s="31"/>
      <c r="AZV3" s="30"/>
      <c r="AZW3" s="41" t="s">
        <v>48</v>
      </c>
      <c r="AZX3" s="32" t="s">
        <v>46</v>
      </c>
      <c r="AZY3" s="32" t="s">
        <v>54</v>
      </c>
      <c r="AZZ3" s="31"/>
      <c r="BAA3" s="31" t="s">
        <v>64</v>
      </c>
      <c r="BAB3" s="30"/>
      <c r="BAC3" s="30"/>
      <c r="BAD3" s="32" t="s">
        <v>41</v>
      </c>
      <c r="BAE3" s="32"/>
      <c r="BAF3" s="31" t="s">
        <v>64</v>
      </c>
      <c r="BAG3" s="31"/>
      <c r="BAH3" s="30" t="s">
        <v>79</v>
      </c>
      <c r="BAI3" s="30"/>
      <c r="BAJ3" s="32" t="s">
        <v>86</v>
      </c>
      <c r="BAK3" s="32"/>
      <c r="BAL3" s="31"/>
      <c r="BAM3" s="31" t="s">
        <v>86</v>
      </c>
      <c r="BAN3" s="30"/>
      <c r="BAO3" s="41" t="s">
        <v>81</v>
      </c>
      <c r="BAP3" s="32"/>
      <c r="BAQ3" s="32"/>
      <c r="BAR3" s="40" t="s">
        <v>81</v>
      </c>
      <c r="BAS3" s="31" t="s">
        <v>94</v>
      </c>
      <c r="BAT3" s="30" t="s">
        <v>79</v>
      </c>
      <c r="BAU3" s="30"/>
      <c r="BAV3" s="32"/>
      <c r="BAW3" s="32"/>
      <c r="BAX3" s="31"/>
      <c r="BAY3" s="31"/>
      <c r="BAZ3" s="30"/>
      <c r="BBA3" s="30" t="s">
        <v>74</v>
      </c>
      <c r="BBB3" s="32"/>
      <c r="BBC3" s="39" t="s">
        <v>81</v>
      </c>
      <c r="BBD3" s="31"/>
      <c r="BBE3" s="31"/>
      <c r="BBF3" s="30" t="s">
        <v>74</v>
      </c>
      <c r="BBG3" s="30" t="s">
        <v>102</v>
      </c>
      <c r="BBH3" s="39" t="s">
        <v>81</v>
      </c>
      <c r="BBI3" s="32"/>
      <c r="BBJ3" s="31"/>
      <c r="BBK3" s="31"/>
      <c r="BBL3" s="30"/>
      <c r="BBM3" s="30"/>
      <c r="BBN3" s="32"/>
      <c r="BBO3" s="32"/>
      <c r="BBP3" s="31"/>
      <c r="BBQ3" s="31" t="s">
        <v>74</v>
      </c>
      <c r="BBR3" s="30"/>
      <c r="BBS3" s="30"/>
      <c r="BBT3" s="32"/>
      <c r="BBU3" s="32"/>
      <c r="BBV3" s="31"/>
      <c r="BBW3" s="31"/>
      <c r="BBX3" s="30"/>
      <c r="BBY3" s="30"/>
      <c r="BBZ3" s="32"/>
      <c r="BCA3" s="32"/>
      <c r="BCB3" s="33" t="s">
        <v>74</v>
      </c>
      <c r="BCC3" s="33" t="s">
        <v>74</v>
      </c>
      <c r="BCD3" s="30"/>
      <c r="BCE3" s="30" t="s">
        <v>86</v>
      </c>
      <c r="BCF3" s="32"/>
      <c r="BCG3" s="32"/>
      <c r="BCH3" s="31" t="s">
        <v>74</v>
      </c>
      <c r="BCI3" s="31"/>
      <c r="BCJ3" s="30" t="s">
        <v>86</v>
      </c>
      <c r="BCK3" s="30"/>
      <c r="BCL3" s="32"/>
      <c r="BCM3" s="32"/>
      <c r="BCN3" s="31"/>
      <c r="BCO3" s="31"/>
      <c r="BCP3" s="30"/>
      <c r="BCQ3" s="30" t="s">
        <v>79</v>
      </c>
    </row>
    <row r="4" spans="1:1447">
      <c r="A4" s="30"/>
      <c r="B4" s="30"/>
      <c r="C4" s="31" t="s">
        <v>79</v>
      </c>
      <c r="D4" s="31"/>
      <c r="E4" s="32"/>
      <c r="F4" s="32" t="s">
        <v>185</v>
      </c>
      <c r="G4" s="30"/>
      <c r="H4" s="30" t="s">
        <v>81</v>
      </c>
      <c r="I4" s="31"/>
      <c r="J4" s="31" t="s">
        <v>448</v>
      </c>
      <c r="K4" s="32" t="s">
        <v>319</v>
      </c>
      <c r="L4" s="32"/>
      <c r="M4" s="30" t="s">
        <v>185</v>
      </c>
      <c r="N4" s="30"/>
      <c r="O4" s="31"/>
      <c r="P4" s="31"/>
      <c r="Q4" s="32"/>
      <c r="R4" s="32" t="s">
        <v>46</v>
      </c>
      <c r="S4" s="30"/>
      <c r="T4" s="30"/>
      <c r="U4" s="31"/>
      <c r="V4" s="31" t="s">
        <v>319</v>
      </c>
      <c r="W4" s="32"/>
      <c r="X4" s="32"/>
      <c r="Y4" s="30" t="s">
        <v>319</v>
      </c>
      <c r="Z4" s="30" t="s">
        <v>238</v>
      </c>
      <c r="AA4" s="31" t="s">
        <v>74</v>
      </c>
      <c r="AB4" s="31"/>
      <c r="AC4" s="32"/>
      <c r="AD4" s="32"/>
      <c r="AE4" s="30" t="s">
        <v>46</v>
      </c>
      <c r="AF4" s="30"/>
      <c r="AG4" s="31"/>
      <c r="AH4" s="31"/>
      <c r="AI4" s="32"/>
      <c r="AJ4" s="32" t="s">
        <v>599</v>
      </c>
      <c r="AK4" s="30" t="s">
        <v>74</v>
      </c>
      <c r="AL4" s="30"/>
      <c r="AM4" s="31"/>
      <c r="AN4" s="31"/>
      <c r="AO4" s="32" t="s">
        <v>79</v>
      </c>
      <c r="AP4" s="32"/>
      <c r="AQ4" s="30"/>
      <c r="AR4" s="30"/>
      <c r="AS4" s="31"/>
      <c r="AT4" s="31" t="s">
        <v>74</v>
      </c>
      <c r="AU4" s="32"/>
      <c r="AV4" s="32"/>
      <c r="AW4" s="30"/>
      <c r="AX4" s="30"/>
      <c r="AY4" s="31"/>
      <c r="AZ4" s="31"/>
      <c r="BA4" s="32" t="s">
        <v>74</v>
      </c>
      <c r="BB4" s="32"/>
      <c r="BC4" s="30"/>
      <c r="BD4" s="30"/>
      <c r="BE4" s="31"/>
      <c r="BF4" s="31"/>
      <c r="BG4" s="32"/>
      <c r="BH4" s="32"/>
      <c r="BI4" s="30"/>
      <c r="BJ4" s="30" t="s">
        <v>185</v>
      </c>
      <c r="BK4" s="31"/>
      <c r="BL4" s="31"/>
      <c r="BM4" s="32"/>
      <c r="BN4" s="32"/>
      <c r="BO4" s="30" t="s">
        <v>185</v>
      </c>
      <c r="BP4" s="30"/>
      <c r="BQ4" s="31" t="s">
        <v>271</v>
      </c>
      <c r="BR4" s="31"/>
      <c r="BS4" s="32"/>
      <c r="BT4" s="32"/>
      <c r="BU4" s="30"/>
      <c r="BV4" s="30"/>
      <c r="BW4" s="31"/>
      <c r="BX4" s="31" t="s">
        <v>595</v>
      </c>
      <c r="BY4" s="32"/>
      <c r="BZ4" s="32"/>
      <c r="CA4" s="30"/>
      <c r="CB4" s="30"/>
      <c r="CC4" s="31" t="s">
        <v>595</v>
      </c>
      <c r="CD4" s="31" t="s">
        <v>448</v>
      </c>
      <c r="CE4" s="32"/>
      <c r="CF4" s="32" t="s">
        <v>363</v>
      </c>
      <c r="CG4" s="30"/>
      <c r="CH4" s="30" t="s">
        <v>33</v>
      </c>
      <c r="CI4" s="31"/>
      <c r="CJ4" s="31" t="s">
        <v>36</v>
      </c>
      <c r="CK4" s="32" t="s">
        <v>41</v>
      </c>
      <c r="CL4" s="35"/>
      <c r="CM4" s="30" t="s">
        <v>448</v>
      </c>
      <c r="CN4" s="30"/>
      <c r="CO4" s="31" t="s">
        <v>36</v>
      </c>
      <c r="CP4" s="31"/>
      <c r="CQ4" s="32" t="s">
        <v>368</v>
      </c>
      <c r="CR4" s="32"/>
      <c r="CS4" s="30" t="s">
        <v>319</v>
      </c>
      <c r="CT4" s="30"/>
      <c r="CU4" s="31" t="s">
        <v>54</v>
      </c>
      <c r="CV4" s="31"/>
      <c r="CW4" s="32"/>
      <c r="CX4" s="32"/>
      <c r="CY4" s="30"/>
      <c r="CZ4" s="30"/>
      <c r="DA4" s="31"/>
      <c r="DB4" s="31"/>
      <c r="DC4" s="32"/>
      <c r="DD4" s="32"/>
      <c r="DE4" s="30"/>
      <c r="DF4" s="30"/>
      <c r="DG4" s="31"/>
      <c r="DH4" s="31"/>
      <c r="DI4" s="32"/>
      <c r="DJ4" s="32"/>
      <c r="DK4" s="30"/>
      <c r="DL4" s="30"/>
      <c r="DM4" s="31"/>
      <c r="DN4" s="31" t="s">
        <v>173</v>
      </c>
      <c r="DO4" s="32"/>
      <c r="DP4" s="32"/>
      <c r="DQ4" s="30"/>
      <c r="DR4" s="30"/>
      <c r="DS4" s="31"/>
      <c r="DT4" s="31"/>
      <c r="DU4" s="32"/>
      <c r="DV4" s="32"/>
      <c r="DW4" s="30"/>
      <c r="DX4" s="30"/>
      <c r="DY4" s="31"/>
      <c r="DZ4" s="31"/>
      <c r="EA4" s="32"/>
      <c r="EB4" s="32"/>
      <c r="EC4" s="30"/>
      <c r="ED4" s="30"/>
      <c r="EE4" s="31"/>
      <c r="EF4" s="31"/>
      <c r="EG4" s="32"/>
      <c r="EH4" s="32"/>
      <c r="EI4" s="30"/>
      <c r="EJ4" s="30"/>
      <c r="EK4" s="31"/>
      <c r="EL4" s="31"/>
      <c r="EM4" s="32"/>
      <c r="EN4" s="32" t="s">
        <v>600</v>
      </c>
      <c r="EO4" s="30"/>
      <c r="EP4" s="30" t="s">
        <v>22</v>
      </c>
      <c r="EQ4" s="31"/>
      <c r="ER4" s="31" t="s">
        <v>176</v>
      </c>
      <c r="ES4" s="32" t="s">
        <v>173</v>
      </c>
      <c r="ET4" s="32" t="s">
        <v>185</v>
      </c>
      <c r="EU4" s="30"/>
      <c r="EV4" s="30" t="s">
        <v>36</v>
      </c>
      <c r="EW4" s="31" t="s">
        <v>176</v>
      </c>
      <c r="EX4" s="31" t="s">
        <v>79</v>
      </c>
      <c r="EY4" s="33" t="s">
        <v>74</v>
      </c>
      <c r="EZ4" s="32" t="s">
        <v>271</v>
      </c>
      <c r="FA4" s="30" t="s">
        <v>41</v>
      </c>
      <c r="FB4" s="30" t="s">
        <v>594</v>
      </c>
      <c r="FC4" s="31"/>
      <c r="FD4" s="31" t="s">
        <v>368</v>
      </c>
      <c r="FE4" s="32" t="s">
        <v>33</v>
      </c>
      <c r="FF4" s="32" t="s">
        <v>81</v>
      </c>
      <c r="FG4" s="33" t="s">
        <v>94</v>
      </c>
      <c r="FH4" s="33" t="s">
        <v>94</v>
      </c>
      <c r="FI4" s="32" t="s">
        <v>584</v>
      </c>
      <c r="FJ4" s="33" t="s">
        <v>124</v>
      </c>
      <c r="FK4" s="33" t="s">
        <v>319</v>
      </c>
      <c r="FL4" s="33" t="s">
        <v>79</v>
      </c>
      <c r="FM4" s="31" t="s">
        <v>36</v>
      </c>
      <c r="FN4" s="31" t="s">
        <v>41</v>
      </c>
      <c r="FO4" s="32" t="s">
        <v>54</v>
      </c>
      <c r="FP4" s="32"/>
      <c r="FQ4" s="30" t="s">
        <v>581</v>
      </c>
      <c r="FR4" s="30"/>
      <c r="FS4" s="31" t="s">
        <v>124</v>
      </c>
      <c r="FT4" s="31"/>
      <c r="FU4" s="32"/>
      <c r="FV4" s="32"/>
      <c r="FW4" s="30" t="s">
        <v>238</v>
      </c>
      <c r="FX4" s="30"/>
      <c r="FY4" s="31"/>
      <c r="FZ4" s="31" t="s">
        <v>238</v>
      </c>
      <c r="GA4" s="32"/>
      <c r="GB4" s="32" t="s">
        <v>79</v>
      </c>
      <c r="GC4" s="30"/>
      <c r="GD4" s="30"/>
      <c r="GE4" s="31"/>
      <c r="GF4" s="31" t="s">
        <v>368</v>
      </c>
      <c r="GG4" s="32"/>
      <c r="GH4" s="32" t="s">
        <v>74</v>
      </c>
      <c r="GI4" s="30" t="s">
        <v>81</v>
      </c>
      <c r="GJ4" s="30"/>
      <c r="GK4" s="31" t="s">
        <v>584</v>
      </c>
      <c r="GL4" s="31"/>
      <c r="GM4" s="32" t="s">
        <v>590</v>
      </c>
      <c r="GN4" s="32"/>
      <c r="GO4" s="30"/>
      <c r="GP4" s="30"/>
      <c r="GQ4" s="33" t="s">
        <v>74</v>
      </c>
      <c r="GR4" s="33" t="s">
        <v>74</v>
      </c>
      <c r="GS4" s="32"/>
      <c r="GT4" s="32" t="s">
        <v>79</v>
      </c>
      <c r="GU4" s="30"/>
      <c r="GV4" s="30"/>
      <c r="GW4" s="31" t="s">
        <v>185</v>
      </c>
      <c r="GX4" s="31" t="s">
        <v>81</v>
      </c>
      <c r="GY4" s="32" t="s">
        <v>584</v>
      </c>
      <c r="GZ4" s="32"/>
      <c r="HA4" s="30"/>
      <c r="HB4" s="30"/>
      <c r="HC4" s="31" t="s">
        <v>81</v>
      </c>
      <c r="HD4" s="31" t="s">
        <v>102</v>
      </c>
      <c r="HE4" s="32"/>
      <c r="HF4" s="32" t="s">
        <v>94</v>
      </c>
      <c r="HG4" s="30"/>
      <c r="HH4" s="30" t="s">
        <v>59</v>
      </c>
      <c r="HI4" s="31"/>
      <c r="HJ4" s="31" t="s">
        <v>586</v>
      </c>
      <c r="HK4" s="32" t="s">
        <v>94</v>
      </c>
      <c r="HL4" s="32"/>
      <c r="HM4" s="30" t="s">
        <v>368</v>
      </c>
      <c r="HN4" s="30"/>
      <c r="HO4" s="31"/>
      <c r="HP4" s="31" t="s">
        <v>54</v>
      </c>
      <c r="HQ4" s="32" t="s">
        <v>589</v>
      </c>
      <c r="HR4" s="32"/>
      <c r="HS4" s="30"/>
      <c r="HT4" s="30" t="s">
        <v>79</v>
      </c>
      <c r="HU4" s="33" t="s">
        <v>94</v>
      </c>
      <c r="HV4" s="31" t="s">
        <v>448</v>
      </c>
      <c r="HW4" s="33" t="s">
        <v>22</v>
      </c>
      <c r="HX4" s="33" t="s">
        <v>22</v>
      </c>
      <c r="HY4" s="30" t="s">
        <v>79</v>
      </c>
      <c r="HZ4" s="30"/>
      <c r="IA4" s="31" t="s">
        <v>596</v>
      </c>
      <c r="IB4" s="31" t="s">
        <v>585</v>
      </c>
      <c r="IC4" s="32"/>
      <c r="ID4" s="32" t="s">
        <v>587</v>
      </c>
      <c r="IE4" s="30"/>
      <c r="IF4" s="30" t="s">
        <v>448</v>
      </c>
      <c r="IG4" s="31"/>
      <c r="IH4" s="31" t="s">
        <v>81</v>
      </c>
      <c r="II4" s="33" t="s">
        <v>594</v>
      </c>
      <c r="IJ4" s="32" t="s">
        <v>584</v>
      </c>
      <c r="IK4" s="30"/>
      <c r="IL4" s="30"/>
      <c r="IM4" s="33" t="s">
        <v>451</v>
      </c>
      <c r="IN4" s="33" t="s">
        <v>448</v>
      </c>
      <c r="IO4" s="32" t="s">
        <v>584</v>
      </c>
      <c r="IP4" s="32" t="s">
        <v>595</v>
      </c>
      <c r="IQ4" s="30" t="s">
        <v>102</v>
      </c>
      <c r="IR4" s="30"/>
      <c r="IS4" s="31"/>
      <c r="IT4" s="31" t="s">
        <v>368</v>
      </c>
      <c r="IU4" s="32"/>
      <c r="IV4" s="32" t="s">
        <v>185</v>
      </c>
      <c r="IW4" s="30"/>
      <c r="IX4" s="30" t="s">
        <v>584</v>
      </c>
      <c r="IY4" s="33" t="s">
        <v>595</v>
      </c>
      <c r="IZ4" s="33" t="s">
        <v>595</v>
      </c>
      <c r="JA4" s="32" t="s">
        <v>368</v>
      </c>
      <c r="JB4" s="33" t="s">
        <v>448</v>
      </c>
      <c r="JC4" s="30" t="s">
        <v>587</v>
      </c>
      <c r="JD4" s="30" t="s">
        <v>28</v>
      </c>
      <c r="JE4" s="31"/>
      <c r="JF4" s="31"/>
      <c r="JG4" s="32" t="s">
        <v>94</v>
      </c>
      <c r="JH4" s="32" t="s">
        <v>585</v>
      </c>
      <c r="JI4" s="30"/>
      <c r="JJ4" s="30" t="s">
        <v>599</v>
      </c>
      <c r="JK4" s="31" t="s">
        <v>581</v>
      </c>
      <c r="JL4" s="31" t="s">
        <v>94</v>
      </c>
      <c r="JM4" s="33" t="s">
        <v>164</v>
      </c>
      <c r="JN4" s="33" t="s">
        <v>79</v>
      </c>
      <c r="JO4" s="30" t="s">
        <v>598</v>
      </c>
      <c r="JP4" s="30" t="s">
        <v>46</v>
      </c>
      <c r="JQ4" s="31" t="s">
        <v>589</v>
      </c>
      <c r="JR4" s="31" t="s">
        <v>585</v>
      </c>
      <c r="JS4" s="32" t="s">
        <v>592</v>
      </c>
      <c r="JT4" s="32" t="s">
        <v>598</v>
      </c>
      <c r="JU4" s="30"/>
      <c r="JV4" s="30"/>
      <c r="JW4" s="31" t="s">
        <v>238</v>
      </c>
      <c r="JX4" s="33" t="s">
        <v>586</v>
      </c>
      <c r="JY4" s="33" t="s">
        <v>176</v>
      </c>
      <c r="JZ4" s="32" t="s">
        <v>81</v>
      </c>
      <c r="KA4" s="33" t="s">
        <v>46</v>
      </c>
      <c r="KB4" s="30" t="s">
        <v>584</v>
      </c>
      <c r="KC4" s="31" t="s">
        <v>586</v>
      </c>
      <c r="KD4" s="31" t="s">
        <v>36</v>
      </c>
      <c r="KE4" s="32" t="s">
        <v>81</v>
      </c>
      <c r="KF4" s="32" t="s">
        <v>54</v>
      </c>
      <c r="KG4" s="30" t="s">
        <v>173</v>
      </c>
      <c r="KH4" s="30"/>
      <c r="KI4" s="31"/>
      <c r="KJ4" s="31" t="s">
        <v>238</v>
      </c>
      <c r="KK4" s="32" t="s">
        <v>588</v>
      </c>
      <c r="KL4" s="32" t="s">
        <v>587</v>
      </c>
      <c r="KM4" s="33" t="s">
        <v>124</v>
      </c>
      <c r="KN4" s="30" t="s">
        <v>597</v>
      </c>
      <c r="KO4" s="31" t="s">
        <v>448</v>
      </c>
      <c r="KP4" s="33" t="s">
        <v>36</v>
      </c>
      <c r="KQ4" s="32" t="s">
        <v>587</v>
      </c>
      <c r="KR4" s="33" t="s">
        <v>581</v>
      </c>
      <c r="KS4" s="30" t="s">
        <v>595</v>
      </c>
      <c r="KT4" s="30" t="s">
        <v>448</v>
      </c>
      <c r="KU4" s="31" t="s">
        <v>164</v>
      </c>
      <c r="KV4" s="31" t="s">
        <v>185</v>
      </c>
      <c r="KW4" s="32" t="s">
        <v>594</v>
      </c>
      <c r="KX4" s="32" t="s">
        <v>368</v>
      </c>
      <c r="KY4" s="30"/>
      <c r="KZ4" s="30" t="s">
        <v>81</v>
      </c>
      <c r="LA4" s="33" t="s">
        <v>54</v>
      </c>
      <c r="LB4" s="31" t="s">
        <v>590</v>
      </c>
      <c r="LC4" s="32" t="s">
        <v>601</v>
      </c>
      <c r="LD4" s="32" t="s">
        <v>79</v>
      </c>
      <c r="LE4" s="30" t="s">
        <v>81</v>
      </c>
      <c r="LF4" s="30"/>
      <c r="LG4" s="31" t="s">
        <v>597</v>
      </c>
      <c r="LH4" s="33" t="s">
        <v>594</v>
      </c>
      <c r="LI4" s="32" t="s">
        <v>599</v>
      </c>
      <c r="LJ4" s="32" t="s">
        <v>601</v>
      </c>
      <c r="LK4" s="30"/>
      <c r="LL4" s="30"/>
      <c r="LM4" s="33" t="s">
        <v>451</v>
      </c>
      <c r="LN4" s="33" t="s">
        <v>597</v>
      </c>
      <c r="LO4" s="32" t="s">
        <v>587</v>
      </c>
      <c r="LP4" s="33" t="s">
        <v>176</v>
      </c>
      <c r="LQ4" s="30" t="s">
        <v>33</v>
      </c>
      <c r="LR4" s="33" t="s">
        <v>448</v>
      </c>
      <c r="LS4" s="33" t="s">
        <v>597</v>
      </c>
      <c r="LT4" s="33" t="s">
        <v>597</v>
      </c>
      <c r="LU4" s="32" t="s">
        <v>581</v>
      </c>
      <c r="LV4" s="33" t="s">
        <v>594</v>
      </c>
      <c r="LW4" s="30" t="s">
        <v>592</v>
      </c>
      <c r="LX4" s="30" t="s">
        <v>79</v>
      </c>
      <c r="LY4" s="31" t="s">
        <v>448</v>
      </c>
      <c r="LZ4" s="31" t="s">
        <v>300</v>
      </c>
      <c r="MA4" s="32" t="s">
        <v>587</v>
      </c>
      <c r="MB4" s="33" t="s">
        <v>164</v>
      </c>
      <c r="MC4" s="33" t="s">
        <v>33</v>
      </c>
      <c r="MD4" s="33" t="s">
        <v>598</v>
      </c>
      <c r="ME4" s="33" t="s">
        <v>451</v>
      </c>
      <c r="MF4" s="33" t="s">
        <v>185</v>
      </c>
      <c r="MG4" s="32" t="s">
        <v>164</v>
      </c>
      <c r="MH4" s="32" t="s">
        <v>36</v>
      </c>
      <c r="MI4" s="33" t="s">
        <v>598</v>
      </c>
      <c r="MJ4" s="33" t="s">
        <v>79</v>
      </c>
      <c r="MK4" s="33" t="s">
        <v>597</v>
      </c>
      <c r="ML4" s="33" t="s">
        <v>597</v>
      </c>
      <c r="MM4" s="33" t="s">
        <v>581</v>
      </c>
      <c r="MN4" s="32" t="s">
        <v>22</v>
      </c>
      <c r="MO4" s="33" t="s">
        <v>81</v>
      </c>
      <c r="MP4" s="33" t="s">
        <v>81</v>
      </c>
      <c r="MQ4" s="42" t="s">
        <v>36</v>
      </c>
      <c r="MR4" s="33" t="s">
        <v>451</v>
      </c>
      <c r="MS4" s="32" t="s">
        <v>594</v>
      </c>
      <c r="MT4" s="37" t="s">
        <v>581</v>
      </c>
      <c r="MU4" s="30" t="s">
        <v>81</v>
      </c>
      <c r="MV4" s="33" t="s">
        <v>588</v>
      </c>
      <c r="MW4" s="31" t="s">
        <v>33</v>
      </c>
      <c r="MX4" s="31"/>
      <c r="MY4" s="32" t="s">
        <v>585</v>
      </c>
      <c r="MZ4" s="32" t="s">
        <v>59</v>
      </c>
      <c r="NA4" s="30"/>
      <c r="NB4" s="30"/>
      <c r="NC4" s="31"/>
      <c r="ND4" s="31" t="s">
        <v>81</v>
      </c>
      <c r="NE4" s="32" t="s">
        <v>124</v>
      </c>
      <c r="NF4" s="32" t="s">
        <v>185</v>
      </c>
      <c r="NG4" s="30" t="s">
        <v>588</v>
      </c>
      <c r="NH4" s="30" t="s">
        <v>124</v>
      </c>
      <c r="NI4" s="31" t="s">
        <v>81</v>
      </c>
      <c r="NJ4" s="31"/>
      <c r="NK4" s="32" t="s">
        <v>185</v>
      </c>
      <c r="NL4" s="32"/>
      <c r="NM4" s="30" t="s">
        <v>597</v>
      </c>
      <c r="NN4" s="30"/>
      <c r="NO4" s="31"/>
      <c r="NP4" s="31" t="s">
        <v>583</v>
      </c>
      <c r="NQ4" s="32"/>
      <c r="NR4" s="32" t="s">
        <v>81</v>
      </c>
      <c r="NS4" s="30"/>
      <c r="NT4" s="30" t="s">
        <v>94</v>
      </c>
      <c r="NU4" s="33" t="s">
        <v>41</v>
      </c>
      <c r="NV4" s="33" t="s">
        <v>74</v>
      </c>
      <c r="NW4" s="32" t="s">
        <v>81</v>
      </c>
      <c r="NX4" s="32"/>
      <c r="NY4" s="30" t="s">
        <v>94</v>
      </c>
      <c r="NZ4" s="30" t="s">
        <v>33</v>
      </c>
      <c r="OA4" s="31" t="s">
        <v>588</v>
      </c>
      <c r="OB4" s="31"/>
      <c r="OC4" s="43"/>
      <c r="OD4" s="32" t="s">
        <v>22</v>
      </c>
      <c r="OE4" s="39" t="s">
        <v>608</v>
      </c>
      <c r="OF4" s="30" t="s">
        <v>124</v>
      </c>
      <c r="OG4" s="31" t="s">
        <v>238</v>
      </c>
      <c r="OH4" s="31" t="s">
        <v>599</v>
      </c>
      <c r="OI4" s="32" t="s">
        <v>74</v>
      </c>
      <c r="OJ4" s="32"/>
      <c r="OK4" s="30" t="s">
        <v>124</v>
      </c>
      <c r="OL4" s="30"/>
      <c r="OM4" s="31" t="s">
        <v>36</v>
      </c>
      <c r="ON4" s="31"/>
      <c r="OO4" s="39"/>
      <c r="OP4" s="32"/>
      <c r="OQ4" s="30"/>
      <c r="OR4" s="30" t="s">
        <v>363</v>
      </c>
      <c r="OS4" s="31"/>
      <c r="OT4" s="31" t="s">
        <v>271</v>
      </c>
      <c r="OU4" s="32"/>
      <c r="OV4" s="32"/>
      <c r="OW4" s="30"/>
      <c r="OX4" s="30"/>
      <c r="OY4" s="31" t="s">
        <v>74</v>
      </c>
      <c r="OZ4" s="31"/>
      <c r="PA4" s="32" t="s">
        <v>94</v>
      </c>
      <c r="PB4" s="32"/>
      <c r="PC4" s="30"/>
      <c r="PD4" s="30"/>
      <c r="PE4" s="31"/>
      <c r="PF4" s="31"/>
      <c r="PG4" s="32"/>
      <c r="PH4" s="32" t="s">
        <v>176</v>
      </c>
      <c r="PI4" s="30"/>
      <c r="PJ4" s="30" t="s">
        <v>79</v>
      </c>
      <c r="PK4" s="31"/>
      <c r="PL4" s="31"/>
      <c r="PM4" s="32" t="s">
        <v>583</v>
      </c>
      <c r="PN4" s="32"/>
      <c r="PO4" s="30" t="s">
        <v>176</v>
      </c>
      <c r="PP4" s="30" t="s">
        <v>588</v>
      </c>
      <c r="PQ4" s="31" t="s">
        <v>59</v>
      </c>
      <c r="PR4" s="31"/>
      <c r="PS4" s="32"/>
      <c r="PT4" s="32"/>
      <c r="PU4" s="30"/>
      <c r="PV4" s="30" t="s">
        <v>271</v>
      </c>
      <c r="PW4" s="31"/>
      <c r="PX4" s="31"/>
      <c r="PY4" s="32"/>
      <c r="PZ4" s="32"/>
      <c r="QA4" s="30" t="s">
        <v>271</v>
      </c>
      <c r="QB4" s="30"/>
      <c r="QC4" s="31" t="s">
        <v>124</v>
      </c>
      <c r="QD4" s="31"/>
      <c r="QE4" s="32"/>
      <c r="QF4" s="32"/>
      <c r="QG4" s="30"/>
      <c r="QH4" s="30"/>
      <c r="QI4" s="31"/>
      <c r="QJ4" s="31" t="s">
        <v>46</v>
      </c>
      <c r="QK4" s="32"/>
      <c r="QL4" s="32" t="s">
        <v>594</v>
      </c>
      <c r="QM4" s="30"/>
      <c r="QN4" s="30" t="s">
        <v>59</v>
      </c>
      <c r="QO4" s="31" t="s">
        <v>601</v>
      </c>
      <c r="QP4" s="31" t="s">
        <v>448</v>
      </c>
      <c r="QQ4" s="32" t="s">
        <v>585</v>
      </c>
      <c r="QR4" s="32"/>
      <c r="QS4" s="30" t="s">
        <v>59</v>
      </c>
      <c r="QT4" s="30"/>
      <c r="QU4" s="31"/>
      <c r="QV4" s="31" t="s">
        <v>46</v>
      </c>
      <c r="QW4" s="32" t="s">
        <v>587</v>
      </c>
      <c r="QX4" s="34" t="s">
        <v>584</v>
      </c>
      <c r="QY4" s="30"/>
      <c r="QZ4" s="30" t="s">
        <v>300</v>
      </c>
      <c r="RA4" s="31" t="s">
        <v>41</v>
      </c>
      <c r="RB4" s="31" t="s">
        <v>59</v>
      </c>
      <c r="RC4" s="32" t="s">
        <v>74</v>
      </c>
      <c r="RD4" s="32" t="s">
        <v>448</v>
      </c>
      <c r="RE4" s="30" t="s">
        <v>300</v>
      </c>
      <c r="RF4" s="30"/>
      <c r="RG4" s="31"/>
      <c r="RH4" s="31" t="s">
        <v>451</v>
      </c>
      <c r="RI4" s="32"/>
      <c r="RJ4" s="34" t="s">
        <v>124</v>
      </c>
      <c r="RK4" s="30"/>
      <c r="RL4" s="30" t="s">
        <v>81</v>
      </c>
      <c r="RM4" s="31" t="s">
        <v>185</v>
      </c>
      <c r="RN4" s="44" t="s">
        <v>74</v>
      </c>
      <c r="RO4" s="32" t="s">
        <v>64</v>
      </c>
      <c r="RP4" s="32"/>
      <c r="RQ4" s="30" t="s">
        <v>368</v>
      </c>
      <c r="RR4" s="30" t="s">
        <v>300</v>
      </c>
      <c r="RS4" s="31" t="s">
        <v>451</v>
      </c>
      <c r="RT4" s="31" t="s">
        <v>448</v>
      </c>
      <c r="RU4" s="32" t="s">
        <v>124</v>
      </c>
      <c r="RV4" s="32"/>
      <c r="RW4" s="30"/>
      <c r="RX4" s="30"/>
      <c r="RY4" s="31"/>
      <c r="RZ4" s="31" t="s">
        <v>54</v>
      </c>
      <c r="SA4" s="32" t="s">
        <v>74</v>
      </c>
      <c r="SB4" s="33" t="s">
        <v>164</v>
      </c>
      <c r="SC4" s="30" t="s">
        <v>79</v>
      </c>
      <c r="SD4" s="30" t="s">
        <v>86</v>
      </c>
      <c r="SE4" s="31" t="s">
        <v>583</v>
      </c>
      <c r="SF4" s="31"/>
      <c r="SG4" s="32" t="s">
        <v>368</v>
      </c>
      <c r="SH4" s="32"/>
      <c r="SI4" s="30"/>
      <c r="SJ4" s="30"/>
      <c r="SK4" s="30" t="s">
        <v>164</v>
      </c>
      <c r="SL4" s="31"/>
      <c r="SM4" s="31" t="s">
        <v>300</v>
      </c>
      <c r="SN4" s="39"/>
      <c r="SO4" s="32" t="s">
        <v>185</v>
      </c>
      <c r="SP4" s="33" t="s">
        <v>74</v>
      </c>
      <c r="SQ4" s="33" t="s">
        <v>587</v>
      </c>
      <c r="SR4" s="31"/>
      <c r="SS4" s="31" t="s">
        <v>54</v>
      </c>
      <c r="ST4" s="32" t="s">
        <v>451</v>
      </c>
      <c r="SU4" s="32"/>
      <c r="SV4" s="30" t="s">
        <v>363</v>
      </c>
      <c r="SW4" s="33" t="s">
        <v>74</v>
      </c>
      <c r="SX4" s="31" t="s">
        <v>94</v>
      </c>
      <c r="SY4" s="31" t="s">
        <v>41</v>
      </c>
      <c r="SZ4" s="32" t="s">
        <v>46</v>
      </c>
      <c r="TA4" s="32" t="s">
        <v>271</v>
      </c>
      <c r="TB4" s="30"/>
      <c r="TC4" s="30" t="s">
        <v>593</v>
      </c>
      <c r="TD4" s="33" t="s">
        <v>448</v>
      </c>
      <c r="TE4" s="31" t="s">
        <v>164</v>
      </c>
      <c r="TF4" s="32" t="s">
        <v>54</v>
      </c>
      <c r="TG4" s="32" t="s">
        <v>86</v>
      </c>
      <c r="TH4" s="30" t="s">
        <v>102</v>
      </c>
      <c r="TI4" s="30" t="s">
        <v>54</v>
      </c>
      <c r="TJ4" s="31" t="s">
        <v>164</v>
      </c>
      <c r="TK4" s="33" t="s">
        <v>124</v>
      </c>
      <c r="TL4" s="32" t="s">
        <v>368</v>
      </c>
      <c r="TM4" s="32" t="s">
        <v>164</v>
      </c>
      <c r="TN4" s="33" t="s">
        <v>41</v>
      </c>
      <c r="TO4" s="30" t="s">
        <v>64</v>
      </c>
      <c r="TP4" s="33" t="s">
        <v>319</v>
      </c>
      <c r="TQ4" s="31" t="s">
        <v>603</v>
      </c>
      <c r="TR4" s="33" t="s">
        <v>588</v>
      </c>
      <c r="TS4" s="32" t="s">
        <v>584</v>
      </c>
      <c r="TT4" s="33" t="s">
        <v>238</v>
      </c>
      <c r="TU4" s="33" t="s">
        <v>583</v>
      </c>
      <c r="TV4" s="31" t="s">
        <v>603</v>
      </c>
      <c r="TW4" s="31"/>
      <c r="TX4" s="32" t="s">
        <v>588</v>
      </c>
      <c r="TY4" s="32" t="s">
        <v>271</v>
      </c>
      <c r="TZ4" s="30" t="s">
        <v>586</v>
      </c>
      <c r="UA4" s="30"/>
      <c r="UB4" s="31" t="s">
        <v>185</v>
      </c>
      <c r="UC4" s="31" t="s">
        <v>603</v>
      </c>
      <c r="UD4" s="32"/>
      <c r="UE4" s="32" t="s">
        <v>64</v>
      </c>
      <c r="UF4" s="30"/>
      <c r="UG4" s="30" t="s">
        <v>86</v>
      </c>
      <c r="UH4" s="33" t="s">
        <v>583</v>
      </c>
      <c r="UI4" s="31" t="s">
        <v>451</v>
      </c>
      <c r="UJ4" s="32" t="s">
        <v>124</v>
      </c>
      <c r="UK4" s="32"/>
      <c r="UL4" s="33" t="s">
        <v>59</v>
      </c>
      <c r="UM4" s="33" t="s">
        <v>59</v>
      </c>
      <c r="UN4" s="31"/>
      <c r="UO4" s="31" t="s">
        <v>46</v>
      </c>
      <c r="UP4" s="32"/>
      <c r="UQ4" s="32" t="s">
        <v>609</v>
      </c>
      <c r="UR4" s="30"/>
      <c r="US4" s="30" t="s">
        <v>368</v>
      </c>
      <c r="UT4" s="33" t="s">
        <v>300</v>
      </c>
      <c r="UU4" s="31" t="s">
        <v>36</v>
      </c>
      <c r="UV4" s="32" t="s">
        <v>601</v>
      </c>
      <c r="UW4" s="32"/>
      <c r="UX4" s="30" t="s">
        <v>368</v>
      </c>
      <c r="UY4" s="30" t="s">
        <v>86</v>
      </c>
      <c r="UZ4" s="31" t="s">
        <v>300</v>
      </c>
      <c r="VA4" s="31" t="s">
        <v>74</v>
      </c>
      <c r="VB4" s="32"/>
      <c r="VC4" s="32"/>
      <c r="VD4" s="30"/>
      <c r="VE4" s="30" t="s">
        <v>64</v>
      </c>
      <c r="VF4" s="45" t="s">
        <v>327</v>
      </c>
      <c r="VG4" s="31" t="s">
        <v>584</v>
      </c>
      <c r="VH4" s="33" t="s">
        <v>185</v>
      </c>
      <c r="VI4" s="33" t="s">
        <v>74</v>
      </c>
      <c r="VJ4" s="30" t="s">
        <v>314</v>
      </c>
      <c r="VK4" s="30"/>
      <c r="VL4" s="31" t="s">
        <v>584</v>
      </c>
      <c r="VM4" s="31" t="s">
        <v>164</v>
      </c>
      <c r="VN4" s="32" t="s">
        <v>588</v>
      </c>
      <c r="VO4" s="33" t="s">
        <v>74</v>
      </c>
      <c r="VP4" s="30"/>
      <c r="VQ4" s="30"/>
      <c r="VR4" s="31" t="s">
        <v>164</v>
      </c>
      <c r="VS4" s="31"/>
      <c r="VT4" s="32"/>
      <c r="VU4" s="32" t="s">
        <v>79</v>
      </c>
      <c r="VV4" s="30" t="s">
        <v>74</v>
      </c>
      <c r="VW4" s="30" t="s">
        <v>271</v>
      </c>
      <c r="VX4" s="31"/>
      <c r="VY4" s="31" t="s">
        <v>54</v>
      </c>
      <c r="VZ4" s="32" t="s">
        <v>36</v>
      </c>
      <c r="WA4" s="32" t="s">
        <v>451</v>
      </c>
      <c r="WB4" s="30" t="s">
        <v>271</v>
      </c>
      <c r="WC4" s="30"/>
      <c r="WD4" s="31" t="s">
        <v>124</v>
      </c>
      <c r="WE4" s="31"/>
      <c r="WF4" s="32"/>
      <c r="WG4" s="32"/>
      <c r="WH4" s="30"/>
      <c r="WI4" s="30" t="s">
        <v>448</v>
      </c>
      <c r="WJ4" s="31" t="s">
        <v>173</v>
      </c>
      <c r="WK4" s="31"/>
      <c r="WL4" s="32" t="s">
        <v>54</v>
      </c>
      <c r="WM4" s="39" t="s">
        <v>610</v>
      </c>
      <c r="WN4" s="30" t="s">
        <v>185</v>
      </c>
      <c r="WO4" s="30"/>
      <c r="WP4" s="33" t="s">
        <v>164</v>
      </c>
      <c r="WQ4" s="33" t="s">
        <v>164</v>
      </c>
      <c r="WR4" s="39" t="s">
        <v>610</v>
      </c>
      <c r="WS4" s="32"/>
      <c r="WT4" s="41" t="s">
        <v>610</v>
      </c>
      <c r="WU4" s="30"/>
      <c r="WV4" s="31"/>
      <c r="WW4" s="31" t="s">
        <v>86</v>
      </c>
      <c r="WX4" s="32"/>
      <c r="WY4" s="39" t="s">
        <v>176</v>
      </c>
      <c r="WZ4" s="30"/>
      <c r="XA4" s="30"/>
      <c r="XB4" s="31"/>
      <c r="XC4" s="31"/>
      <c r="XD4" s="39"/>
      <c r="XE4" s="32"/>
      <c r="XF4" s="41" t="s">
        <v>79</v>
      </c>
      <c r="XG4" s="30"/>
      <c r="XH4" s="31"/>
      <c r="XI4" s="31"/>
      <c r="XJ4" s="32"/>
      <c r="XK4" s="32"/>
      <c r="XL4" s="30"/>
      <c r="XM4" s="30"/>
      <c r="XN4" s="31"/>
      <c r="XO4" s="31"/>
      <c r="XP4" s="32"/>
      <c r="XQ4" s="32"/>
      <c r="XR4" s="30"/>
      <c r="XS4" s="30"/>
      <c r="XT4" s="31"/>
      <c r="XU4" s="31"/>
      <c r="XV4" s="32"/>
      <c r="XW4" s="32"/>
      <c r="XX4" s="30"/>
      <c r="XY4" s="30" t="s">
        <v>81</v>
      </c>
      <c r="XZ4" s="33" t="s">
        <v>164</v>
      </c>
      <c r="YA4" s="31" t="s">
        <v>33</v>
      </c>
      <c r="YB4" s="32"/>
      <c r="YC4" s="32" t="s">
        <v>314</v>
      </c>
      <c r="YD4" s="30" t="s">
        <v>74</v>
      </c>
      <c r="YE4" s="30"/>
      <c r="YF4" s="31" t="s">
        <v>314</v>
      </c>
      <c r="YG4" s="31"/>
      <c r="YH4" s="32"/>
      <c r="YI4" s="32"/>
      <c r="YJ4" s="30"/>
      <c r="YK4" s="30" t="s">
        <v>86</v>
      </c>
      <c r="YL4" s="31"/>
      <c r="YM4" s="31"/>
      <c r="YN4" s="32"/>
      <c r="YO4" s="32"/>
      <c r="YP4" s="30"/>
      <c r="YQ4" s="30"/>
      <c r="YR4" s="31"/>
      <c r="YS4" s="31"/>
      <c r="YT4" s="32"/>
      <c r="YU4" s="32"/>
      <c r="YV4" s="30"/>
      <c r="YW4" s="30"/>
      <c r="YX4" s="31"/>
      <c r="YY4" s="31"/>
      <c r="YZ4" s="32"/>
      <c r="ZA4" s="32"/>
      <c r="ZB4" s="30"/>
      <c r="ZC4" s="30"/>
      <c r="ZD4" s="31"/>
      <c r="ZE4" s="31"/>
      <c r="ZF4" s="32"/>
      <c r="ZG4" s="32"/>
      <c r="ZH4" s="30"/>
      <c r="ZI4" s="30"/>
      <c r="ZJ4" s="31"/>
      <c r="ZK4" s="31"/>
      <c r="ZL4" s="32"/>
      <c r="ZM4" s="32"/>
      <c r="ZN4" s="30"/>
      <c r="ZO4" s="30"/>
      <c r="ZP4" s="31"/>
      <c r="ZQ4" s="31"/>
      <c r="ZR4" s="32"/>
      <c r="ZS4" s="32"/>
      <c r="ZT4" s="30"/>
      <c r="ZU4" s="30"/>
      <c r="ZV4" s="31"/>
      <c r="ZW4" s="31"/>
      <c r="ZX4" s="32"/>
      <c r="ZY4" s="32"/>
      <c r="ZZ4" s="30"/>
      <c r="AAA4" s="30"/>
      <c r="AAB4" s="31"/>
      <c r="AAC4" s="31"/>
      <c r="AAD4" s="32"/>
      <c r="AAE4" s="32" t="s">
        <v>448</v>
      </c>
      <c r="AAF4" s="30"/>
      <c r="AAG4" s="30" t="s">
        <v>36</v>
      </c>
      <c r="AAH4" s="31"/>
      <c r="AAI4" s="31" t="s">
        <v>327</v>
      </c>
      <c r="AAJ4" s="32" t="s">
        <v>448</v>
      </c>
      <c r="AAK4" s="32" t="s">
        <v>583</v>
      </c>
      <c r="AAL4" s="33" t="s">
        <v>33</v>
      </c>
      <c r="AAM4" s="33" t="s">
        <v>33</v>
      </c>
      <c r="AAN4" s="31"/>
      <c r="AAO4" s="31" t="s">
        <v>185</v>
      </c>
      <c r="AAP4" s="32"/>
      <c r="AAQ4" s="33" t="s">
        <v>164</v>
      </c>
      <c r="AAR4" s="30" t="s">
        <v>124</v>
      </c>
      <c r="AAS4" s="33" t="s">
        <v>176</v>
      </c>
      <c r="AAT4" s="31"/>
      <c r="AAU4" s="31" t="s">
        <v>289</v>
      </c>
      <c r="AAV4" s="32" t="s">
        <v>164</v>
      </c>
      <c r="AAW4" s="32"/>
      <c r="AAX4" s="30" t="s">
        <v>592</v>
      </c>
      <c r="AAY4" s="30"/>
      <c r="AAZ4" s="31" t="s">
        <v>300</v>
      </c>
      <c r="ABA4" s="31"/>
      <c r="ABB4" s="32"/>
      <c r="ABC4" s="32"/>
      <c r="ABD4" s="30"/>
      <c r="ABE4" s="30"/>
      <c r="ABF4" s="31"/>
      <c r="ABG4" s="31"/>
      <c r="ABH4" s="32"/>
      <c r="ABI4" s="32" t="s">
        <v>601</v>
      </c>
      <c r="ABJ4" s="30"/>
      <c r="ABK4" s="30"/>
      <c r="ABL4" s="31"/>
      <c r="ABM4" s="31" t="s">
        <v>124</v>
      </c>
      <c r="ABN4" s="32"/>
      <c r="ABO4" s="39" t="s">
        <v>611</v>
      </c>
      <c r="ABP4" s="30" t="s">
        <v>314</v>
      </c>
      <c r="ABQ4" s="30" t="s">
        <v>227</v>
      </c>
      <c r="ABR4" s="31"/>
      <c r="ABS4" s="31"/>
      <c r="ABT4" s="32"/>
      <c r="ABU4" s="32"/>
      <c r="ABV4" s="30"/>
      <c r="ABW4" s="30"/>
      <c r="ABX4" s="31" t="s">
        <v>59</v>
      </c>
      <c r="ABY4" s="31"/>
      <c r="ABZ4" s="32"/>
      <c r="ACA4" s="32"/>
      <c r="ACB4" s="30"/>
      <c r="ACC4" s="30"/>
      <c r="ACD4" s="31"/>
      <c r="ACE4" s="31"/>
      <c r="ACF4" s="32"/>
      <c r="ACG4" s="32" t="s">
        <v>592</v>
      </c>
      <c r="ACH4" s="30"/>
      <c r="ACI4" s="30"/>
      <c r="ACJ4" s="33" t="s">
        <v>319</v>
      </c>
      <c r="ACK4" s="31"/>
      <c r="ACL4" s="32" t="s">
        <v>271</v>
      </c>
      <c r="ACM4" s="33" t="s">
        <v>59</v>
      </c>
      <c r="ACN4" s="33" t="s">
        <v>164</v>
      </c>
      <c r="ACO4" s="30"/>
      <c r="ACP4" s="31"/>
      <c r="ACQ4" s="31"/>
      <c r="ACR4" s="32" t="s">
        <v>592</v>
      </c>
      <c r="ACS4" s="32"/>
      <c r="ACT4" s="30" t="s">
        <v>124</v>
      </c>
      <c r="ACU4" s="30"/>
      <c r="ACV4" s="31"/>
      <c r="ACW4" s="31" t="s">
        <v>46</v>
      </c>
      <c r="ACX4" s="32" t="s">
        <v>314</v>
      </c>
      <c r="ACY4" s="32"/>
      <c r="ACZ4" s="30" t="s">
        <v>36</v>
      </c>
      <c r="ADA4" s="30" t="s">
        <v>271</v>
      </c>
      <c r="ADB4" s="31" t="s">
        <v>46</v>
      </c>
      <c r="ADC4" s="33" t="s">
        <v>587</v>
      </c>
      <c r="ADD4" s="32"/>
      <c r="ADE4" s="32" t="s">
        <v>54</v>
      </c>
      <c r="ADF4" s="41" t="s">
        <v>612</v>
      </c>
      <c r="ADG4" s="30" t="s">
        <v>319</v>
      </c>
      <c r="ADH4" s="31"/>
      <c r="ADI4" s="31"/>
      <c r="ADJ4" s="33" t="s">
        <v>592</v>
      </c>
      <c r="ADK4" s="32" t="s">
        <v>46</v>
      </c>
      <c r="ADL4" s="33" t="s">
        <v>28</v>
      </c>
      <c r="ADM4" s="33" t="s">
        <v>33</v>
      </c>
      <c r="ADN4" s="31"/>
      <c r="ADO4" s="31"/>
      <c r="ADP4" s="32" t="s">
        <v>583</v>
      </c>
      <c r="ADQ4" s="32"/>
      <c r="ADR4" s="30" t="s">
        <v>592</v>
      </c>
      <c r="ADS4" s="30"/>
      <c r="ADT4" s="31" t="s">
        <v>448</v>
      </c>
      <c r="ADU4" s="31"/>
      <c r="ADV4" s="32"/>
      <c r="ADW4" s="32" t="s">
        <v>54</v>
      </c>
      <c r="ADX4" s="33" t="s">
        <v>22</v>
      </c>
      <c r="ADY4" s="41" t="s">
        <v>79</v>
      </c>
      <c r="ADZ4" s="31"/>
      <c r="AEA4" s="31" t="s">
        <v>612</v>
      </c>
      <c r="AEB4" s="32" t="s">
        <v>36</v>
      </c>
      <c r="AEC4" s="32"/>
      <c r="AED4" s="30"/>
      <c r="AEE4" s="30"/>
      <c r="AEF4" s="31"/>
      <c r="AEG4" s="31" t="s">
        <v>102</v>
      </c>
      <c r="AEH4" s="32"/>
      <c r="AEI4" s="32"/>
      <c r="AEJ4" s="30"/>
      <c r="AEK4" s="33" t="s">
        <v>451</v>
      </c>
      <c r="AEL4" s="31" t="s">
        <v>64</v>
      </c>
      <c r="AEM4" s="31"/>
      <c r="AEN4" s="32"/>
      <c r="AEO4" s="32" t="s">
        <v>81</v>
      </c>
      <c r="AEP4" s="30" t="s">
        <v>451</v>
      </c>
      <c r="AEQ4" s="30"/>
      <c r="AER4" s="33" t="s">
        <v>588</v>
      </c>
      <c r="AES4" s="31" t="s">
        <v>451</v>
      </c>
      <c r="AET4" s="32" t="s">
        <v>185</v>
      </c>
      <c r="AEU4" s="33" t="s">
        <v>33</v>
      </c>
      <c r="AEV4" s="30" t="s">
        <v>300</v>
      </c>
      <c r="AEW4" s="33" t="s">
        <v>227</v>
      </c>
      <c r="AEX4" s="31"/>
      <c r="AEY4" s="40" t="s">
        <v>300</v>
      </c>
      <c r="AEZ4" s="32"/>
      <c r="AFA4" s="32"/>
      <c r="AFB4" s="30" t="s">
        <v>36</v>
      </c>
      <c r="AFC4" s="30"/>
      <c r="AFD4" s="31" t="s">
        <v>64</v>
      </c>
      <c r="AFE4" s="33" t="s">
        <v>102</v>
      </c>
      <c r="AFF4" s="32"/>
      <c r="AFG4" s="32" t="s">
        <v>59</v>
      </c>
      <c r="AFH4" s="30" t="s">
        <v>94</v>
      </c>
      <c r="AFI4" s="30"/>
      <c r="AFJ4" s="31"/>
      <c r="AFK4" s="31"/>
      <c r="AFL4" s="32"/>
      <c r="AFM4" s="32" t="s">
        <v>33</v>
      </c>
      <c r="AFN4" s="30"/>
      <c r="AFO4" s="30" t="s">
        <v>94</v>
      </c>
      <c r="AFP4" s="31"/>
      <c r="AFQ4" s="31"/>
      <c r="AFR4" s="32" t="s">
        <v>33</v>
      </c>
      <c r="AFS4" s="32"/>
      <c r="AFT4" s="30" t="s">
        <v>86</v>
      </c>
      <c r="AFU4" s="30" t="s">
        <v>74</v>
      </c>
      <c r="AFV4" s="31"/>
      <c r="AFW4" s="31"/>
      <c r="AFX4" s="32"/>
      <c r="AFY4" s="32"/>
      <c r="AFZ4" s="30"/>
      <c r="AGA4" s="30" t="s">
        <v>94</v>
      </c>
      <c r="AGB4" s="31" t="s">
        <v>74</v>
      </c>
      <c r="AGC4" s="31" t="s">
        <v>606</v>
      </c>
      <c r="AGD4" s="32" t="s">
        <v>448</v>
      </c>
      <c r="AGE4" s="32"/>
      <c r="AGF4" s="30" t="s">
        <v>28</v>
      </c>
      <c r="AGG4" s="30"/>
      <c r="AGH4" s="31"/>
      <c r="AGI4" s="31"/>
      <c r="AGJ4" s="32"/>
      <c r="AGK4" s="32"/>
      <c r="AGL4" s="30" t="s">
        <v>601</v>
      </c>
      <c r="AGM4" s="30"/>
      <c r="AGN4" s="31"/>
      <c r="AGO4" s="31"/>
      <c r="AGP4" s="32"/>
      <c r="AGQ4" s="32" t="s">
        <v>41</v>
      </c>
      <c r="AGR4" s="33" t="s">
        <v>227</v>
      </c>
      <c r="AGS4" s="30" t="s">
        <v>94</v>
      </c>
      <c r="AGT4" s="31" t="s">
        <v>319</v>
      </c>
      <c r="AGU4" s="31" t="s">
        <v>185</v>
      </c>
      <c r="AGV4" s="32" t="s">
        <v>451</v>
      </c>
      <c r="AGW4" s="32"/>
      <c r="AGX4" s="30"/>
      <c r="AGY4" s="30" t="s">
        <v>451</v>
      </c>
      <c r="AGZ4" s="31"/>
      <c r="AHA4" s="31"/>
      <c r="AHB4" s="33" t="s">
        <v>74</v>
      </c>
      <c r="AHC4" s="32" t="s">
        <v>81</v>
      </c>
      <c r="AHD4" s="33" t="s">
        <v>451</v>
      </c>
      <c r="AHE4" s="30" t="s">
        <v>173</v>
      </c>
      <c r="AHF4" s="33" t="s">
        <v>59</v>
      </c>
      <c r="AHG4" s="31" t="s">
        <v>33</v>
      </c>
      <c r="AHH4" s="33" t="s">
        <v>81</v>
      </c>
      <c r="AHI4" s="32" t="s">
        <v>54</v>
      </c>
      <c r="AHJ4" s="30" t="s">
        <v>173</v>
      </c>
      <c r="AHK4" s="30" t="s">
        <v>448</v>
      </c>
      <c r="AHL4" s="33" t="s">
        <v>33</v>
      </c>
      <c r="AHM4" s="33" t="s">
        <v>33</v>
      </c>
      <c r="AHN4" s="32" t="s">
        <v>64</v>
      </c>
      <c r="AHO4" s="32" t="s">
        <v>601</v>
      </c>
      <c r="AHP4" s="30" t="s">
        <v>314</v>
      </c>
      <c r="AHQ4" s="33" t="s">
        <v>238</v>
      </c>
      <c r="AHR4" s="31" t="s">
        <v>86</v>
      </c>
      <c r="AHS4" s="31"/>
      <c r="AHT4" s="32" t="s">
        <v>69</v>
      </c>
      <c r="AHU4" s="33" t="s">
        <v>33</v>
      </c>
      <c r="AHV4" s="30" t="s">
        <v>81</v>
      </c>
      <c r="AHW4" s="30" t="s">
        <v>94</v>
      </c>
      <c r="AHX4" s="31"/>
      <c r="AHY4" s="31"/>
      <c r="AHZ4" s="32"/>
      <c r="AIA4" s="39" t="s">
        <v>28</v>
      </c>
      <c r="AIB4" s="30"/>
      <c r="AIC4" s="30"/>
      <c r="AID4" s="31"/>
      <c r="AIE4" s="31"/>
      <c r="AIF4" s="32"/>
      <c r="AIG4" s="32"/>
      <c r="AIH4" s="30"/>
      <c r="AII4" s="30" t="s">
        <v>74</v>
      </c>
      <c r="AIJ4" s="31"/>
      <c r="AIK4" s="31"/>
      <c r="AIL4" s="39" t="s">
        <v>102</v>
      </c>
      <c r="AIM4" s="32" t="s">
        <v>94</v>
      </c>
      <c r="AIN4" s="41" t="s">
        <v>28</v>
      </c>
      <c r="AIO4" s="30"/>
      <c r="AIP4" s="31"/>
      <c r="AIQ4" s="31"/>
      <c r="AIR4" s="32"/>
      <c r="AIS4" s="32" t="s">
        <v>327</v>
      </c>
      <c r="AIT4" s="30" t="s">
        <v>173</v>
      </c>
      <c r="AIU4" s="30" t="s">
        <v>28</v>
      </c>
      <c r="AIV4" s="31"/>
      <c r="AIW4" s="31"/>
      <c r="AIX4" s="32" t="s">
        <v>327</v>
      </c>
      <c r="AIY4" s="33" t="s">
        <v>86</v>
      </c>
      <c r="AIZ4" s="30" t="s">
        <v>164</v>
      </c>
      <c r="AJA4" s="30" t="s">
        <v>327</v>
      </c>
      <c r="AJB4" s="31"/>
      <c r="AJC4" s="31"/>
      <c r="AJD4" s="32"/>
      <c r="AJE4" s="32" t="s">
        <v>102</v>
      </c>
      <c r="AJF4" s="30"/>
      <c r="AJG4" s="30"/>
      <c r="AJH4" s="31"/>
      <c r="AJI4" s="31"/>
      <c r="AJJ4" s="32"/>
      <c r="AJK4" s="32"/>
      <c r="AJL4" s="30"/>
      <c r="AJM4" s="30"/>
      <c r="AJN4" s="31" t="s">
        <v>327</v>
      </c>
      <c r="AJO4" s="31" t="s">
        <v>613</v>
      </c>
      <c r="AJP4" s="32"/>
      <c r="AJQ4" s="32"/>
      <c r="AJR4" s="30"/>
      <c r="AJS4" s="30"/>
      <c r="AJT4" s="31"/>
      <c r="AJU4" s="31" t="s">
        <v>74</v>
      </c>
      <c r="AJV4" s="32"/>
      <c r="AJW4" s="32"/>
      <c r="AJX4" s="30"/>
      <c r="AJY4" s="30"/>
      <c r="AJZ4" s="31" t="s">
        <v>74</v>
      </c>
      <c r="AKA4" s="33" t="s">
        <v>33</v>
      </c>
      <c r="AKB4" s="32" t="s">
        <v>588</v>
      </c>
      <c r="AKC4" s="33" t="s">
        <v>94</v>
      </c>
      <c r="AKD4" s="30"/>
      <c r="AKE4" s="30"/>
      <c r="AKF4" s="31" t="s">
        <v>46</v>
      </c>
      <c r="AKG4" s="31"/>
      <c r="AKH4" s="32"/>
      <c r="AKI4" s="32" t="s">
        <v>74</v>
      </c>
      <c r="AKJ4" s="33" t="s">
        <v>33</v>
      </c>
      <c r="AKK4" s="30" t="s">
        <v>94</v>
      </c>
      <c r="AKL4" s="31" t="s">
        <v>327</v>
      </c>
      <c r="AKM4" s="31"/>
      <c r="AKN4" s="32" t="s">
        <v>448</v>
      </c>
      <c r="AKO4" s="32"/>
      <c r="AKP4" s="33" t="s">
        <v>94</v>
      </c>
      <c r="AKQ4" s="33" t="s">
        <v>81</v>
      </c>
      <c r="AKR4" s="31"/>
      <c r="AKS4" s="31"/>
      <c r="AKT4" s="33" t="s">
        <v>583</v>
      </c>
      <c r="AKU4" s="32" t="s">
        <v>74</v>
      </c>
      <c r="AKV4" s="30" t="s">
        <v>69</v>
      </c>
      <c r="AKW4" s="30" t="s">
        <v>176</v>
      </c>
      <c r="AKX4" s="33" t="s">
        <v>28</v>
      </c>
      <c r="AKY4" s="31" t="s">
        <v>164</v>
      </c>
      <c r="AKZ4" s="33" t="s">
        <v>271</v>
      </c>
      <c r="ALA4" s="36" t="s">
        <v>271</v>
      </c>
      <c r="ALB4" s="33" t="s">
        <v>176</v>
      </c>
      <c r="ALC4" s="33" t="s">
        <v>300</v>
      </c>
      <c r="ALD4" s="33" t="s">
        <v>164</v>
      </c>
      <c r="ALE4" s="33" t="s">
        <v>164</v>
      </c>
      <c r="ALF4" s="33" t="s">
        <v>79</v>
      </c>
      <c r="ALG4" s="32" t="s">
        <v>389</v>
      </c>
      <c r="ALH4" s="33" t="s">
        <v>69</v>
      </c>
      <c r="ALI4" s="33" t="s">
        <v>69</v>
      </c>
      <c r="ALJ4" s="33" t="s">
        <v>164</v>
      </c>
      <c r="ALK4" s="31" t="s">
        <v>314</v>
      </c>
      <c r="ALL4" s="32" t="s">
        <v>259</v>
      </c>
      <c r="ALM4" s="33" t="s">
        <v>94</v>
      </c>
      <c r="ALN4" s="33" t="s">
        <v>69</v>
      </c>
      <c r="ALO4" s="33" t="s">
        <v>587</v>
      </c>
      <c r="ALP4" s="31" t="s">
        <v>314</v>
      </c>
      <c r="ALQ4" s="31"/>
      <c r="ALR4" s="32" t="s">
        <v>94</v>
      </c>
      <c r="ALS4" s="32" t="s">
        <v>41</v>
      </c>
      <c r="ALT4" s="30" t="s">
        <v>227</v>
      </c>
      <c r="ALU4" s="30" t="s">
        <v>289</v>
      </c>
      <c r="ALV4" s="31" t="s">
        <v>588</v>
      </c>
      <c r="ALW4" s="31" t="s">
        <v>102</v>
      </c>
      <c r="ALX4" s="33" t="s">
        <v>164</v>
      </c>
      <c r="ALY4" s="32" t="s">
        <v>601</v>
      </c>
      <c r="ALZ4" s="30"/>
      <c r="AMA4" s="30" t="s">
        <v>271</v>
      </c>
      <c r="AMB4" s="31" t="s">
        <v>69</v>
      </c>
      <c r="AMC4" s="33" t="s">
        <v>587</v>
      </c>
      <c r="AMD4" s="32" t="s">
        <v>601</v>
      </c>
      <c r="AME4" s="32" t="s">
        <v>28</v>
      </c>
      <c r="AMF4" s="30" t="s">
        <v>271</v>
      </c>
      <c r="AMG4" s="33" t="s">
        <v>594</v>
      </c>
      <c r="AMH4" s="33" t="s">
        <v>259</v>
      </c>
      <c r="AMI4" s="31" t="s">
        <v>69</v>
      </c>
      <c r="AMJ4" s="32"/>
      <c r="AMK4" s="32"/>
      <c r="AML4" s="33" t="s">
        <v>587</v>
      </c>
      <c r="AMM4" s="33" t="s">
        <v>54</v>
      </c>
      <c r="AMN4" s="33" t="s">
        <v>601</v>
      </c>
      <c r="AMO4" s="33" t="s">
        <v>36</v>
      </c>
      <c r="AMP4" s="33" t="s">
        <v>164</v>
      </c>
      <c r="AMQ4" s="33" t="s">
        <v>164</v>
      </c>
      <c r="AMR4" s="30" t="s">
        <v>102</v>
      </c>
      <c r="AMS4" s="33" t="s">
        <v>389</v>
      </c>
      <c r="AMT4" s="31" t="s">
        <v>36</v>
      </c>
      <c r="AMU4" s="33" t="s">
        <v>41</v>
      </c>
      <c r="AMV4" s="32" t="s">
        <v>594</v>
      </c>
      <c r="AMW4" s="32" t="s">
        <v>124</v>
      </c>
      <c r="AMX4" s="33" t="s">
        <v>64</v>
      </c>
      <c r="AMY4" s="30" t="s">
        <v>271</v>
      </c>
      <c r="AMZ4" s="31" t="s">
        <v>601</v>
      </c>
      <c r="ANA4" s="31" t="s">
        <v>289</v>
      </c>
      <c r="ANB4" s="33" t="s">
        <v>102</v>
      </c>
      <c r="ANC4" s="33" t="s">
        <v>389</v>
      </c>
      <c r="AND4" s="33" t="s">
        <v>271</v>
      </c>
      <c r="ANE4" s="33" t="s">
        <v>448</v>
      </c>
      <c r="ANF4" s="31" t="s">
        <v>289</v>
      </c>
      <c r="ANG4" s="33" t="s">
        <v>594</v>
      </c>
      <c r="ANH4" s="32" t="s">
        <v>389</v>
      </c>
      <c r="ANI4" s="33" t="s">
        <v>314</v>
      </c>
      <c r="ANJ4" s="30" t="s">
        <v>448</v>
      </c>
      <c r="ANK4" s="30" t="s">
        <v>54</v>
      </c>
      <c r="ANL4" s="33" t="s">
        <v>594</v>
      </c>
      <c r="ANM4" s="33" t="s">
        <v>594</v>
      </c>
      <c r="ANN4" s="33" t="s">
        <v>314</v>
      </c>
      <c r="ANO4" s="32" t="s">
        <v>81</v>
      </c>
      <c r="ANP4" s="33" t="s">
        <v>601</v>
      </c>
      <c r="ANQ4" s="30" t="s">
        <v>448</v>
      </c>
      <c r="ANR4" s="33" t="s">
        <v>54</v>
      </c>
      <c r="ANS4" s="33" t="s">
        <v>54</v>
      </c>
      <c r="ANT4" s="33" t="s">
        <v>81</v>
      </c>
      <c r="ANU4" s="32" t="s">
        <v>594</v>
      </c>
      <c r="ANV4" s="30" t="s">
        <v>448</v>
      </c>
      <c r="ANW4" s="30" t="s">
        <v>86</v>
      </c>
      <c r="ANX4" s="31" t="s">
        <v>289</v>
      </c>
      <c r="ANY4" s="31" t="s">
        <v>69</v>
      </c>
      <c r="ANZ4" s="33" t="s">
        <v>164</v>
      </c>
      <c r="AOA4" s="33" t="s">
        <v>54</v>
      </c>
      <c r="AOB4" s="30" t="s">
        <v>79</v>
      </c>
      <c r="AOC4" s="30" t="s">
        <v>176</v>
      </c>
      <c r="AOD4" s="33" t="s">
        <v>94</v>
      </c>
      <c r="AOE4" s="33" t="s">
        <v>74</v>
      </c>
      <c r="AOF4" s="33" t="s">
        <v>54</v>
      </c>
      <c r="AOG4" s="33" t="s">
        <v>46</v>
      </c>
      <c r="AOH4" s="33" t="s">
        <v>176</v>
      </c>
      <c r="AOI4" s="33" t="s">
        <v>176</v>
      </c>
      <c r="AOJ4" s="31" t="s">
        <v>74</v>
      </c>
      <c r="AOK4" s="31" t="s">
        <v>173</v>
      </c>
      <c r="AOL4" s="32" t="s">
        <v>69</v>
      </c>
      <c r="AOM4" s="32" t="s">
        <v>592</v>
      </c>
      <c r="AON4" s="33" t="s">
        <v>46</v>
      </c>
      <c r="AOO4" s="33" t="s">
        <v>102</v>
      </c>
      <c r="AOP4" s="31"/>
      <c r="AOQ4" s="31" t="s">
        <v>227</v>
      </c>
      <c r="AOR4" s="32" t="s">
        <v>238</v>
      </c>
      <c r="AOS4" s="32" t="s">
        <v>319</v>
      </c>
      <c r="AOT4" s="30" t="s">
        <v>102</v>
      </c>
      <c r="AOU4" s="36" t="s">
        <v>79</v>
      </c>
      <c r="AOV4" s="33" t="s">
        <v>227</v>
      </c>
      <c r="AOW4" s="33" t="s">
        <v>227</v>
      </c>
      <c r="AOX4" s="32" t="s">
        <v>319</v>
      </c>
      <c r="AOY4" s="32" t="s">
        <v>46</v>
      </c>
      <c r="AOZ4" s="30" t="s">
        <v>33</v>
      </c>
      <c r="APA4" s="30"/>
      <c r="APB4" s="31" t="s">
        <v>94</v>
      </c>
      <c r="APC4" s="31" t="s">
        <v>259</v>
      </c>
      <c r="APD4" s="32"/>
      <c r="APE4" s="32" t="s">
        <v>164</v>
      </c>
      <c r="APF4" s="33" t="s">
        <v>601</v>
      </c>
      <c r="APG4" s="33" t="s">
        <v>227</v>
      </c>
      <c r="APH4" s="32" t="s">
        <v>259</v>
      </c>
      <c r="API4" s="32" t="s">
        <v>86</v>
      </c>
      <c r="APJ4" s="33" t="s">
        <v>164</v>
      </c>
      <c r="APK4" s="33" t="s">
        <v>164</v>
      </c>
      <c r="APL4" s="30" t="s">
        <v>227</v>
      </c>
      <c r="APM4" s="30" t="s">
        <v>271</v>
      </c>
      <c r="APN4" s="32" t="s">
        <v>36</v>
      </c>
      <c r="APO4" s="33" t="s">
        <v>587</v>
      </c>
      <c r="APP4" s="33" t="s">
        <v>79</v>
      </c>
      <c r="APQ4" s="31" t="s">
        <v>205</v>
      </c>
      <c r="APR4" s="30" t="s">
        <v>592</v>
      </c>
      <c r="APS4" s="30" t="s">
        <v>389</v>
      </c>
      <c r="APT4" s="33" t="s">
        <v>94</v>
      </c>
      <c r="APU4" s="33" t="s">
        <v>94</v>
      </c>
      <c r="APV4" s="31" t="s">
        <v>238</v>
      </c>
      <c r="APW4" s="33" t="s">
        <v>54</v>
      </c>
      <c r="APX4" s="33" t="s">
        <v>86</v>
      </c>
      <c r="APY4" s="30" t="s">
        <v>327</v>
      </c>
      <c r="APZ4" s="33" t="s">
        <v>583</v>
      </c>
      <c r="AQA4" s="36" t="s">
        <v>583</v>
      </c>
      <c r="AQB4" s="31" t="s">
        <v>94</v>
      </c>
      <c r="AQC4" s="31"/>
      <c r="AQD4" s="30" t="s">
        <v>300</v>
      </c>
      <c r="AQE4" s="30" t="s">
        <v>607</v>
      </c>
      <c r="AQF4" s="32"/>
      <c r="AQG4" s="32" t="s">
        <v>314</v>
      </c>
      <c r="AQH4" s="33" t="s">
        <v>86</v>
      </c>
      <c r="AQI4" s="31" t="s">
        <v>124</v>
      </c>
      <c r="AQJ4" s="30" t="s">
        <v>596</v>
      </c>
      <c r="AQK4" s="30"/>
      <c r="AQL4" s="32" t="s">
        <v>48</v>
      </c>
      <c r="AQM4" s="32"/>
      <c r="AQN4" s="31" t="s">
        <v>64</v>
      </c>
      <c r="AQO4" s="31" t="s">
        <v>259</v>
      </c>
      <c r="AQP4" s="30" t="s">
        <v>124</v>
      </c>
      <c r="AQQ4" s="30"/>
      <c r="AQR4" s="33" t="s">
        <v>606</v>
      </c>
      <c r="AQS4" s="32"/>
      <c r="AQT4" s="31"/>
      <c r="AQU4" s="31" t="s">
        <v>69</v>
      </c>
      <c r="AQV4" s="30"/>
      <c r="AQW4" s="30" t="s">
        <v>94</v>
      </c>
      <c r="AQX4" s="32" t="s">
        <v>587</v>
      </c>
      <c r="AQY4" s="32"/>
      <c r="AQZ4" s="31" t="s">
        <v>69</v>
      </c>
      <c r="ARA4" s="31"/>
      <c r="ARB4" s="33" t="s">
        <v>94</v>
      </c>
      <c r="ARC4" s="30"/>
      <c r="ARD4" s="32"/>
      <c r="ARE4" s="32" t="s">
        <v>164</v>
      </c>
      <c r="ARF4" s="31"/>
      <c r="ARG4" s="31" t="s">
        <v>86</v>
      </c>
      <c r="ARH4" s="30"/>
      <c r="ARI4" s="30" t="s">
        <v>271</v>
      </c>
      <c r="ARJ4" s="32"/>
      <c r="ARK4" s="32"/>
      <c r="ARL4" s="31" t="s">
        <v>86</v>
      </c>
      <c r="ARM4" s="31"/>
      <c r="ARN4" s="30" t="s">
        <v>271</v>
      </c>
      <c r="ARO4" s="30"/>
      <c r="ARP4" s="32"/>
      <c r="ARQ4" s="32" t="s">
        <v>164</v>
      </c>
      <c r="ARR4" s="31"/>
      <c r="ARS4" s="31"/>
      <c r="ART4" s="30"/>
      <c r="ARU4" s="30"/>
      <c r="ARV4" s="32"/>
      <c r="ARW4" s="32" t="s">
        <v>205</v>
      </c>
      <c r="ARX4" s="33" t="s">
        <v>54</v>
      </c>
      <c r="ARY4" s="31" t="s">
        <v>33</v>
      </c>
      <c r="ARZ4" s="30"/>
      <c r="ASA4" s="30" t="s">
        <v>46</v>
      </c>
      <c r="ASB4" s="32" t="s">
        <v>205</v>
      </c>
      <c r="ASC4" s="32" t="s">
        <v>86</v>
      </c>
      <c r="ASD4" s="31" t="s">
        <v>33</v>
      </c>
      <c r="ASE4" s="31"/>
      <c r="ASF4" s="30"/>
      <c r="ASG4" s="30"/>
      <c r="ASH4" s="32"/>
      <c r="ASI4" s="32" t="s">
        <v>94</v>
      </c>
      <c r="ASJ4" s="31" t="s">
        <v>74</v>
      </c>
      <c r="ASK4" s="31" t="s">
        <v>124</v>
      </c>
      <c r="ASL4" s="30"/>
      <c r="ASM4" s="30" t="s">
        <v>238</v>
      </c>
      <c r="ASN4" s="33" t="s">
        <v>607</v>
      </c>
      <c r="ASO4" s="32" t="s">
        <v>74</v>
      </c>
      <c r="ASP4" s="31" t="s">
        <v>451</v>
      </c>
      <c r="ASQ4" s="31" t="s">
        <v>54</v>
      </c>
      <c r="ASR4" s="30" t="s">
        <v>102</v>
      </c>
      <c r="ASS4" s="30"/>
      <c r="AST4" s="32" t="s">
        <v>74</v>
      </c>
      <c r="ASU4" s="32"/>
      <c r="ASV4" s="31" t="s">
        <v>596</v>
      </c>
      <c r="ASW4" s="31" t="s">
        <v>94</v>
      </c>
      <c r="ASX4" s="30"/>
      <c r="ASY4" s="30" t="s">
        <v>74</v>
      </c>
      <c r="ASZ4" s="32" t="s">
        <v>69</v>
      </c>
      <c r="ATA4" s="32" t="s">
        <v>28</v>
      </c>
      <c r="ATB4" s="31" t="s">
        <v>205</v>
      </c>
      <c r="ATC4" s="31" t="s">
        <v>41</v>
      </c>
      <c r="ATD4" s="33" t="s">
        <v>94</v>
      </c>
      <c r="ATE4" s="30" t="s">
        <v>587</v>
      </c>
      <c r="ATF4" s="32" t="s">
        <v>59</v>
      </c>
      <c r="ATG4" s="32" t="s">
        <v>46</v>
      </c>
      <c r="ATH4" s="31" t="s">
        <v>259</v>
      </c>
      <c r="ATI4" s="31"/>
      <c r="ATJ4" s="30"/>
      <c r="ATK4" s="30" t="s">
        <v>259</v>
      </c>
      <c r="ATL4" s="32"/>
      <c r="ATM4" s="32" t="s">
        <v>314</v>
      </c>
      <c r="ATN4" s="31" t="s">
        <v>300</v>
      </c>
      <c r="ATO4" s="31" t="s">
        <v>227</v>
      </c>
      <c r="ATP4" s="30" t="s">
        <v>79</v>
      </c>
      <c r="ATQ4" s="30" t="s">
        <v>587</v>
      </c>
      <c r="ATR4" s="32" t="s">
        <v>314</v>
      </c>
      <c r="ATS4" s="33" t="s">
        <v>74</v>
      </c>
      <c r="ATT4" s="31" t="s">
        <v>227</v>
      </c>
      <c r="ATU4" s="31" t="s">
        <v>389</v>
      </c>
      <c r="ATV4" s="30" t="s">
        <v>327</v>
      </c>
      <c r="ATW4" s="30"/>
      <c r="ATX4" s="32" t="s">
        <v>592</v>
      </c>
      <c r="ATY4" s="32" t="s">
        <v>124</v>
      </c>
      <c r="ATZ4" s="31"/>
      <c r="AUA4" s="31" t="s">
        <v>59</v>
      </c>
      <c r="AUB4" s="33" t="s">
        <v>46</v>
      </c>
      <c r="AUC4" s="33" t="s">
        <v>74</v>
      </c>
      <c r="AUD4" s="32" t="s">
        <v>259</v>
      </c>
      <c r="AUE4" s="32" t="s">
        <v>54</v>
      </c>
      <c r="AUF4" s="31" t="s">
        <v>59</v>
      </c>
      <c r="AUG4" s="31" t="s">
        <v>33</v>
      </c>
      <c r="AUH4" s="30" t="s">
        <v>74</v>
      </c>
      <c r="AUI4" s="30"/>
      <c r="AUJ4" s="32" t="s">
        <v>314</v>
      </c>
      <c r="AUK4" s="32"/>
      <c r="AUL4" s="31" t="s">
        <v>36</v>
      </c>
      <c r="AUM4" s="31" t="s">
        <v>164</v>
      </c>
      <c r="AUN4" s="30"/>
      <c r="AUO4" s="30" t="s">
        <v>185</v>
      </c>
      <c r="AUP4" s="32" t="s">
        <v>94</v>
      </c>
      <c r="AUQ4" s="32" t="s">
        <v>74</v>
      </c>
      <c r="AUR4" s="31" t="s">
        <v>64</v>
      </c>
      <c r="AUS4" s="34" t="s">
        <v>124</v>
      </c>
      <c r="AUT4" s="30" t="s">
        <v>185</v>
      </c>
      <c r="AUU4" s="30"/>
      <c r="AUV4" s="32" t="s">
        <v>74</v>
      </c>
      <c r="AUW4" s="32" t="s">
        <v>259</v>
      </c>
      <c r="AUX4" s="31"/>
      <c r="AUY4" s="31" t="s">
        <v>164</v>
      </c>
      <c r="AUZ4" s="30" t="s">
        <v>601</v>
      </c>
      <c r="AVA4" s="30" t="s">
        <v>64</v>
      </c>
      <c r="AVB4" s="32"/>
      <c r="AVC4" s="32" t="s">
        <v>227</v>
      </c>
      <c r="AVD4" s="31" t="s">
        <v>259</v>
      </c>
      <c r="AVE4" s="31" t="s">
        <v>300</v>
      </c>
      <c r="AVF4" s="33" t="s">
        <v>69</v>
      </c>
      <c r="AVG4" s="30" t="s">
        <v>389</v>
      </c>
      <c r="AVH4" s="32" t="s">
        <v>79</v>
      </c>
      <c r="AVI4" s="32" t="s">
        <v>246</v>
      </c>
      <c r="AVJ4" s="31" t="s">
        <v>300</v>
      </c>
      <c r="AVK4" s="31" t="s">
        <v>368</v>
      </c>
      <c r="AVL4" s="41" t="s">
        <v>277</v>
      </c>
      <c r="AVM4" s="41" t="s">
        <v>448</v>
      </c>
      <c r="AVN4" s="32" t="s">
        <v>389</v>
      </c>
      <c r="AVO4" s="32" t="s">
        <v>74</v>
      </c>
      <c r="AVP4" s="31"/>
      <c r="AVQ4" s="31" t="s">
        <v>300</v>
      </c>
      <c r="AVR4" s="33" t="s">
        <v>94</v>
      </c>
      <c r="AVS4" s="30" t="s">
        <v>277</v>
      </c>
      <c r="AVT4" s="32" t="s">
        <v>69</v>
      </c>
      <c r="AVU4" s="33" t="s">
        <v>41</v>
      </c>
      <c r="AVV4" s="33" t="s">
        <v>300</v>
      </c>
      <c r="AVW4" s="33" t="s">
        <v>300</v>
      </c>
      <c r="AVX4" s="30" t="s">
        <v>277</v>
      </c>
      <c r="AVY4" s="30" t="s">
        <v>69</v>
      </c>
      <c r="AVZ4" s="32" t="s">
        <v>246</v>
      </c>
      <c r="AWA4" s="32"/>
      <c r="AWB4" s="31" t="s">
        <v>59</v>
      </c>
      <c r="AWC4" s="31"/>
      <c r="AWD4" s="30" t="s">
        <v>79</v>
      </c>
      <c r="AWE4" s="30" t="s">
        <v>271</v>
      </c>
      <c r="AWF4" s="32"/>
      <c r="AWG4" s="32" t="s">
        <v>59</v>
      </c>
      <c r="AWH4" s="31"/>
      <c r="AWI4" s="40" t="s">
        <v>227</v>
      </c>
      <c r="AWJ4" s="30" t="s">
        <v>271</v>
      </c>
      <c r="AWK4" s="33" t="s">
        <v>86</v>
      </c>
      <c r="AWL4" s="33" t="s">
        <v>314</v>
      </c>
      <c r="AWM4" s="32" t="s">
        <v>124</v>
      </c>
      <c r="AWN4" s="31"/>
      <c r="AWO4" s="31" t="s">
        <v>300</v>
      </c>
      <c r="AWP4" s="36" t="s">
        <v>227</v>
      </c>
      <c r="AWQ4" s="33" t="s">
        <v>227</v>
      </c>
      <c r="AWR4" s="33" t="s">
        <v>86</v>
      </c>
      <c r="AWS4" s="33" t="s">
        <v>59</v>
      </c>
      <c r="AWT4" s="31" t="s">
        <v>277</v>
      </c>
      <c r="AWU4" s="31" t="s">
        <v>79</v>
      </c>
      <c r="AWV4" s="33" t="s">
        <v>389</v>
      </c>
      <c r="AWW4" s="30" t="s">
        <v>69</v>
      </c>
      <c r="AWX4" s="32" t="s">
        <v>314</v>
      </c>
      <c r="AWY4" s="32"/>
      <c r="AWZ4" s="33" t="s">
        <v>79</v>
      </c>
      <c r="AXA4" s="36" t="s">
        <v>79</v>
      </c>
      <c r="AXB4" s="30"/>
      <c r="AXC4" s="30"/>
      <c r="AXD4" s="32"/>
      <c r="AXE4" s="32"/>
      <c r="AXF4" s="31" t="s">
        <v>86</v>
      </c>
      <c r="AXG4" s="31" t="s">
        <v>36</v>
      </c>
      <c r="AXH4" s="33" t="s">
        <v>74</v>
      </c>
      <c r="AXI4" s="33" t="s">
        <v>54</v>
      </c>
      <c r="AXJ4" s="32" t="s">
        <v>327</v>
      </c>
      <c r="AXK4" s="32"/>
      <c r="AXL4" s="31" t="s">
        <v>36</v>
      </c>
      <c r="AXM4" s="33" t="s">
        <v>227</v>
      </c>
      <c r="AXN4" s="30" t="s">
        <v>54</v>
      </c>
      <c r="AXO4" s="30"/>
      <c r="AXP4" s="32" t="s">
        <v>69</v>
      </c>
      <c r="AXQ4" s="32"/>
      <c r="AXR4" s="31" t="s">
        <v>246</v>
      </c>
      <c r="AXS4" s="31" t="s">
        <v>363</v>
      </c>
      <c r="AXT4" s="30"/>
      <c r="AXU4" s="33" t="s">
        <v>64</v>
      </c>
      <c r="AXV4" s="32"/>
      <c r="AXW4" s="32" t="s">
        <v>271</v>
      </c>
      <c r="AXX4" s="40" t="s">
        <v>448</v>
      </c>
      <c r="AXY4" s="31"/>
      <c r="AXZ4" s="30" t="s">
        <v>205</v>
      </c>
      <c r="AYA4" s="30"/>
      <c r="AYB4" s="33" t="s">
        <v>74</v>
      </c>
      <c r="AYC4" s="33" t="s">
        <v>164</v>
      </c>
      <c r="AYD4" s="31" t="s">
        <v>271</v>
      </c>
      <c r="AYE4" s="31"/>
      <c r="AYF4" s="30" t="s">
        <v>451</v>
      </c>
      <c r="AYG4" s="30"/>
      <c r="AYH4" s="32"/>
      <c r="AYI4" s="32"/>
      <c r="AYJ4" s="31" t="s">
        <v>74</v>
      </c>
      <c r="AYK4" s="33" t="s">
        <v>69</v>
      </c>
      <c r="AYL4" s="30" t="s">
        <v>601</v>
      </c>
      <c r="AYM4" s="30"/>
      <c r="AYN4" s="32" t="s">
        <v>587</v>
      </c>
      <c r="AYO4" s="32" t="s">
        <v>59</v>
      </c>
      <c r="AYP4" s="31" t="s">
        <v>185</v>
      </c>
      <c r="AYQ4" s="31"/>
      <c r="AYR4" s="30"/>
      <c r="AYS4" s="30"/>
      <c r="AYT4" s="32" t="s">
        <v>259</v>
      </c>
      <c r="AYU4" s="32"/>
      <c r="AYV4" s="31"/>
      <c r="AYW4" s="31" t="s">
        <v>64</v>
      </c>
      <c r="AYX4" s="30"/>
      <c r="AYY4" s="30"/>
      <c r="AYZ4" s="32"/>
      <c r="AZA4" s="32"/>
      <c r="AZB4" s="31" t="s">
        <v>59</v>
      </c>
      <c r="AZC4" s="31"/>
      <c r="AZD4" s="30" t="s">
        <v>79</v>
      </c>
      <c r="AZE4" s="30"/>
      <c r="AZF4" s="32"/>
      <c r="AZG4" s="32"/>
      <c r="AZH4" s="31"/>
      <c r="AZI4" s="31" t="s">
        <v>74</v>
      </c>
      <c r="AZJ4" s="30"/>
      <c r="AZK4" s="41" t="s">
        <v>69</v>
      </c>
      <c r="AZL4" s="32" t="s">
        <v>33</v>
      </c>
      <c r="AZM4" s="32"/>
      <c r="AZN4" s="31"/>
      <c r="AZO4" s="31"/>
      <c r="AZP4" s="30" t="s">
        <v>86</v>
      </c>
      <c r="AZQ4" s="30"/>
      <c r="AZR4" s="32"/>
      <c r="AZS4" s="32"/>
      <c r="AZT4" s="31"/>
      <c r="AZU4" s="31"/>
      <c r="AZV4" s="30"/>
      <c r="AZW4" s="30"/>
      <c r="AZX4" s="32"/>
      <c r="AZY4" s="32" t="s">
        <v>59</v>
      </c>
      <c r="AZZ4" s="31"/>
      <c r="BAA4" s="31" t="s">
        <v>69</v>
      </c>
      <c r="BAB4" s="30"/>
      <c r="BAC4" s="30"/>
      <c r="BAD4" s="32" t="s">
        <v>28</v>
      </c>
      <c r="BAE4" s="32"/>
      <c r="BAF4" s="31" t="s">
        <v>69</v>
      </c>
      <c r="BAG4" s="31"/>
      <c r="BAH4" s="41" t="s">
        <v>81</v>
      </c>
      <c r="BAI4" s="30"/>
      <c r="BAJ4" s="39" t="s">
        <v>48</v>
      </c>
      <c r="BAK4" s="32"/>
      <c r="BAL4" s="31"/>
      <c r="BAM4" s="31"/>
      <c r="BAN4" s="30"/>
      <c r="BAO4" s="30" t="s">
        <v>79</v>
      </c>
      <c r="BAP4" s="32"/>
      <c r="BAQ4" s="32"/>
      <c r="BAR4" s="31"/>
      <c r="BAS4" s="31"/>
      <c r="BAT4" s="30"/>
      <c r="BAU4" s="30"/>
      <c r="BAV4" s="32"/>
      <c r="BAW4" s="32"/>
      <c r="BAX4" s="31"/>
      <c r="BAY4" s="31"/>
      <c r="BAZ4" s="30"/>
      <c r="BBA4" s="30"/>
      <c r="BBB4" s="32"/>
      <c r="BBC4" s="32"/>
      <c r="BBD4" s="31"/>
      <c r="BBE4" s="31"/>
      <c r="BBF4" s="30"/>
      <c r="BBG4" s="30"/>
      <c r="BBH4" s="32"/>
      <c r="BBI4" s="32"/>
      <c r="BBJ4" s="31"/>
      <c r="BBK4" s="31"/>
      <c r="BBL4" s="30"/>
      <c r="BBM4" s="30"/>
      <c r="BBN4" s="32"/>
      <c r="BBO4" s="32"/>
      <c r="BBP4" s="31"/>
      <c r="BBQ4" s="31"/>
      <c r="BBR4" s="30"/>
      <c r="BBS4" s="30"/>
      <c r="BBT4" s="32"/>
      <c r="BBU4" s="32"/>
      <c r="BBV4" s="31"/>
      <c r="BBW4" s="31"/>
      <c r="BBX4" s="30"/>
      <c r="BBY4" s="30"/>
      <c r="BBZ4" s="32"/>
      <c r="BCA4" s="32"/>
      <c r="BCB4" s="31"/>
      <c r="BCC4" s="31"/>
      <c r="BCD4" s="30"/>
      <c r="BCE4" s="30"/>
      <c r="BCF4" s="32"/>
      <c r="BCG4" s="32"/>
      <c r="BCH4" s="31"/>
      <c r="BCI4" s="31"/>
      <c r="BCJ4" s="30" t="s">
        <v>33</v>
      </c>
      <c r="BCK4" s="30"/>
      <c r="BCL4" s="32"/>
      <c r="BCM4" s="32"/>
      <c r="BCN4" s="31"/>
      <c r="BCO4" s="31"/>
      <c r="BCP4" s="30"/>
      <c r="BCQ4" s="30"/>
    </row>
    <row r="5" spans="1:1447">
      <c r="A5" s="30"/>
      <c r="B5" s="30"/>
      <c r="C5" s="31"/>
      <c r="D5" s="31"/>
      <c r="E5" s="32"/>
      <c r="F5" s="32" t="s">
        <v>590</v>
      </c>
      <c r="G5" s="30"/>
      <c r="H5" s="30" t="s">
        <v>582</v>
      </c>
      <c r="I5" s="31"/>
      <c r="J5" s="31" t="s">
        <v>94</v>
      </c>
      <c r="K5" s="32" t="s">
        <v>81</v>
      </c>
      <c r="L5" s="32"/>
      <c r="M5" s="30" t="s">
        <v>590</v>
      </c>
      <c r="N5" s="30"/>
      <c r="O5" s="31"/>
      <c r="P5" s="31"/>
      <c r="Q5" s="32"/>
      <c r="R5" s="32"/>
      <c r="S5" s="30"/>
      <c r="T5" s="30"/>
      <c r="U5" s="31"/>
      <c r="V5" s="31" t="s">
        <v>59</v>
      </c>
      <c r="W5" s="32"/>
      <c r="X5" s="32"/>
      <c r="Y5" s="30" t="s">
        <v>59</v>
      </c>
      <c r="Z5" s="30"/>
      <c r="AA5" s="31"/>
      <c r="AB5" s="31"/>
      <c r="AC5" s="32"/>
      <c r="AD5" s="32"/>
      <c r="AE5" s="30"/>
      <c r="AF5" s="30"/>
      <c r="AG5" s="31"/>
      <c r="AH5" s="31"/>
      <c r="AI5" s="32"/>
      <c r="AJ5" s="32"/>
      <c r="AK5" s="30"/>
      <c r="AL5" s="30"/>
      <c r="AM5" s="31"/>
      <c r="AN5" s="31"/>
      <c r="AO5" s="32"/>
      <c r="AP5" s="32"/>
      <c r="AQ5" s="30"/>
      <c r="AR5" s="30"/>
      <c r="AS5" s="31"/>
      <c r="AT5" s="31"/>
      <c r="AU5" s="32"/>
      <c r="AV5" s="32"/>
      <c r="AW5" s="30"/>
      <c r="AX5" s="30"/>
      <c r="AY5" s="31"/>
      <c r="AZ5" s="31"/>
      <c r="BA5" s="32"/>
      <c r="BB5" s="32"/>
      <c r="BC5" s="30"/>
      <c r="BD5" s="30"/>
      <c r="BE5" s="31"/>
      <c r="BF5" s="31"/>
      <c r="BG5" s="32"/>
      <c r="BH5" s="32"/>
      <c r="BI5" s="30"/>
      <c r="BJ5" s="30" t="s">
        <v>164</v>
      </c>
      <c r="BK5" s="31"/>
      <c r="BL5" s="31"/>
      <c r="BM5" s="32"/>
      <c r="BN5" s="32"/>
      <c r="BO5" s="30" t="s">
        <v>164</v>
      </c>
      <c r="BP5" s="30"/>
      <c r="BQ5" s="31" t="s">
        <v>600</v>
      </c>
      <c r="BR5" s="31"/>
      <c r="BS5" s="32"/>
      <c r="BT5" s="32"/>
      <c r="BU5" s="30"/>
      <c r="BV5" s="30"/>
      <c r="BW5" s="31"/>
      <c r="BX5" s="31" t="s">
        <v>41</v>
      </c>
      <c r="BY5" s="32"/>
      <c r="BZ5" s="32"/>
      <c r="CA5" s="30"/>
      <c r="CB5" s="30"/>
      <c r="CC5" s="31"/>
      <c r="CD5" s="31" t="s">
        <v>588</v>
      </c>
      <c r="CE5" s="32"/>
      <c r="CF5" s="32" t="s">
        <v>46</v>
      </c>
      <c r="CG5" s="30"/>
      <c r="CH5" s="30" t="s">
        <v>319</v>
      </c>
      <c r="CI5" s="31"/>
      <c r="CJ5" s="31" t="s">
        <v>94</v>
      </c>
      <c r="CK5" s="32" t="s">
        <v>81</v>
      </c>
      <c r="CL5" s="32"/>
      <c r="CM5" s="30" t="s">
        <v>588</v>
      </c>
      <c r="CN5" s="30"/>
      <c r="CO5" s="31" t="s">
        <v>363</v>
      </c>
      <c r="CP5" s="31"/>
      <c r="CQ5" s="32" t="s">
        <v>164</v>
      </c>
      <c r="CR5" s="32"/>
      <c r="CS5" s="30" t="s">
        <v>185</v>
      </c>
      <c r="CT5" s="30"/>
      <c r="CU5" s="31"/>
      <c r="CV5" s="31"/>
      <c r="CW5" s="32"/>
      <c r="CX5" s="32"/>
      <c r="CY5" s="30"/>
      <c r="CZ5" s="30"/>
      <c r="DA5" s="31"/>
      <c r="DB5" s="31"/>
      <c r="DC5" s="32"/>
      <c r="DD5" s="32"/>
      <c r="DE5" s="30"/>
      <c r="DF5" s="30"/>
      <c r="DG5" s="31"/>
      <c r="DH5" s="31"/>
      <c r="DI5" s="32"/>
      <c r="DJ5" s="32"/>
      <c r="DK5" s="30"/>
      <c r="DL5" s="30"/>
      <c r="DM5" s="31"/>
      <c r="DN5" s="31"/>
      <c r="DO5" s="32"/>
      <c r="DP5" s="32"/>
      <c r="DQ5" s="30"/>
      <c r="DR5" s="30"/>
      <c r="DS5" s="31"/>
      <c r="DT5" s="31"/>
      <c r="DU5" s="32"/>
      <c r="DV5" s="32"/>
      <c r="DW5" s="30"/>
      <c r="DX5" s="30"/>
      <c r="DY5" s="31"/>
      <c r="DZ5" s="31"/>
      <c r="EA5" s="32"/>
      <c r="EB5" s="32"/>
      <c r="EC5" s="30"/>
      <c r="ED5" s="30"/>
      <c r="EE5" s="31"/>
      <c r="EF5" s="31"/>
      <c r="EG5" s="32"/>
      <c r="EH5" s="32"/>
      <c r="EI5" s="30"/>
      <c r="EJ5" s="30"/>
      <c r="EK5" s="31"/>
      <c r="EL5" s="31"/>
      <c r="EM5" s="32"/>
      <c r="EN5" s="32"/>
      <c r="EO5" s="30"/>
      <c r="EP5" s="30" t="s">
        <v>54</v>
      </c>
      <c r="EQ5" s="31"/>
      <c r="ER5" s="31" t="s">
        <v>94</v>
      </c>
      <c r="ES5" s="32"/>
      <c r="ET5" s="32" t="s">
        <v>102</v>
      </c>
      <c r="EU5" s="30"/>
      <c r="EV5" s="30" t="s">
        <v>581</v>
      </c>
      <c r="EW5" s="31"/>
      <c r="EX5" s="31" t="s">
        <v>596</v>
      </c>
      <c r="EY5" s="32" t="s">
        <v>363</v>
      </c>
      <c r="EZ5" s="32" t="s">
        <v>124</v>
      </c>
      <c r="FA5" s="30"/>
      <c r="FB5" s="33" t="s">
        <v>583</v>
      </c>
      <c r="FC5" s="31"/>
      <c r="FD5" s="31" t="s">
        <v>363</v>
      </c>
      <c r="FE5" s="33" t="s">
        <v>185</v>
      </c>
      <c r="FF5" s="32" t="s">
        <v>590</v>
      </c>
      <c r="FG5" s="33" t="s">
        <v>46</v>
      </c>
      <c r="FH5" s="33" t="s">
        <v>102</v>
      </c>
      <c r="FI5" s="33" t="s">
        <v>124</v>
      </c>
      <c r="FJ5" s="33" t="s">
        <v>74</v>
      </c>
      <c r="FK5" s="30" t="s">
        <v>81</v>
      </c>
      <c r="FL5" s="30"/>
      <c r="FM5" s="31" t="s">
        <v>600</v>
      </c>
      <c r="FN5" s="31"/>
      <c r="FO5" s="32"/>
      <c r="FP5" s="32"/>
      <c r="FQ5" s="30" t="s">
        <v>448</v>
      </c>
      <c r="FR5" s="30"/>
      <c r="FS5" s="31" t="s">
        <v>176</v>
      </c>
      <c r="FT5" s="31"/>
      <c r="FU5" s="32"/>
      <c r="FV5" s="32"/>
      <c r="FW5" s="30"/>
      <c r="FX5" s="30"/>
      <c r="FY5" s="31"/>
      <c r="FZ5" s="31"/>
      <c r="GA5" s="32"/>
      <c r="GB5" s="32"/>
      <c r="GC5" s="30"/>
      <c r="GD5" s="30"/>
      <c r="GE5" s="31"/>
      <c r="GF5" s="31" t="s">
        <v>584</v>
      </c>
      <c r="GG5" s="32"/>
      <c r="GH5" s="32" t="s">
        <v>22</v>
      </c>
      <c r="GI5" s="30" t="s">
        <v>54</v>
      </c>
      <c r="GJ5" s="30"/>
      <c r="GK5" s="31"/>
      <c r="GL5" s="31"/>
      <c r="GM5" s="32"/>
      <c r="GN5" s="32"/>
      <c r="GO5" s="30"/>
      <c r="GP5" s="30"/>
      <c r="GQ5" s="31"/>
      <c r="GR5" s="31"/>
      <c r="GS5" s="32"/>
      <c r="GT5" s="32" t="s">
        <v>596</v>
      </c>
      <c r="GU5" s="30"/>
      <c r="GV5" s="30"/>
      <c r="GW5" s="31"/>
      <c r="GX5" s="31" t="s">
        <v>319</v>
      </c>
      <c r="GY5" s="32" t="s">
        <v>79</v>
      </c>
      <c r="GZ5" s="32"/>
      <c r="HA5" s="30"/>
      <c r="HB5" s="30"/>
      <c r="HC5" s="31"/>
      <c r="HD5" s="31"/>
      <c r="HE5" s="32"/>
      <c r="HF5" s="32" t="s">
        <v>595</v>
      </c>
      <c r="HG5" s="30"/>
      <c r="HH5" s="30" t="s">
        <v>74</v>
      </c>
      <c r="HI5" s="31"/>
      <c r="HJ5" s="31" t="s">
        <v>363</v>
      </c>
      <c r="HK5" s="32" t="s">
        <v>595</v>
      </c>
      <c r="HL5" s="32"/>
      <c r="HM5" s="30" t="s">
        <v>451</v>
      </c>
      <c r="HN5" s="30"/>
      <c r="HO5" s="31"/>
      <c r="HP5" s="31"/>
      <c r="HQ5" s="32" t="s">
        <v>81</v>
      </c>
      <c r="HR5" s="32"/>
      <c r="HS5" s="30"/>
      <c r="HT5" s="30" t="s">
        <v>81</v>
      </c>
      <c r="HU5" s="31" t="s">
        <v>173</v>
      </c>
      <c r="HV5" s="33" t="s">
        <v>94</v>
      </c>
      <c r="HW5" s="32"/>
      <c r="HX5" s="32"/>
      <c r="HY5" s="30" t="s">
        <v>319</v>
      </c>
      <c r="HZ5" s="30"/>
      <c r="IA5" s="31" t="s">
        <v>74</v>
      </c>
      <c r="IB5" s="31" t="s">
        <v>28</v>
      </c>
      <c r="IC5" s="32"/>
      <c r="ID5" s="32"/>
      <c r="IE5" s="30"/>
      <c r="IF5" s="30"/>
      <c r="IG5" s="31"/>
      <c r="IH5" s="31" t="s">
        <v>319</v>
      </c>
      <c r="II5" s="32"/>
      <c r="IJ5" s="32" t="s">
        <v>74</v>
      </c>
      <c r="IK5" s="30"/>
      <c r="IL5" s="30"/>
      <c r="IM5" s="31" t="s">
        <v>81</v>
      </c>
      <c r="IN5" s="31" t="s">
        <v>389</v>
      </c>
      <c r="IO5" s="33" t="s">
        <v>594</v>
      </c>
      <c r="IP5" s="32" t="s">
        <v>598</v>
      </c>
      <c r="IQ5" s="30" t="s">
        <v>587</v>
      </c>
      <c r="IR5" s="30"/>
      <c r="IS5" s="31"/>
      <c r="IT5" s="31" t="s">
        <v>173</v>
      </c>
      <c r="IU5" s="32"/>
      <c r="IV5" s="32" t="s">
        <v>601</v>
      </c>
      <c r="IW5" s="30"/>
      <c r="IX5" s="30" t="s">
        <v>593</v>
      </c>
      <c r="IY5" s="33" t="s">
        <v>79</v>
      </c>
      <c r="IZ5" s="31" t="s">
        <v>581</v>
      </c>
      <c r="JA5" s="32" t="s">
        <v>173</v>
      </c>
      <c r="JB5" s="33" t="s">
        <v>185</v>
      </c>
      <c r="JC5" s="30" t="s">
        <v>597</v>
      </c>
      <c r="JD5" s="30"/>
      <c r="JE5" s="31"/>
      <c r="JF5" s="31"/>
      <c r="JG5" s="32" t="s">
        <v>46</v>
      </c>
      <c r="JH5" s="32" t="s">
        <v>173</v>
      </c>
      <c r="JI5" s="30"/>
      <c r="JJ5" s="30" t="s">
        <v>598</v>
      </c>
      <c r="JK5" s="33" t="s">
        <v>389</v>
      </c>
      <c r="JL5" s="31" t="s">
        <v>584</v>
      </c>
      <c r="JM5" s="33" t="s">
        <v>79</v>
      </c>
      <c r="JN5" s="33" t="s">
        <v>164</v>
      </c>
      <c r="JO5" s="30" t="s">
        <v>594</v>
      </c>
      <c r="JP5" s="30"/>
      <c r="JQ5" s="31" t="s">
        <v>581</v>
      </c>
      <c r="JR5" s="31" t="s">
        <v>593</v>
      </c>
      <c r="JS5" s="32" t="s">
        <v>54</v>
      </c>
      <c r="JT5" s="32" t="s">
        <v>94</v>
      </c>
      <c r="JU5" s="30"/>
      <c r="JV5" s="30"/>
      <c r="JW5" s="31" t="s">
        <v>124</v>
      </c>
      <c r="JX5" s="33" t="s">
        <v>74</v>
      </c>
      <c r="JY5" s="33" t="s">
        <v>588</v>
      </c>
      <c r="JZ5" s="32" t="s">
        <v>238</v>
      </c>
      <c r="KA5" s="33" t="s">
        <v>585</v>
      </c>
      <c r="KB5" s="33" t="s">
        <v>585</v>
      </c>
      <c r="KC5" s="33" t="s">
        <v>74</v>
      </c>
      <c r="KD5" s="31" t="s">
        <v>601</v>
      </c>
      <c r="KE5" s="32" t="s">
        <v>238</v>
      </c>
      <c r="KF5" s="33" t="s">
        <v>176</v>
      </c>
      <c r="KG5" s="30" t="s">
        <v>592</v>
      </c>
      <c r="KH5" s="30"/>
      <c r="KI5" s="31"/>
      <c r="KJ5" s="31" t="s">
        <v>589</v>
      </c>
      <c r="KK5" s="33" t="s">
        <v>595</v>
      </c>
      <c r="KL5" s="32" t="s">
        <v>586</v>
      </c>
      <c r="KM5" s="33" t="s">
        <v>585</v>
      </c>
      <c r="KN5" s="33" t="s">
        <v>585</v>
      </c>
      <c r="KO5" s="31"/>
      <c r="KP5" s="31"/>
      <c r="KQ5" s="33" t="s">
        <v>586</v>
      </c>
      <c r="KR5" s="33" t="s">
        <v>600</v>
      </c>
      <c r="KS5" s="30" t="s">
        <v>81</v>
      </c>
      <c r="KT5" s="33" t="s">
        <v>79</v>
      </c>
      <c r="KU5" s="33" t="s">
        <v>451</v>
      </c>
      <c r="KV5" s="33" t="s">
        <v>451</v>
      </c>
      <c r="KW5" s="32" t="s">
        <v>124</v>
      </c>
      <c r="KX5" s="32" t="s">
        <v>94</v>
      </c>
      <c r="KY5" s="30"/>
      <c r="KZ5" s="30" t="s">
        <v>584</v>
      </c>
      <c r="LA5" s="33" t="s">
        <v>598</v>
      </c>
      <c r="LB5" s="33" t="s">
        <v>54</v>
      </c>
      <c r="LC5" s="33" t="s">
        <v>588</v>
      </c>
      <c r="LD5" s="33" t="s">
        <v>33</v>
      </c>
      <c r="LE5" s="30" t="s">
        <v>583</v>
      </c>
      <c r="LF5" s="30"/>
      <c r="LG5" s="33" t="s">
        <v>594</v>
      </c>
      <c r="LH5" s="31" t="s">
        <v>81</v>
      </c>
      <c r="LI5" s="32" t="s">
        <v>596</v>
      </c>
      <c r="LJ5" s="32" t="s">
        <v>592</v>
      </c>
      <c r="LK5" s="30"/>
      <c r="LL5" s="30"/>
      <c r="LM5" s="31" t="s">
        <v>54</v>
      </c>
      <c r="LN5" s="31" t="s">
        <v>451</v>
      </c>
      <c r="LO5" s="32" t="s">
        <v>585</v>
      </c>
      <c r="LP5" s="32" t="s">
        <v>173</v>
      </c>
      <c r="LQ5" s="33" t="s">
        <v>448</v>
      </c>
      <c r="LR5" s="30" t="s">
        <v>587</v>
      </c>
      <c r="LS5" s="33" t="s">
        <v>588</v>
      </c>
      <c r="LT5" s="31" t="s">
        <v>33</v>
      </c>
      <c r="LU5" s="32" t="s">
        <v>601</v>
      </c>
      <c r="LV5" s="33" t="s">
        <v>176</v>
      </c>
      <c r="LW5" s="30"/>
      <c r="LX5" s="30" t="s">
        <v>593</v>
      </c>
      <c r="LY5" s="33" t="s">
        <v>600</v>
      </c>
      <c r="LZ5" s="33" t="s">
        <v>22</v>
      </c>
      <c r="MA5" s="32" t="s">
        <v>583</v>
      </c>
      <c r="MB5" s="32" t="s">
        <v>448</v>
      </c>
      <c r="MC5" s="30" t="s">
        <v>238</v>
      </c>
      <c r="MD5" s="30" t="s">
        <v>583</v>
      </c>
      <c r="ME5" s="33" t="s">
        <v>363</v>
      </c>
      <c r="MF5" s="33" t="s">
        <v>363</v>
      </c>
      <c r="MG5" s="32" t="s">
        <v>601</v>
      </c>
      <c r="MH5" s="32" t="s">
        <v>389</v>
      </c>
      <c r="MI5" s="33" t="s">
        <v>583</v>
      </c>
      <c r="MJ5" s="30" t="s">
        <v>592</v>
      </c>
      <c r="MK5" s="31" t="s">
        <v>22</v>
      </c>
      <c r="ML5" s="31" t="s">
        <v>599</v>
      </c>
      <c r="MM5" s="32" t="s">
        <v>124</v>
      </c>
      <c r="MN5" s="32"/>
      <c r="MO5" s="30" t="s">
        <v>589</v>
      </c>
      <c r="MP5" s="33" t="s">
        <v>79</v>
      </c>
      <c r="MQ5" s="31" t="s">
        <v>176</v>
      </c>
      <c r="MR5" s="31" t="s">
        <v>124</v>
      </c>
      <c r="MS5" s="32" t="s">
        <v>586</v>
      </c>
      <c r="MT5" s="32"/>
      <c r="MU5" s="30" t="s">
        <v>79</v>
      </c>
      <c r="MV5" s="30"/>
      <c r="MW5" s="31" t="s">
        <v>59</v>
      </c>
      <c r="MX5" s="31"/>
      <c r="MY5" s="32" t="s">
        <v>173</v>
      </c>
      <c r="MZ5" s="32"/>
      <c r="NA5" s="30"/>
      <c r="NB5" s="30"/>
      <c r="NC5" s="31"/>
      <c r="ND5" s="31" t="s">
        <v>584</v>
      </c>
      <c r="NE5" s="32"/>
      <c r="NF5" s="32" t="s">
        <v>300</v>
      </c>
      <c r="NG5" s="30" t="s">
        <v>581</v>
      </c>
      <c r="NH5" s="30" t="s">
        <v>41</v>
      </c>
      <c r="NI5" s="31" t="s">
        <v>584</v>
      </c>
      <c r="NJ5" s="31"/>
      <c r="NK5" s="32" t="s">
        <v>74</v>
      </c>
      <c r="NL5" s="32"/>
      <c r="NM5" s="30" t="s">
        <v>583</v>
      </c>
      <c r="NN5" s="30"/>
      <c r="NO5" s="31"/>
      <c r="NP5" s="31"/>
      <c r="NQ5" s="32"/>
      <c r="NR5" s="32" t="s">
        <v>79</v>
      </c>
      <c r="NS5" s="30"/>
      <c r="NT5" s="33" t="s">
        <v>300</v>
      </c>
      <c r="NU5" s="33" t="s">
        <v>74</v>
      </c>
      <c r="NV5" s="40" t="s">
        <v>28</v>
      </c>
      <c r="NW5" s="32" t="s">
        <v>448</v>
      </c>
      <c r="NX5" s="32"/>
      <c r="NY5" s="30" t="s">
        <v>59</v>
      </c>
      <c r="NZ5" s="30" t="s">
        <v>173</v>
      </c>
      <c r="OA5" s="31" t="s">
        <v>54</v>
      </c>
      <c r="OB5" s="31"/>
      <c r="OC5" s="32"/>
      <c r="OD5" s="32" t="s">
        <v>590</v>
      </c>
      <c r="OE5" s="30"/>
      <c r="OF5" s="30" t="s">
        <v>94</v>
      </c>
      <c r="OG5" s="31"/>
      <c r="OH5" s="31"/>
      <c r="OI5" s="32"/>
      <c r="OJ5" s="32"/>
      <c r="OK5" s="30" t="s">
        <v>94</v>
      </c>
      <c r="OL5" s="30"/>
      <c r="OM5" s="31" t="s">
        <v>79</v>
      </c>
      <c r="ON5" s="31"/>
      <c r="OO5" s="32"/>
      <c r="OP5" s="32"/>
      <c r="OQ5" s="30"/>
      <c r="OR5" s="30"/>
      <c r="OS5" s="31"/>
      <c r="OT5" s="31" t="s">
        <v>300</v>
      </c>
      <c r="OU5" s="32"/>
      <c r="OV5" s="32"/>
      <c r="OW5" s="30"/>
      <c r="OX5" s="30"/>
      <c r="OY5" s="31" t="s">
        <v>271</v>
      </c>
      <c r="OZ5" s="31"/>
      <c r="PA5" s="32" t="s">
        <v>81</v>
      </c>
      <c r="PB5" s="32"/>
      <c r="PC5" s="30"/>
      <c r="PD5" s="30"/>
      <c r="PE5" s="31"/>
      <c r="PF5" s="31"/>
      <c r="PG5" s="32"/>
      <c r="PH5" s="39" t="s">
        <v>46</v>
      </c>
      <c r="PI5" s="30"/>
      <c r="PJ5" s="30" t="s">
        <v>601</v>
      </c>
      <c r="PK5" s="31"/>
      <c r="PL5" s="31"/>
      <c r="PM5" s="32"/>
      <c r="PN5" s="32"/>
      <c r="PO5" s="30"/>
      <c r="PP5" s="30"/>
      <c r="PQ5" s="40" t="s">
        <v>46</v>
      </c>
      <c r="PR5" s="31"/>
      <c r="PS5" s="32"/>
      <c r="PT5" s="32"/>
      <c r="PU5" s="30"/>
      <c r="PV5" s="30" t="s">
        <v>81</v>
      </c>
      <c r="PW5" s="31"/>
      <c r="PX5" s="31"/>
      <c r="PY5" s="32"/>
      <c r="PZ5" s="32"/>
      <c r="QA5" s="30" t="s">
        <v>81</v>
      </c>
      <c r="QB5" s="30"/>
      <c r="QC5" s="31" t="s">
        <v>41</v>
      </c>
      <c r="QD5" s="31"/>
      <c r="QE5" s="32"/>
      <c r="QF5" s="32"/>
      <c r="QG5" s="30"/>
      <c r="QH5" s="30"/>
      <c r="QI5" s="31"/>
      <c r="QJ5" s="31" t="s">
        <v>599</v>
      </c>
      <c r="QK5" s="32"/>
      <c r="QL5" s="32" t="s">
        <v>451</v>
      </c>
      <c r="QM5" s="30"/>
      <c r="QN5" s="30" t="s">
        <v>64</v>
      </c>
      <c r="QO5" s="31"/>
      <c r="QP5" s="31"/>
      <c r="QQ5" s="32" t="s">
        <v>238</v>
      </c>
      <c r="QR5" s="32"/>
      <c r="QS5" s="30" t="s">
        <v>64</v>
      </c>
      <c r="QT5" s="30"/>
      <c r="QU5" s="31"/>
      <c r="QV5" s="31"/>
      <c r="QW5" s="32" t="s">
        <v>79</v>
      </c>
      <c r="QX5" s="32" t="s">
        <v>74</v>
      </c>
      <c r="QY5" s="30"/>
      <c r="QZ5" s="30" t="s">
        <v>81</v>
      </c>
      <c r="RA5" s="31"/>
      <c r="RB5" s="40" t="s">
        <v>28</v>
      </c>
      <c r="RC5" s="32"/>
      <c r="RD5" s="32"/>
      <c r="RE5" s="30" t="s">
        <v>81</v>
      </c>
      <c r="RF5" s="30"/>
      <c r="RG5" s="31"/>
      <c r="RH5" s="31"/>
      <c r="RI5" s="32"/>
      <c r="RJ5" s="32" t="s">
        <v>583</v>
      </c>
      <c r="RK5" s="30"/>
      <c r="RL5" s="30" t="s">
        <v>271</v>
      </c>
      <c r="RM5" s="44" t="s">
        <v>74</v>
      </c>
      <c r="RN5" s="31"/>
      <c r="RO5" s="32"/>
      <c r="RP5" s="32"/>
      <c r="RQ5" s="30" t="s">
        <v>81</v>
      </c>
      <c r="RR5" s="30"/>
      <c r="RS5" s="31"/>
      <c r="RT5" s="31"/>
      <c r="RU5" s="32"/>
      <c r="RV5" s="32"/>
      <c r="RW5" s="30"/>
      <c r="RX5" s="30"/>
      <c r="RY5" s="31"/>
      <c r="RZ5" s="31"/>
      <c r="SA5" s="32" t="s">
        <v>584</v>
      </c>
      <c r="SB5" s="32" t="s">
        <v>81</v>
      </c>
      <c r="SC5" s="30" t="s">
        <v>46</v>
      </c>
      <c r="SD5" s="30" t="s">
        <v>41</v>
      </c>
      <c r="SE5" s="31" t="s">
        <v>300</v>
      </c>
      <c r="SF5" s="31"/>
      <c r="SG5" s="32" t="s">
        <v>164</v>
      </c>
      <c r="SH5" s="32"/>
      <c r="SI5" s="30"/>
      <c r="SJ5" s="30"/>
      <c r="SK5" s="30" t="s">
        <v>94</v>
      </c>
      <c r="SL5" s="31"/>
      <c r="SM5" s="31" t="s">
        <v>271</v>
      </c>
      <c r="SN5" s="32"/>
      <c r="SO5" s="32" t="s">
        <v>41</v>
      </c>
      <c r="SP5" s="33" t="s">
        <v>363</v>
      </c>
      <c r="SQ5" s="33" t="s">
        <v>363</v>
      </c>
      <c r="SR5" s="31"/>
      <c r="SS5" s="31" t="s">
        <v>79</v>
      </c>
      <c r="ST5" s="32" t="s">
        <v>36</v>
      </c>
      <c r="SU5" s="32"/>
      <c r="SV5" s="30" t="s">
        <v>593</v>
      </c>
      <c r="SW5" s="30"/>
      <c r="SX5" s="31" t="s">
        <v>124</v>
      </c>
      <c r="SY5" s="31" t="s">
        <v>587</v>
      </c>
      <c r="SZ5" s="32" t="s">
        <v>22</v>
      </c>
      <c r="TA5" s="32"/>
      <c r="TB5" s="30"/>
      <c r="TC5" s="30" t="s">
        <v>314</v>
      </c>
      <c r="TD5" s="31"/>
      <c r="TE5" s="31" t="s">
        <v>584</v>
      </c>
      <c r="TF5" s="33" t="s">
        <v>79</v>
      </c>
      <c r="TG5" s="33" t="s">
        <v>588</v>
      </c>
      <c r="TH5" s="30" t="s">
        <v>36</v>
      </c>
      <c r="TI5" s="30"/>
      <c r="TJ5" s="31" t="s">
        <v>81</v>
      </c>
      <c r="TK5" s="33" t="s">
        <v>74</v>
      </c>
      <c r="TL5" s="32" t="s">
        <v>614</v>
      </c>
      <c r="TM5" s="32" t="s">
        <v>271</v>
      </c>
      <c r="TN5" s="30"/>
      <c r="TO5" s="33" t="s">
        <v>41</v>
      </c>
      <c r="TP5" s="31"/>
      <c r="TQ5" s="31" t="s">
        <v>601</v>
      </c>
      <c r="TR5" s="32" t="s">
        <v>46</v>
      </c>
      <c r="TS5" s="32"/>
      <c r="TT5" s="30" t="s">
        <v>64</v>
      </c>
      <c r="TU5" s="33" t="s">
        <v>81</v>
      </c>
      <c r="TV5" s="31" t="s">
        <v>601</v>
      </c>
      <c r="TW5" s="31"/>
      <c r="TX5" s="32" t="s">
        <v>584</v>
      </c>
      <c r="TY5" s="32"/>
      <c r="TZ5" s="30" t="s">
        <v>600</v>
      </c>
      <c r="UA5" s="30"/>
      <c r="UB5" s="31"/>
      <c r="UC5" s="31"/>
      <c r="UD5" s="32"/>
      <c r="UE5" s="32" t="s">
        <v>368</v>
      </c>
      <c r="UF5" s="30"/>
      <c r="UG5" s="30" t="s">
        <v>22</v>
      </c>
      <c r="UH5" s="33" t="s">
        <v>81</v>
      </c>
      <c r="UI5" s="33" t="s">
        <v>74</v>
      </c>
      <c r="UJ5" s="33" t="s">
        <v>79</v>
      </c>
      <c r="UK5" s="32"/>
      <c r="UL5" s="30" t="s">
        <v>86</v>
      </c>
      <c r="UM5" s="41" t="s">
        <v>448</v>
      </c>
      <c r="UN5" s="31"/>
      <c r="UO5" s="31" t="s">
        <v>124</v>
      </c>
      <c r="UP5" s="32"/>
      <c r="UQ5" s="32"/>
      <c r="UR5" s="30"/>
      <c r="US5" s="30" t="s">
        <v>176</v>
      </c>
      <c r="UT5" s="31"/>
      <c r="UU5" s="31" t="s">
        <v>54</v>
      </c>
      <c r="UV5" s="32" t="s">
        <v>451</v>
      </c>
      <c r="UW5" s="32"/>
      <c r="UX5" s="30" t="s">
        <v>176</v>
      </c>
      <c r="UY5" s="30"/>
      <c r="UZ5" s="31" t="s">
        <v>36</v>
      </c>
      <c r="VA5" s="33" t="s">
        <v>59</v>
      </c>
      <c r="VB5" s="32"/>
      <c r="VC5" s="32"/>
      <c r="VD5" s="30"/>
      <c r="VE5" s="41" t="s">
        <v>94</v>
      </c>
      <c r="VF5" s="31"/>
      <c r="VG5" s="31" t="s">
        <v>271</v>
      </c>
      <c r="VH5" s="32" t="s">
        <v>124</v>
      </c>
      <c r="VI5" s="32" t="s">
        <v>54</v>
      </c>
      <c r="VJ5" s="30" t="s">
        <v>368</v>
      </c>
      <c r="VK5" s="30"/>
      <c r="VL5" s="31" t="s">
        <v>64</v>
      </c>
      <c r="VM5" s="33" t="s">
        <v>41</v>
      </c>
      <c r="VN5" s="32" t="s">
        <v>593</v>
      </c>
      <c r="VO5" s="32" t="s">
        <v>64</v>
      </c>
      <c r="VP5" s="30"/>
      <c r="VQ5" s="30"/>
      <c r="VR5" s="31"/>
      <c r="VS5" s="31"/>
      <c r="VT5" s="32"/>
      <c r="VU5" s="32" t="s">
        <v>588</v>
      </c>
      <c r="VV5" s="30" t="s">
        <v>300</v>
      </c>
      <c r="VW5" s="30" t="s">
        <v>227</v>
      </c>
      <c r="VX5" s="31"/>
      <c r="VY5" s="31" t="s">
        <v>74</v>
      </c>
      <c r="VZ5" s="32" t="s">
        <v>64</v>
      </c>
      <c r="WA5" s="32"/>
      <c r="WB5" s="30" t="s">
        <v>227</v>
      </c>
      <c r="WC5" s="30"/>
      <c r="WD5" s="31" t="s">
        <v>588</v>
      </c>
      <c r="WE5" s="31"/>
      <c r="WF5" s="32"/>
      <c r="WG5" s="32"/>
      <c r="WH5" s="30"/>
      <c r="WI5" s="30" t="s">
        <v>368</v>
      </c>
      <c r="WJ5" s="31"/>
      <c r="WK5" s="31"/>
      <c r="WL5" s="32" t="s">
        <v>74</v>
      </c>
      <c r="WM5" s="32"/>
      <c r="WN5" s="30"/>
      <c r="WO5" s="30"/>
      <c r="WP5" s="31" t="s">
        <v>448</v>
      </c>
      <c r="WQ5" s="31"/>
      <c r="WR5" s="32"/>
      <c r="WS5" s="32"/>
      <c r="WT5" s="41" t="s">
        <v>86</v>
      </c>
      <c r="WU5" s="30"/>
      <c r="WV5" s="31"/>
      <c r="WW5" s="31"/>
      <c r="WX5" s="32"/>
      <c r="WY5" s="39" t="s">
        <v>81</v>
      </c>
      <c r="WZ5" s="30"/>
      <c r="XA5" s="30"/>
      <c r="XB5" s="31"/>
      <c r="XC5" s="31"/>
      <c r="XD5" s="39" t="s">
        <v>176</v>
      </c>
      <c r="XE5" s="32"/>
      <c r="XF5" s="30"/>
      <c r="XG5" s="30"/>
      <c r="XH5" s="31"/>
      <c r="XI5" s="31"/>
      <c r="XJ5" s="32"/>
      <c r="XK5" s="32"/>
      <c r="XL5" s="30"/>
      <c r="XM5" s="30"/>
      <c r="XN5" s="31"/>
      <c r="XO5" s="31"/>
      <c r="XP5" s="32"/>
      <c r="XQ5" s="32"/>
      <c r="XR5" s="30"/>
      <c r="XS5" s="30"/>
      <c r="XT5" s="31"/>
      <c r="XU5" s="31"/>
      <c r="XV5" s="32"/>
      <c r="XW5" s="32"/>
      <c r="XX5" s="30"/>
      <c r="XY5" s="30" t="s">
        <v>368</v>
      </c>
      <c r="XZ5" s="31"/>
      <c r="YA5" s="31" t="s">
        <v>448</v>
      </c>
      <c r="YB5" s="32"/>
      <c r="YC5" s="32"/>
      <c r="YD5" s="30" t="s">
        <v>81</v>
      </c>
      <c r="YE5" s="30"/>
      <c r="YF5" s="31" t="s">
        <v>36</v>
      </c>
      <c r="YG5" s="31"/>
      <c r="YH5" s="32"/>
      <c r="YI5" s="32"/>
      <c r="YJ5" s="30"/>
      <c r="YK5" s="30"/>
      <c r="YL5" s="31"/>
      <c r="YM5" s="31"/>
      <c r="YN5" s="32"/>
      <c r="YO5" s="32"/>
      <c r="YP5" s="30"/>
      <c r="YQ5" s="30"/>
      <c r="YR5" s="31"/>
      <c r="YS5" s="31"/>
      <c r="YT5" s="32"/>
      <c r="YU5" s="32"/>
      <c r="YV5" s="30"/>
      <c r="YW5" s="30"/>
      <c r="YX5" s="31"/>
      <c r="YY5" s="31"/>
      <c r="YZ5" s="32"/>
      <c r="ZA5" s="32"/>
      <c r="ZB5" s="30"/>
      <c r="ZC5" s="30"/>
      <c r="ZD5" s="31"/>
      <c r="ZE5" s="31"/>
      <c r="ZF5" s="32"/>
      <c r="ZG5" s="32"/>
      <c r="ZH5" s="30"/>
      <c r="ZI5" s="30"/>
      <c r="ZJ5" s="31"/>
      <c r="ZK5" s="31"/>
      <c r="ZL5" s="32"/>
      <c r="ZM5" s="32"/>
      <c r="ZN5" s="30"/>
      <c r="ZO5" s="30"/>
      <c r="ZP5" s="31"/>
      <c r="ZQ5" s="31"/>
      <c r="ZR5" s="32"/>
      <c r="ZS5" s="32"/>
      <c r="ZT5" s="30"/>
      <c r="ZU5" s="30"/>
      <c r="ZV5" s="31"/>
      <c r="ZW5" s="31"/>
      <c r="ZX5" s="32"/>
      <c r="ZY5" s="32"/>
      <c r="ZZ5" s="30"/>
      <c r="AAA5" s="30"/>
      <c r="AAB5" s="31"/>
      <c r="AAC5" s="31"/>
      <c r="AAD5" s="32"/>
      <c r="AAE5" s="32" t="s">
        <v>587</v>
      </c>
      <c r="AAF5" s="30"/>
      <c r="AAG5" s="30" t="s">
        <v>124</v>
      </c>
      <c r="AAH5" s="31"/>
      <c r="AAI5" s="31"/>
      <c r="AAJ5" s="32" t="s">
        <v>587</v>
      </c>
      <c r="AAK5" s="32" t="s">
        <v>94</v>
      </c>
      <c r="AAL5" s="30"/>
      <c r="AAM5" s="30" t="s">
        <v>587</v>
      </c>
      <c r="AAN5" s="31"/>
      <c r="AAO5" s="31"/>
      <c r="AAP5" s="32"/>
      <c r="AAQ5" s="32" t="s">
        <v>227</v>
      </c>
      <c r="AAR5" s="30" t="s">
        <v>593</v>
      </c>
      <c r="AAS5" s="30" t="s">
        <v>46</v>
      </c>
      <c r="AAT5" s="31"/>
      <c r="AAU5" s="31"/>
      <c r="AAV5" s="33" t="s">
        <v>271</v>
      </c>
      <c r="AAW5" s="32"/>
      <c r="AAX5" s="30" t="s">
        <v>583</v>
      </c>
      <c r="AAY5" s="30"/>
      <c r="AAZ5" s="31" t="s">
        <v>59</v>
      </c>
      <c r="ABA5" s="31"/>
      <c r="ABB5" s="32"/>
      <c r="ABC5" s="32"/>
      <c r="ABD5" s="30"/>
      <c r="ABE5" s="30"/>
      <c r="ABF5" s="31"/>
      <c r="ABG5" s="31"/>
      <c r="ABH5" s="32"/>
      <c r="ABI5" s="36" t="s">
        <v>615</v>
      </c>
      <c r="ABJ5" s="46"/>
      <c r="ABK5" s="30"/>
      <c r="ABL5" s="31"/>
      <c r="ABM5" s="31"/>
      <c r="ABN5" s="32"/>
      <c r="ABO5" s="32"/>
      <c r="ABP5" s="30"/>
      <c r="ABQ5" s="33" t="s">
        <v>164</v>
      </c>
      <c r="ABR5" s="31"/>
      <c r="ABS5" s="31"/>
      <c r="ABT5" s="32"/>
      <c r="ABU5" s="32"/>
      <c r="ABV5" s="30"/>
      <c r="ABW5" s="30"/>
      <c r="ABX5" s="31" t="s">
        <v>271</v>
      </c>
      <c r="ABY5" s="31"/>
      <c r="ABZ5" s="32"/>
      <c r="ACA5" s="32"/>
      <c r="ACB5" s="30"/>
      <c r="ACC5" s="30"/>
      <c r="ACD5" s="31"/>
      <c r="ACE5" s="31"/>
      <c r="ACF5" s="32"/>
      <c r="ACG5" s="33" t="s">
        <v>588</v>
      </c>
      <c r="ACH5" s="30"/>
      <c r="ACI5" s="30"/>
      <c r="ACJ5" s="31"/>
      <c r="ACK5" s="31"/>
      <c r="ACL5" s="32"/>
      <c r="ACM5" s="32"/>
      <c r="ACN5" s="30" t="s">
        <v>36</v>
      </c>
      <c r="ACO5" s="30"/>
      <c r="ACP5" s="31"/>
      <c r="ACQ5" s="31"/>
      <c r="ACR5" s="32"/>
      <c r="ACS5" s="32"/>
      <c r="ACT5" s="30"/>
      <c r="ACU5" s="30"/>
      <c r="ACV5" s="31" t="s">
        <v>612</v>
      </c>
      <c r="ACW5" s="31" t="s">
        <v>41</v>
      </c>
      <c r="ACX5" s="32" t="s">
        <v>81</v>
      </c>
      <c r="ACY5" s="32"/>
      <c r="ACZ5" s="30"/>
      <c r="ADA5" s="30"/>
      <c r="ADB5" s="33" t="s">
        <v>22</v>
      </c>
      <c r="ADC5" s="33" t="s">
        <v>22</v>
      </c>
      <c r="ADD5" s="32"/>
      <c r="ADE5" s="32" t="s">
        <v>36</v>
      </c>
      <c r="ADF5" s="30"/>
      <c r="ADG5" s="30"/>
      <c r="ADH5" s="31"/>
      <c r="ADI5" s="31"/>
      <c r="ADJ5" s="32"/>
      <c r="ADK5" s="33" t="s">
        <v>592</v>
      </c>
      <c r="ADL5" s="30"/>
      <c r="ADM5" s="33" t="s">
        <v>28</v>
      </c>
      <c r="ADN5" s="31"/>
      <c r="ADO5" s="31"/>
      <c r="ADP5" s="33" t="s">
        <v>587</v>
      </c>
      <c r="ADQ5" s="32"/>
      <c r="ADR5" s="30" t="s">
        <v>81</v>
      </c>
      <c r="ADS5" s="30"/>
      <c r="ADT5" s="31"/>
      <c r="ADU5" s="31"/>
      <c r="ADV5" s="32"/>
      <c r="ADW5" s="32"/>
      <c r="ADX5" s="30" t="s">
        <v>185</v>
      </c>
      <c r="ADY5" s="36" t="s">
        <v>22</v>
      </c>
      <c r="ADZ5" s="31"/>
      <c r="AEA5" s="31"/>
      <c r="AEB5" s="32" t="s">
        <v>271</v>
      </c>
      <c r="AEC5" s="32"/>
      <c r="AED5" s="30"/>
      <c r="AEE5" s="30"/>
      <c r="AEF5" s="31"/>
      <c r="AEG5" s="31"/>
      <c r="AEH5" s="32"/>
      <c r="AEI5" s="32"/>
      <c r="AEJ5" s="30"/>
      <c r="AEK5" s="30" t="s">
        <v>185</v>
      </c>
      <c r="AEL5" s="31"/>
      <c r="AEM5" s="31"/>
      <c r="AEN5" s="32"/>
      <c r="AEO5" s="32"/>
      <c r="AEP5" s="30" t="s">
        <v>94</v>
      </c>
      <c r="AEQ5" s="30"/>
      <c r="AER5" s="40" t="s">
        <v>615</v>
      </c>
      <c r="AES5" s="31"/>
      <c r="AET5" s="33" t="s">
        <v>587</v>
      </c>
      <c r="AEU5" s="32" t="s">
        <v>173</v>
      </c>
      <c r="AEV5" s="30"/>
      <c r="AEW5" s="30" t="s">
        <v>36</v>
      </c>
      <c r="AEX5" s="31"/>
      <c r="AEY5" s="31"/>
      <c r="AEZ5" s="32"/>
      <c r="AFA5" s="32"/>
      <c r="AFB5" s="30" t="s">
        <v>319</v>
      </c>
      <c r="AFC5" s="30"/>
      <c r="AFD5" s="31" t="s">
        <v>86</v>
      </c>
      <c r="AFE5" s="31" t="s">
        <v>601</v>
      </c>
      <c r="AFF5" s="32"/>
      <c r="AFG5" s="32"/>
      <c r="AFH5" s="30" t="s">
        <v>238</v>
      </c>
      <c r="AFI5" s="30"/>
      <c r="AFJ5" s="31"/>
      <c r="AFK5" s="31"/>
      <c r="AFL5" s="32"/>
      <c r="AFM5" s="32" t="s">
        <v>86</v>
      </c>
      <c r="AFN5" s="30"/>
      <c r="AFO5" s="30"/>
      <c r="AFP5" s="31"/>
      <c r="AFQ5" s="31"/>
      <c r="AFR5" s="32"/>
      <c r="AFS5" s="32"/>
      <c r="AFT5" s="33" t="s">
        <v>59</v>
      </c>
      <c r="AFU5" s="30"/>
      <c r="AFV5" s="31"/>
      <c r="AFW5" s="31"/>
      <c r="AFX5" s="32"/>
      <c r="AFY5" s="32"/>
      <c r="AFZ5" s="30"/>
      <c r="AGA5" s="30"/>
      <c r="AGB5" s="31" t="s">
        <v>69</v>
      </c>
      <c r="AGC5" s="31"/>
      <c r="AGD5" s="32" t="s">
        <v>54</v>
      </c>
      <c r="AGE5" s="32"/>
      <c r="AGF5" s="30"/>
      <c r="AGG5" s="30"/>
      <c r="AGH5" s="31"/>
      <c r="AGI5" s="31"/>
      <c r="AGJ5" s="32"/>
      <c r="AGK5" s="32"/>
      <c r="AGL5" s="30"/>
      <c r="AGM5" s="30"/>
      <c r="AGN5" s="31"/>
      <c r="AGO5" s="31"/>
      <c r="AGP5" s="32"/>
      <c r="AGQ5" s="32"/>
      <c r="AGR5" s="30"/>
      <c r="AGS5" s="30" t="s">
        <v>601</v>
      </c>
      <c r="AGT5" s="31"/>
      <c r="AGU5" s="31" t="s">
        <v>588</v>
      </c>
      <c r="AGV5" s="32"/>
      <c r="AGW5" s="32"/>
      <c r="AGX5" s="30"/>
      <c r="AGY5" s="30" t="s">
        <v>314</v>
      </c>
      <c r="AGZ5" s="31"/>
      <c r="AHA5" s="31"/>
      <c r="AHB5" s="33" t="s">
        <v>185</v>
      </c>
      <c r="AHC5" s="32" t="s">
        <v>36</v>
      </c>
      <c r="AHD5" s="33" t="s">
        <v>588</v>
      </c>
      <c r="AHE5" s="33" t="s">
        <v>583</v>
      </c>
      <c r="AHF5" s="33" t="s">
        <v>46</v>
      </c>
      <c r="AHG5" s="33" t="s">
        <v>59</v>
      </c>
      <c r="AHH5" s="33" t="s">
        <v>314</v>
      </c>
      <c r="AHI5" s="33" t="s">
        <v>314</v>
      </c>
      <c r="AHJ5" s="33" t="s">
        <v>583</v>
      </c>
      <c r="AHK5" s="30" t="s">
        <v>300</v>
      </c>
      <c r="AHL5" s="31" t="s">
        <v>36</v>
      </c>
      <c r="AHM5" s="31" t="s">
        <v>173</v>
      </c>
      <c r="AHN5" s="33" t="s">
        <v>41</v>
      </c>
      <c r="AHO5" s="32"/>
      <c r="AHP5" s="30" t="s">
        <v>28</v>
      </c>
      <c r="AHQ5" s="30"/>
      <c r="AHR5" s="31" t="s">
        <v>448</v>
      </c>
      <c r="AHS5" s="31"/>
      <c r="AHT5" s="32" t="s">
        <v>451</v>
      </c>
      <c r="AHU5" s="32"/>
      <c r="AHV5" s="30"/>
      <c r="AHW5" s="41" t="s">
        <v>36</v>
      </c>
      <c r="AHX5" s="31"/>
      <c r="AHY5" s="31"/>
      <c r="AHZ5" s="32"/>
      <c r="AIA5" s="32" t="s">
        <v>54</v>
      </c>
      <c r="AIB5" s="30"/>
      <c r="AIC5" s="30"/>
      <c r="AID5" s="31"/>
      <c r="AIE5" s="31"/>
      <c r="AIF5" s="32"/>
      <c r="AIG5" s="32"/>
      <c r="AIH5" s="30"/>
      <c r="AII5" s="30"/>
      <c r="AIJ5" s="31"/>
      <c r="AIK5" s="31"/>
      <c r="AIL5" s="32"/>
      <c r="AIM5" s="32"/>
      <c r="AIN5" s="30"/>
      <c r="AIO5" s="30"/>
      <c r="AIP5" s="31"/>
      <c r="AIQ5" s="31"/>
      <c r="AIR5" s="32"/>
      <c r="AIS5" s="39" t="s">
        <v>81</v>
      </c>
      <c r="AIT5" s="30" t="s">
        <v>314</v>
      </c>
      <c r="AIU5" s="30"/>
      <c r="AIV5" s="31"/>
      <c r="AIW5" s="31"/>
      <c r="AIX5" s="32" t="s">
        <v>59</v>
      </c>
      <c r="AIY5" s="32" t="s">
        <v>124</v>
      </c>
      <c r="AIZ5" s="30" t="s">
        <v>587</v>
      </c>
      <c r="AJA5" s="30"/>
      <c r="AJB5" s="31"/>
      <c r="AJC5" s="31"/>
      <c r="AJD5" s="32"/>
      <c r="AJE5" s="32"/>
      <c r="AJF5" s="30"/>
      <c r="AJG5" s="30"/>
      <c r="AJH5" s="31"/>
      <c r="AJI5" s="31"/>
      <c r="AJJ5" s="32"/>
      <c r="AJK5" s="32"/>
      <c r="AJL5" s="30"/>
      <c r="AJM5" s="30"/>
      <c r="AJN5" s="31" t="s">
        <v>606</v>
      </c>
      <c r="AJO5" s="31"/>
      <c r="AJP5" s="32"/>
      <c r="AJQ5" s="32"/>
      <c r="AJR5" s="30"/>
      <c r="AJS5" s="30"/>
      <c r="AJT5" s="31"/>
      <c r="AJU5" s="31" t="s">
        <v>164</v>
      </c>
      <c r="AJV5" s="32"/>
      <c r="AJW5" s="32"/>
      <c r="AJX5" s="30"/>
      <c r="AJY5" s="30"/>
      <c r="AJZ5" s="31" t="s">
        <v>164</v>
      </c>
      <c r="AKA5" s="31" t="s">
        <v>319</v>
      </c>
      <c r="AKB5" s="32"/>
      <c r="AKC5" s="32" t="s">
        <v>606</v>
      </c>
      <c r="AKD5" s="30"/>
      <c r="AKE5" s="30"/>
      <c r="AKF5" s="31"/>
      <c r="AKG5" s="31"/>
      <c r="AKH5" s="32"/>
      <c r="AKI5" s="32" t="s">
        <v>79</v>
      </c>
      <c r="AKJ5" s="30"/>
      <c r="AKK5" s="33" t="s">
        <v>33</v>
      </c>
      <c r="AKL5" s="31"/>
      <c r="AKM5" s="31"/>
      <c r="AKN5" s="32" t="s">
        <v>86</v>
      </c>
      <c r="AKO5" s="32"/>
      <c r="AKP5" s="30" t="s">
        <v>33</v>
      </c>
      <c r="AKQ5" s="30"/>
      <c r="AKR5" s="31"/>
      <c r="AKS5" s="31"/>
      <c r="AKT5" s="32"/>
      <c r="AKU5" s="32" t="s">
        <v>289</v>
      </c>
      <c r="AKV5" s="30" t="s">
        <v>41</v>
      </c>
      <c r="AKW5" s="30" t="s">
        <v>300</v>
      </c>
      <c r="AKX5" s="31"/>
      <c r="AKY5" s="31" t="s">
        <v>69</v>
      </c>
      <c r="AKZ5" s="33" t="s">
        <v>451</v>
      </c>
      <c r="ALA5" s="33" t="s">
        <v>327</v>
      </c>
      <c r="ALB5" s="30" t="s">
        <v>289</v>
      </c>
      <c r="ALC5" s="30"/>
      <c r="ALD5" s="31" t="s">
        <v>81</v>
      </c>
      <c r="ALE5" s="33" t="s">
        <v>28</v>
      </c>
      <c r="ALF5" s="32"/>
      <c r="ALG5" s="32"/>
      <c r="ALH5" s="36" t="s">
        <v>271</v>
      </c>
      <c r="ALI5" s="33" t="s">
        <v>74</v>
      </c>
      <c r="ALJ5" s="33" t="s">
        <v>583</v>
      </c>
      <c r="ALK5" s="31" t="s">
        <v>601</v>
      </c>
      <c r="ALL5" s="32" t="s">
        <v>46</v>
      </c>
      <c r="ALM5" s="33" t="s">
        <v>594</v>
      </c>
      <c r="ALN5" s="33" t="s">
        <v>74</v>
      </c>
      <c r="ALO5" s="33" t="s">
        <v>69</v>
      </c>
      <c r="ALP5" s="31" t="s">
        <v>601</v>
      </c>
      <c r="ALQ5" s="31"/>
      <c r="ALR5" s="32" t="s">
        <v>102</v>
      </c>
      <c r="ALS5" s="32"/>
      <c r="ALT5" s="30" t="s">
        <v>176</v>
      </c>
      <c r="ALU5" s="30" t="s">
        <v>606</v>
      </c>
      <c r="ALV5" s="31" t="s">
        <v>271</v>
      </c>
      <c r="ALW5" s="31" t="s">
        <v>176</v>
      </c>
      <c r="ALX5" s="32"/>
      <c r="ALY5" s="32" t="s">
        <v>185</v>
      </c>
      <c r="ALZ5" s="30"/>
      <c r="AMA5" s="30"/>
      <c r="AMB5" s="33" t="s">
        <v>86</v>
      </c>
      <c r="AMC5" s="33" t="s">
        <v>64</v>
      </c>
      <c r="AMD5" s="32" t="s">
        <v>185</v>
      </c>
      <c r="AME5" s="32" t="s">
        <v>36</v>
      </c>
      <c r="AMF5" s="30" t="s">
        <v>588</v>
      </c>
      <c r="AMG5" s="33" t="s">
        <v>448</v>
      </c>
      <c r="AMH5" s="31" t="s">
        <v>289</v>
      </c>
      <c r="AMI5" s="31" t="s">
        <v>173</v>
      </c>
      <c r="AMJ5" s="32"/>
      <c r="AMK5" s="32"/>
      <c r="AML5" s="30" t="s">
        <v>606</v>
      </c>
      <c r="AMM5" s="30" t="s">
        <v>102</v>
      </c>
      <c r="AMN5" s="33" t="s">
        <v>594</v>
      </c>
      <c r="AMO5" s="33" t="s">
        <v>28</v>
      </c>
      <c r="AMP5" s="33" t="s">
        <v>69</v>
      </c>
      <c r="AMQ5" s="32" t="s">
        <v>64</v>
      </c>
      <c r="AMR5" s="33" t="s">
        <v>389</v>
      </c>
      <c r="AMS5" s="30"/>
      <c r="AMT5" s="31" t="s">
        <v>28</v>
      </c>
      <c r="AMU5" s="31" t="s">
        <v>69</v>
      </c>
      <c r="AMV5" s="33" t="s">
        <v>227</v>
      </c>
      <c r="AMW5" s="32" t="s">
        <v>46</v>
      </c>
      <c r="AMX5" s="33" t="s">
        <v>86</v>
      </c>
      <c r="AMY5" s="33" t="s">
        <v>86</v>
      </c>
      <c r="AMZ5" s="31" t="s">
        <v>588</v>
      </c>
      <c r="ANA5" s="31" t="s">
        <v>587</v>
      </c>
      <c r="ANB5" s="33" t="s">
        <v>389</v>
      </c>
      <c r="ANC5" s="32" t="s">
        <v>79</v>
      </c>
      <c r="AND5" s="33" t="s">
        <v>124</v>
      </c>
      <c r="ANE5" s="33" t="s">
        <v>271</v>
      </c>
      <c r="ANF5" s="33" t="s">
        <v>86</v>
      </c>
      <c r="ANG5" s="33" t="s">
        <v>28</v>
      </c>
      <c r="ANH5" s="32" t="s">
        <v>587</v>
      </c>
      <c r="ANI5" s="33" t="s">
        <v>601</v>
      </c>
      <c r="ANJ5" s="30" t="s">
        <v>81</v>
      </c>
      <c r="ANK5" s="30" t="s">
        <v>164</v>
      </c>
      <c r="ANL5" s="33" t="s">
        <v>28</v>
      </c>
      <c r="ANM5" s="31" t="s">
        <v>592</v>
      </c>
      <c r="ANN5" s="32"/>
      <c r="ANO5" s="32" t="s">
        <v>271</v>
      </c>
      <c r="ANP5" s="33" t="s">
        <v>102</v>
      </c>
      <c r="ANQ5" s="30" t="s">
        <v>185</v>
      </c>
      <c r="ANR5" s="33" t="s">
        <v>164</v>
      </c>
      <c r="ANS5" s="33" t="s">
        <v>227</v>
      </c>
      <c r="ANT5" s="32" t="s">
        <v>592</v>
      </c>
      <c r="ANU5" s="33" t="s">
        <v>41</v>
      </c>
      <c r="ANV5" s="30" t="s">
        <v>185</v>
      </c>
      <c r="ANW5" s="30" t="s">
        <v>606</v>
      </c>
      <c r="ANX5" s="31"/>
      <c r="ANY5" s="31" t="s">
        <v>583</v>
      </c>
      <c r="ANZ5" s="33" t="s">
        <v>33</v>
      </c>
      <c r="AOA5" s="33" t="s">
        <v>33</v>
      </c>
      <c r="AOB5" s="33" t="s">
        <v>36</v>
      </c>
      <c r="AOC5" s="30" t="s">
        <v>185</v>
      </c>
      <c r="AOD5" s="33" t="s">
        <v>86</v>
      </c>
      <c r="AOE5" s="33" t="s">
        <v>451</v>
      </c>
      <c r="AOF5" s="33" t="s">
        <v>33</v>
      </c>
      <c r="AOG5" s="33" t="s">
        <v>41</v>
      </c>
      <c r="AOH5" s="30" t="s">
        <v>185</v>
      </c>
      <c r="AOI5" s="33" t="s">
        <v>28</v>
      </c>
      <c r="AOJ5" s="33" t="s">
        <v>451</v>
      </c>
      <c r="AOK5" s="33" t="s">
        <v>451</v>
      </c>
      <c r="AOL5" s="32" t="s">
        <v>583</v>
      </c>
      <c r="AOM5" s="32" t="s">
        <v>36</v>
      </c>
      <c r="AON5" s="33" t="s">
        <v>102</v>
      </c>
      <c r="AOO5" s="30" t="s">
        <v>314</v>
      </c>
      <c r="AOP5" s="31"/>
      <c r="AOQ5" s="31" t="s">
        <v>259</v>
      </c>
      <c r="AOR5" s="33" t="s">
        <v>606</v>
      </c>
      <c r="AOS5" s="32" t="s">
        <v>205</v>
      </c>
      <c r="AOT5" s="30" t="s">
        <v>314</v>
      </c>
      <c r="AOU5" s="33" t="s">
        <v>94</v>
      </c>
      <c r="AOV5" s="31" t="s">
        <v>259</v>
      </c>
      <c r="AOW5" s="31" t="s">
        <v>300</v>
      </c>
      <c r="AOX5" s="32" t="s">
        <v>205</v>
      </c>
      <c r="AOY5" s="33" t="s">
        <v>594</v>
      </c>
      <c r="AOZ5" s="30" t="s">
        <v>592</v>
      </c>
      <c r="APA5" s="30"/>
      <c r="APB5" s="31" t="s">
        <v>36</v>
      </c>
      <c r="APC5" s="31" t="s">
        <v>79</v>
      </c>
      <c r="APD5" s="32"/>
      <c r="APE5" s="32" t="s">
        <v>185</v>
      </c>
      <c r="APF5" s="33" t="s">
        <v>227</v>
      </c>
      <c r="APG5" s="30" t="s">
        <v>94</v>
      </c>
      <c r="APH5" s="33" t="s">
        <v>79</v>
      </c>
      <c r="API5" s="33" t="s">
        <v>79</v>
      </c>
      <c r="APJ5" s="31" t="s">
        <v>185</v>
      </c>
      <c r="APK5" s="31" t="s">
        <v>594</v>
      </c>
      <c r="APL5" s="30" t="s">
        <v>94</v>
      </c>
      <c r="APM5" s="30"/>
      <c r="APN5" s="32" t="s">
        <v>33</v>
      </c>
      <c r="APO5" s="32"/>
      <c r="APP5" s="33" t="s">
        <v>124</v>
      </c>
      <c r="APQ5" s="33" t="s">
        <v>86</v>
      </c>
      <c r="APR5" s="30" t="s">
        <v>596</v>
      </c>
      <c r="APS5" s="30" t="s">
        <v>583</v>
      </c>
      <c r="APT5" s="33" t="s">
        <v>259</v>
      </c>
      <c r="APU5" s="33" t="s">
        <v>259</v>
      </c>
      <c r="APV5" s="33" t="s">
        <v>164</v>
      </c>
      <c r="APW5" s="31" t="s">
        <v>74</v>
      </c>
      <c r="APX5" s="30" t="s">
        <v>64</v>
      </c>
      <c r="APY5" s="33" t="s">
        <v>69</v>
      </c>
      <c r="APZ5" s="32" t="s">
        <v>33</v>
      </c>
      <c r="AQA5" s="32"/>
      <c r="AQB5" s="33" t="s">
        <v>259</v>
      </c>
      <c r="AQC5" s="31"/>
      <c r="AQD5" s="30" t="s">
        <v>124</v>
      </c>
      <c r="AQE5" s="30" t="s">
        <v>33</v>
      </c>
      <c r="AQF5" s="32"/>
      <c r="AQG5" s="32" t="s">
        <v>54</v>
      </c>
      <c r="AQH5" s="31" t="s">
        <v>594</v>
      </c>
      <c r="AQI5" s="31" t="s">
        <v>587</v>
      </c>
      <c r="AQJ5" s="30" t="s">
        <v>41</v>
      </c>
      <c r="AQK5" s="30"/>
      <c r="AQL5" s="32" t="s">
        <v>314</v>
      </c>
      <c r="AQM5" s="32"/>
      <c r="AQN5" s="31" t="s">
        <v>54</v>
      </c>
      <c r="AQO5" s="31"/>
      <c r="AQP5" s="30" t="s">
        <v>94</v>
      </c>
      <c r="AQQ5" s="30"/>
      <c r="AQR5" s="39" t="s">
        <v>583</v>
      </c>
      <c r="AQS5" s="32"/>
      <c r="AQT5" s="31"/>
      <c r="AQU5" s="31" t="s">
        <v>79</v>
      </c>
      <c r="AQV5" s="30"/>
      <c r="AQW5" s="30"/>
      <c r="AQX5" s="32" t="s">
        <v>86</v>
      </c>
      <c r="AQY5" s="32"/>
      <c r="AQZ5" s="31" t="s">
        <v>79</v>
      </c>
      <c r="ARA5" s="31"/>
      <c r="ARB5" s="30" t="s">
        <v>259</v>
      </c>
      <c r="ARC5" s="30"/>
      <c r="ARD5" s="32"/>
      <c r="ARE5" s="32"/>
      <c r="ARF5" s="31"/>
      <c r="ARG5" s="31" t="s">
        <v>205</v>
      </c>
      <c r="ARH5" s="30"/>
      <c r="ARI5" s="30" t="s">
        <v>46</v>
      </c>
      <c r="ARJ5" s="32"/>
      <c r="ARK5" s="32"/>
      <c r="ARL5" s="31" t="s">
        <v>94</v>
      </c>
      <c r="ARM5" s="31"/>
      <c r="ARN5" s="30" t="s">
        <v>205</v>
      </c>
      <c r="ARO5" s="30"/>
      <c r="ARP5" s="32"/>
      <c r="ARQ5" s="32"/>
      <c r="ARR5" s="31"/>
      <c r="ARS5" s="31"/>
      <c r="ART5" s="30"/>
      <c r="ARU5" s="30"/>
      <c r="ARV5" s="32"/>
      <c r="ARW5" s="32" t="s">
        <v>41</v>
      </c>
      <c r="ARX5" s="31"/>
      <c r="ARY5" s="31" t="s">
        <v>79</v>
      </c>
      <c r="ARZ5" s="30"/>
      <c r="ASA5" s="30"/>
      <c r="ASB5" s="32"/>
      <c r="ASC5" s="32"/>
      <c r="ASD5" s="31" t="s">
        <v>79</v>
      </c>
      <c r="ASE5" s="31"/>
      <c r="ASF5" s="30"/>
      <c r="ASG5" s="30"/>
      <c r="ASH5" s="32"/>
      <c r="ASI5" s="32"/>
      <c r="ASJ5" s="31"/>
      <c r="ASK5" s="31" t="s">
        <v>300</v>
      </c>
      <c r="ASL5" s="30"/>
      <c r="ASM5" s="30" t="s">
        <v>319</v>
      </c>
      <c r="ASN5" s="32"/>
      <c r="ASO5" s="32" t="s">
        <v>601</v>
      </c>
      <c r="ASP5" s="31" t="s">
        <v>86</v>
      </c>
      <c r="ASQ5" s="31"/>
      <c r="ASR5" s="30" t="s">
        <v>238</v>
      </c>
      <c r="ASS5" s="30"/>
      <c r="AST5" s="32" t="s">
        <v>64</v>
      </c>
      <c r="ASU5" s="32"/>
      <c r="ASV5" s="33" t="s">
        <v>389</v>
      </c>
      <c r="ASW5" s="31" t="s">
        <v>86</v>
      </c>
      <c r="ASX5" s="30"/>
      <c r="ASY5" s="30"/>
      <c r="ASZ5" s="32" t="s">
        <v>592</v>
      </c>
      <c r="ATA5" s="32" t="s">
        <v>300</v>
      </c>
      <c r="ATB5" s="31" t="s">
        <v>54</v>
      </c>
      <c r="ATC5" s="31"/>
      <c r="ATD5" s="33" t="s">
        <v>86</v>
      </c>
      <c r="ATE5" s="33" t="s">
        <v>94</v>
      </c>
      <c r="ATF5" s="32"/>
      <c r="ATG5" s="32" t="s">
        <v>271</v>
      </c>
      <c r="ATH5" s="31"/>
      <c r="ATI5" s="31"/>
      <c r="ATJ5" s="30"/>
      <c r="ATK5" s="30" t="s">
        <v>607</v>
      </c>
      <c r="ATL5" s="32"/>
      <c r="ATM5" s="32" t="s">
        <v>124</v>
      </c>
      <c r="ATN5" s="33" t="s">
        <v>46</v>
      </c>
      <c r="ATO5" s="33" t="s">
        <v>46</v>
      </c>
      <c r="ATP5" s="30"/>
      <c r="ATQ5" s="30" t="s">
        <v>451</v>
      </c>
      <c r="ATR5" s="32" t="s">
        <v>124</v>
      </c>
      <c r="ATS5" s="33" t="s">
        <v>259</v>
      </c>
      <c r="ATT5" s="31" t="s">
        <v>69</v>
      </c>
      <c r="ATU5" s="31" t="s">
        <v>185</v>
      </c>
      <c r="ATV5" s="30" t="s">
        <v>64</v>
      </c>
      <c r="ATW5" s="30"/>
      <c r="ATX5" s="32" t="s">
        <v>54</v>
      </c>
      <c r="ATY5" s="32"/>
      <c r="ATZ5" s="31"/>
      <c r="AUA5" s="31" t="s">
        <v>587</v>
      </c>
      <c r="AUB5" s="30"/>
      <c r="AUC5" s="30" t="s">
        <v>69</v>
      </c>
      <c r="AUD5" s="32" t="s">
        <v>86</v>
      </c>
      <c r="AUE5" s="32"/>
      <c r="AUF5" s="31" t="s">
        <v>587</v>
      </c>
      <c r="AUG5" s="31"/>
      <c r="AUH5" s="30" t="s">
        <v>205</v>
      </c>
      <c r="AUI5" s="30"/>
      <c r="AUJ5" s="32"/>
      <c r="AUK5" s="32"/>
      <c r="AUL5" s="31" t="s">
        <v>102</v>
      </c>
      <c r="AUM5" s="31" t="s">
        <v>300</v>
      </c>
      <c r="AUN5" s="30"/>
      <c r="AUO5" s="30" t="s">
        <v>59</v>
      </c>
      <c r="AUP5" s="32"/>
      <c r="AUQ5" s="32" t="s">
        <v>205</v>
      </c>
      <c r="AUR5" s="34" t="s">
        <v>124</v>
      </c>
      <c r="AUS5" s="47" t="s">
        <v>389</v>
      </c>
      <c r="AUT5" s="30" t="s">
        <v>59</v>
      </c>
      <c r="AUU5" s="30"/>
      <c r="AUV5" s="32" t="s">
        <v>238</v>
      </c>
      <c r="AUW5" s="32" t="s">
        <v>86</v>
      </c>
      <c r="AUX5" s="31"/>
      <c r="AUY5" s="31" t="s">
        <v>289</v>
      </c>
      <c r="AUZ5" s="41" t="s">
        <v>81</v>
      </c>
      <c r="AVA5" s="30"/>
      <c r="AVB5" s="32"/>
      <c r="AVC5" s="32" t="s">
        <v>176</v>
      </c>
      <c r="AVD5" s="33" t="s">
        <v>124</v>
      </c>
      <c r="AVE5" s="31" t="s">
        <v>271</v>
      </c>
      <c r="AVF5" s="33" t="s">
        <v>46</v>
      </c>
      <c r="AVG5" s="30" t="s">
        <v>41</v>
      </c>
      <c r="AVH5" s="32" t="s">
        <v>227</v>
      </c>
      <c r="AVI5" s="32" t="s">
        <v>319</v>
      </c>
      <c r="AVJ5" s="31" t="s">
        <v>271</v>
      </c>
      <c r="AVK5" s="31"/>
      <c r="AVL5" s="30"/>
      <c r="AVM5" s="30"/>
      <c r="AVN5" s="32"/>
      <c r="AVO5" s="39" t="s">
        <v>102</v>
      </c>
      <c r="AVP5" s="31"/>
      <c r="AVQ5" s="31" t="s">
        <v>36</v>
      </c>
      <c r="AVR5" s="33" t="s">
        <v>246</v>
      </c>
      <c r="AVS5" s="30" t="s">
        <v>227</v>
      </c>
      <c r="AVT5" s="32" t="s">
        <v>86</v>
      </c>
      <c r="AVU5" s="32"/>
      <c r="AVV5" s="31" t="s">
        <v>36</v>
      </c>
      <c r="AVW5" s="31" t="s">
        <v>86</v>
      </c>
      <c r="AVX5" s="30" t="s">
        <v>227</v>
      </c>
      <c r="AVY5" s="30"/>
      <c r="AVZ5" s="32" t="s">
        <v>601</v>
      </c>
      <c r="AWA5" s="32"/>
      <c r="AWB5" s="31" t="s">
        <v>327</v>
      </c>
      <c r="AWC5" s="31"/>
      <c r="AWD5" s="33" t="s">
        <v>46</v>
      </c>
      <c r="AWE5" s="30" t="s">
        <v>54</v>
      </c>
      <c r="AWF5" s="32"/>
      <c r="AWG5" s="32" t="s">
        <v>277</v>
      </c>
      <c r="AWH5" s="31"/>
      <c r="AWI5" s="31"/>
      <c r="AWJ5" s="33" t="s">
        <v>69</v>
      </c>
      <c r="AWK5" s="33" t="s">
        <v>69</v>
      </c>
      <c r="AWL5" s="33" t="s">
        <v>74</v>
      </c>
      <c r="AWM5" s="33" t="s">
        <v>314</v>
      </c>
      <c r="AWN5" s="31"/>
      <c r="AWO5" s="31" t="s">
        <v>591</v>
      </c>
      <c r="AWP5" s="30"/>
      <c r="AWQ5" s="30"/>
      <c r="AWR5" s="33" t="s">
        <v>59</v>
      </c>
      <c r="AWS5" s="33" t="s">
        <v>205</v>
      </c>
      <c r="AWT5" s="31"/>
      <c r="AWU5" s="33" t="s">
        <v>74</v>
      </c>
      <c r="AWV5" s="30" t="s">
        <v>300</v>
      </c>
      <c r="AWW5" s="33" t="s">
        <v>46</v>
      </c>
      <c r="AWX5" s="32" t="s">
        <v>164</v>
      </c>
      <c r="AWY5" s="32"/>
      <c r="AWZ5" s="33" t="s">
        <v>54</v>
      </c>
      <c r="AXA5" s="31" t="s">
        <v>300</v>
      </c>
      <c r="AXB5" s="30"/>
      <c r="AXC5" s="30"/>
      <c r="AXD5" s="32"/>
      <c r="AXE5" s="32"/>
      <c r="AXF5" s="33" t="s">
        <v>64</v>
      </c>
      <c r="AXG5" s="31" t="s">
        <v>227</v>
      </c>
      <c r="AXH5" s="41" t="s">
        <v>389</v>
      </c>
      <c r="AXI5" s="30" t="s">
        <v>607</v>
      </c>
      <c r="AXJ5" s="32" t="s">
        <v>46</v>
      </c>
      <c r="AXK5" s="32"/>
      <c r="AXL5" s="33" t="s">
        <v>227</v>
      </c>
      <c r="AXM5" s="33" t="s">
        <v>124</v>
      </c>
      <c r="AXN5" s="30" t="s">
        <v>607</v>
      </c>
      <c r="AXO5" s="30"/>
      <c r="AXP5" s="32" t="s">
        <v>81</v>
      </c>
      <c r="AXQ5" s="32"/>
      <c r="AXR5" s="31" t="s">
        <v>205</v>
      </c>
      <c r="AXS5" s="31"/>
      <c r="AXT5" s="30"/>
      <c r="AXU5" s="30" t="s">
        <v>74</v>
      </c>
      <c r="AXV5" s="32"/>
      <c r="AXW5" s="32" t="s">
        <v>327</v>
      </c>
      <c r="AXX5" s="31"/>
      <c r="AXY5" s="31"/>
      <c r="AXZ5" s="30" t="s">
        <v>64</v>
      </c>
      <c r="AYA5" s="30"/>
      <c r="AYB5" s="33" t="s">
        <v>79</v>
      </c>
      <c r="AYC5" s="33" t="s">
        <v>74</v>
      </c>
      <c r="AYD5" s="31" t="s">
        <v>59</v>
      </c>
      <c r="AYE5" s="31"/>
      <c r="AYF5" s="41" t="s">
        <v>368</v>
      </c>
      <c r="AYG5" s="30"/>
      <c r="AYH5" s="32"/>
      <c r="AYI5" s="32"/>
      <c r="AYJ5" s="31" t="s">
        <v>41</v>
      </c>
      <c r="AYK5" s="31"/>
      <c r="AYL5" s="30"/>
      <c r="AYM5" s="30"/>
      <c r="AYN5" s="32"/>
      <c r="AYO5" s="32"/>
      <c r="AYP5" s="31"/>
      <c r="AYQ5" s="31"/>
      <c r="AYR5" s="30"/>
      <c r="AYS5" s="30"/>
      <c r="AYT5" s="32"/>
      <c r="AYU5" s="32"/>
      <c r="AYV5" s="31"/>
      <c r="AYW5" s="31"/>
      <c r="AYX5" s="30"/>
      <c r="AYY5" s="30"/>
      <c r="AYZ5" s="32"/>
      <c r="AZA5" s="32"/>
      <c r="AZB5" s="31" t="s">
        <v>69</v>
      </c>
      <c r="AZC5" s="31"/>
      <c r="AZD5" s="30" t="s">
        <v>64</v>
      </c>
      <c r="AZE5" s="30"/>
      <c r="AZF5" s="32"/>
      <c r="AZG5" s="32"/>
      <c r="AZH5" s="31"/>
      <c r="AZI5" s="31"/>
      <c r="AZJ5" s="30"/>
      <c r="AZK5" s="30"/>
      <c r="AZL5" s="32"/>
      <c r="AZM5" s="32"/>
      <c r="AZN5" s="31"/>
      <c r="AZO5" s="31"/>
      <c r="AZP5" s="30" t="s">
        <v>79</v>
      </c>
      <c r="AZQ5" s="30"/>
      <c r="AZR5" s="32"/>
      <c r="AZS5" s="32"/>
      <c r="AZT5" s="31"/>
      <c r="AZU5" s="31"/>
      <c r="AZV5" s="30"/>
      <c r="AZW5" s="30"/>
      <c r="AZX5" s="32"/>
      <c r="AZY5" s="32"/>
      <c r="AZZ5" s="31"/>
      <c r="BAA5" s="31" t="s">
        <v>74</v>
      </c>
      <c r="BAB5" s="30"/>
      <c r="BAC5" s="30"/>
      <c r="BAD5" s="32"/>
      <c r="BAE5" s="32"/>
      <c r="BAF5" s="31" t="s">
        <v>74</v>
      </c>
      <c r="BAG5" s="31"/>
      <c r="BAH5" s="30"/>
      <c r="BAI5" s="30"/>
      <c r="BAJ5" s="32"/>
      <c r="BAK5" s="32"/>
      <c r="BAL5" s="31"/>
      <c r="BAM5" s="31"/>
      <c r="BAN5" s="30"/>
      <c r="BAO5" s="30"/>
      <c r="BAP5" s="32"/>
      <c r="BAQ5" s="32"/>
      <c r="BAR5" s="31"/>
      <c r="BAS5" s="31"/>
      <c r="BAT5" s="30"/>
      <c r="BAU5" s="30"/>
      <c r="BAV5" s="32"/>
      <c r="BAW5" s="32"/>
      <c r="BAX5" s="31"/>
      <c r="BAY5" s="31"/>
      <c r="BAZ5" s="30"/>
      <c r="BBA5" s="30"/>
      <c r="BBB5" s="32"/>
      <c r="BBC5" s="32"/>
      <c r="BBD5" s="31"/>
      <c r="BBE5" s="31"/>
      <c r="BBF5" s="30"/>
      <c r="BBG5" s="30"/>
      <c r="BBH5" s="32"/>
      <c r="BBI5" s="32"/>
      <c r="BBJ5" s="31"/>
      <c r="BBK5" s="31"/>
      <c r="BBL5" s="30"/>
      <c r="BBM5" s="30"/>
      <c r="BBN5" s="32"/>
      <c r="BBO5" s="32"/>
      <c r="BBP5" s="31"/>
      <c r="BBQ5" s="31"/>
      <c r="BBR5" s="30"/>
      <c r="BBS5" s="30"/>
      <c r="BBT5" s="32"/>
      <c r="BBU5" s="32"/>
      <c r="BBV5" s="31"/>
      <c r="BBW5" s="31"/>
      <c r="BBX5" s="30"/>
      <c r="BBY5" s="30"/>
      <c r="BBZ5" s="32"/>
      <c r="BCA5" s="32"/>
      <c r="BCB5" s="31"/>
      <c r="BCC5" s="31"/>
      <c r="BCD5" s="30"/>
      <c r="BCE5" s="30"/>
      <c r="BCF5" s="32"/>
      <c r="BCG5" s="32"/>
      <c r="BCH5" s="31"/>
      <c r="BCI5" s="31"/>
      <c r="BCJ5" s="30"/>
      <c r="BCK5" s="30"/>
      <c r="BCL5" s="32"/>
      <c r="BCM5" s="32"/>
      <c r="BCN5" s="31"/>
      <c r="BCO5" s="31"/>
      <c r="BCP5" s="30"/>
      <c r="BCQ5" s="30"/>
    </row>
    <row r="6" spans="1:1447">
      <c r="A6" s="30"/>
      <c r="B6" s="30"/>
      <c r="C6" s="31"/>
      <c r="D6" s="31"/>
      <c r="E6" s="32"/>
      <c r="F6" s="32" t="s">
        <v>74</v>
      </c>
      <c r="G6" s="30"/>
      <c r="H6" s="30"/>
      <c r="I6" s="31"/>
      <c r="J6" s="31"/>
      <c r="K6" s="32" t="s">
        <v>94</v>
      </c>
      <c r="L6" s="32"/>
      <c r="M6" s="30" t="s">
        <v>582</v>
      </c>
      <c r="N6" s="30"/>
      <c r="O6" s="31"/>
      <c r="P6" s="31"/>
      <c r="Q6" s="32"/>
      <c r="R6" s="32"/>
      <c r="S6" s="30"/>
      <c r="T6" s="30"/>
      <c r="U6" s="31"/>
      <c r="V6" s="31" t="s">
        <v>582</v>
      </c>
      <c r="W6" s="32"/>
      <c r="X6" s="32"/>
      <c r="Y6" s="33" t="s">
        <v>54</v>
      </c>
      <c r="Z6" s="30"/>
      <c r="AA6" s="31"/>
      <c r="AB6" s="31"/>
      <c r="AC6" s="32"/>
      <c r="AD6" s="32"/>
      <c r="AE6" s="30"/>
      <c r="AF6" s="30"/>
      <c r="AG6" s="31"/>
      <c r="AH6" s="31"/>
      <c r="AI6" s="32"/>
      <c r="AJ6" s="32"/>
      <c r="AK6" s="30"/>
      <c r="AL6" s="30"/>
      <c r="AM6" s="31"/>
      <c r="AN6" s="31"/>
      <c r="AO6" s="32"/>
      <c r="AP6" s="32"/>
      <c r="AQ6" s="30"/>
      <c r="AR6" s="30"/>
      <c r="AS6" s="31"/>
      <c r="AT6" s="31"/>
      <c r="AU6" s="32"/>
      <c r="AV6" s="32"/>
      <c r="AW6" s="30"/>
      <c r="AX6" s="30"/>
      <c r="AY6" s="31"/>
      <c r="AZ6" s="31"/>
      <c r="BA6" s="32"/>
      <c r="BB6" s="32"/>
      <c r="BC6" s="30"/>
      <c r="BD6" s="30"/>
      <c r="BE6" s="31"/>
      <c r="BF6" s="31"/>
      <c r="BG6" s="32"/>
      <c r="BH6" s="32"/>
      <c r="BI6" s="30"/>
      <c r="BJ6" s="30" t="s">
        <v>74</v>
      </c>
      <c r="BK6" s="31"/>
      <c r="BL6" s="31"/>
      <c r="BM6" s="32"/>
      <c r="BN6" s="32"/>
      <c r="BO6" s="30" t="s">
        <v>74</v>
      </c>
      <c r="BP6" s="30"/>
      <c r="BQ6" s="31"/>
      <c r="BR6" s="31"/>
      <c r="BS6" s="32"/>
      <c r="BT6" s="32"/>
      <c r="BU6" s="30"/>
      <c r="BV6" s="30"/>
      <c r="BW6" s="31"/>
      <c r="BX6" s="31"/>
      <c r="BY6" s="32"/>
      <c r="BZ6" s="32"/>
      <c r="CA6" s="30"/>
      <c r="CB6" s="30"/>
      <c r="CC6" s="31"/>
      <c r="CD6" s="31" t="s">
        <v>22</v>
      </c>
      <c r="CE6" s="32"/>
      <c r="CF6" s="32" t="s">
        <v>59</v>
      </c>
      <c r="CG6" s="30"/>
      <c r="CH6" s="30" t="s">
        <v>583</v>
      </c>
      <c r="CI6" s="31"/>
      <c r="CJ6" s="31" t="s">
        <v>584</v>
      </c>
      <c r="CK6" s="32" t="s">
        <v>271</v>
      </c>
      <c r="CL6" s="32"/>
      <c r="CM6" s="30" t="s">
        <v>41</v>
      </c>
      <c r="CN6" s="30"/>
      <c r="CO6" s="31" t="s">
        <v>46</v>
      </c>
      <c r="CP6" s="31"/>
      <c r="CQ6" s="33" t="s">
        <v>33</v>
      </c>
      <c r="CR6" s="32"/>
      <c r="CS6" s="30" t="s">
        <v>79</v>
      </c>
      <c r="CT6" s="30"/>
      <c r="CU6" s="31"/>
      <c r="CV6" s="31"/>
      <c r="CW6" s="32"/>
      <c r="CX6" s="32"/>
      <c r="CY6" s="30"/>
      <c r="CZ6" s="30"/>
      <c r="DA6" s="31"/>
      <c r="DB6" s="31"/>
      <c r="DC6" s="32"/>
      <c r="DD6" s="32"/>
      <c r="DE6" s="30"/>
      <c r="DF6" s="30"/>
      <c r="DG6" s="31"/>
      <c r="DH6" s="31"/>
      <c r="DI6" s="32"/>
      <c r="DJ6" s="32"/>
      <c r="DK6" s="30"/>
      <c r="DL6" s="30"/>
      <c r="DM6" s="31"/>
      <c r="DN6" s="31"/>
      <c r="DO6" s="32"/>
      <c r="DP6" s="32"/>
      <c r="DQ6" s="30"/>
      <c r="DR6" s="30"/>
      <c r="DS6" s="31"/>
      <c r="DT6" s="31"/>
      <c r="DU6" s="32"/>
      <c r="DV6" s="32"/>
      <c r="DW6" s="30"/>
      <c r="DX6" s="30"/>
      <c r="DY6" s="31"/>
      <c r="DZ6" s="31"/>
      <c r="EA6" s="32"/>
      <c r="EB6" s="32"/>
      <c r="EC6" s="30"/>
      <c r="ED6" s="30"/>
      <c r="EE6" s="31"/>
      <c r="EF6" s="31"/>
      <c r="EG6" s="32"/>
      <c r="EH6" s="32"/>
      <c r="EI6" s="30"/>
      <c r="EJ6" s="30"/>
      <c r="EK6" s="31"/>
      <c r="EL6" s="31"/>
      <c r="EM6" s="32"/>
      <c r="EN6" s="32"/>
      <c r="EO6" s="30"/>
      <c r="EP6" s="30"/>
      <c r="EQ6" s="31"/>
      <c r="ER6" s="31" t="s">
        <v>587</v>
      </c>
      <c r="ES6" s="32"/>
      <c r="ET6" s="32" t="s">
        <v>46</v>
      </c>
      <c r="EU6" s="30"/>
      <c r="EV6" s="30"/>
      <c r="EW6" s="31"/>
      <c r="EX6" s="31" t="s">
        <v>238</v>
      </c>
      <c r="EY6" s="32"/>
      <c r="EZ6" s="32" t="s">
        <v>389</v>
      </c>
      <c r="FA6" s="30"/>
      <c r="FB6" s="30" t="s">
        <v>176</v>
      </c>
      <c r="FC6" s="31"/>
      <c r="FD6" s="31" t="s">
        <v>605</v>
      </c>
      <c r="FE6" s="33" t="s">
        <v>79</v>
      </c>
      <c r="FF6" s="33" t="s">
        <v>79</v>
      </c>
      <c r="FG6" s="30" t="s">
        <v>594</v>
      </c>
      <c r="FH6" s="30" t="s">
        <v>33</v>
      </c>
      <c r="FI6" s="32" t="s">
        <v>389</v>
      </c>
      <c r="FJ6" s="33" t="s">
        <v>588</v>
      </c>
      <c r="FK6" s="30" t="s">
        <v>590</v>
      </c>
      <c r="FL6" s="30"/>
      <c r="FM6" s="31" t="s">
        <v>22</v>
      </c>
      <c r="FN6" s="31"/>
      <c r="FO6" s="32"/>
      <c r="FP6" s="32"/>
      <c r="FQ6" s="30"/>
      <c r="FR6" s="30"/>
      <c r="FS6" s="31" t="s">
        <v>102</v>
      </c>
      <c r="FT6" s="31"/>
      <c r="FU6" s="32"/>
      <c r="FV6" s="32"/>
      <c r="FW6" s="30"/>
      <c r="FX6" s="30"/>
      <c r="FY6" s="31"/>
      <c r="FZ6" s="31"/>
      <c r="GA6" s="32"/>
      <c r="GB6" s="32"/>
      <c r="GC6" s="30"/>
      <c r="GD6" s="30"/>
      <c r="GE6" s="31"/>
      <c r="GF6" s="31" t="s">
        <v>164</v>
      </c>
      <c r="GG6" s="32"/>
      <c r="GH6" s="32" t="s">
        <v>600</v>
      </c>
      <c r="GI6" s="30" t="s">
        <v>79</v>
      </c>
      <c r="GJ6" s="30"/>
      <c r="GK6" s="31"/>
      <c r="GL6" s="31"/>
      <c r="GM6" s="32"/>
      <c r="GN6" s="32"/>
      <c r="GO6" s="30"/>
      <c r="GP6" s="30"/>
      <c r="GQ6" s="31"/>
      <c r="GR6" s="31"/>
      <c r="GS6" s="32"/>
      <c r="GT6" s="32"/>
      <c r="GU6" s="30"/>
      <c r="GV6" s="30"/>
      <c r="GW6" s="31"/>
      <c r="GX6" s="31"/>
      <c r="GY6" s="32"/>
      <c r="GZ6" s="32"/>
      <c r="HA6" s="30"/>
      <c r="HB6" s="30"/>
      <c r="HC6" s="31"/>
      <c r="HD6" s="31"/>
      <c r="HE6" s="32"/>
      <c r="HF6" s="32" t="s">
        <v>451</v>
      </c>
      <c r="HG6" s="30"/>
      <c r="HH6" s="30" t="s">
        <v>22</v>
      </c>
      <c r="HI6" s="31"/>
      <c r="HJ6" s="31"/>
      <c r="HK6" s="32"/>
      <c r="HL6" s="32"/>
      <c r="HM6" s="30" t="s">
        <v>102</v>
      </c>
      <c r="HN6" s="30"/>
      <c r="HO6" s="31"/>
      <c r="HP6" s="31"/>
      <c r="HQ6" s="32"/>
      <c r="HR6" s="32"/>
      <c r="HS6" s="30"/>
      <c r="HT6" s="30" t="s">
        <v>74</v>
      </c>
      <c r="HU6" s="31"/>
      <c r="HV6" s="31" t="s">
        <v>595</v>
      </c>
      <c r="HW6" s="32"/>
      <c r="HX6" s="32"/>
      <c r="HY6" s="30" t="s">
        <v>81</v>
      </c>
      <c r="HZ6" s="30"/>
      <c r="IA6" s="31" t="s">
        <v>448</v>
      </c>
      <c r="IB6" s="31"/>
      <c r="IC6" s="32"/>
      <c r="ID6" s="32"/>
      <c r="IE6" s="30"/>
      <c r="IF6" s="30"/>
      <c r="IG6" s="31"/>
      <c r="IH6" s="31" t="s">
        <v>94</v>
      </c>
      <c r="II6" s="32"/>
      <c r="IJ6" s="32" t="s">
        <v>185</v>
      </c>
      <c r="IK6" s="30"/>
      <c r="IL6" s="30"/>
      <c r="IM6" s="31" t="s">
        <v>176</v>
      </c>
      <c r="IN6" s="31"/>
      <c r="IO6" s="32" t="s">
        <v>593</v>
      </c>
      <c r="IP6" s="32"/>
      <c r="IQ6" s="30" t="s">
        <v>319</v>
      </c>
      <c r="IR6" s="30"/>
      <c r="IS6" s="31"/>
      <c r="IT6" s="31" t="s">
        <v>319</v>
      </c>
      <c r="IU6" s="32"/>
      <c r="IV6" s="32" t="s">
        <v>46</v>
      </c>
      <c r="IW6" s="30"/>
      <c r="IX6" s="30"/>
      <c r="IY6" s="33" t="s">
        <v>33</v>
      </c>
      <c r="IZ6" s="33" t="s">
        <v>74</v>
      </c>
      <c r="JA6" s="33" t="s">
        <v>185</v>
      </c>
      <c r="JB6" s="33" t="s">
        <v>451</v>
      </c>
      <c r="JC6" s="30" t="s">
        <v>599</v>
      </c>
      <c r="JD6" s="30"/>
      <c r="JE6" s="31"/>
      <c r="JF6" s="31"/>
      <c r="JG6" s="32"/>
      <c r="JH6" s="32" t="s">
        <v>368</v>
      </c>
      <c r="JI6" s="30"/>
      <c r="JJ6" s="30" t="s">
        <v>590</v>
      </c>
      <c r="JK6" s="31" t="s">
        <v>22</v>
      </c>
      <c r="JL6" s="33" t="s">
        <v>448</v>
      </c>
      <c r="JM6" s="33" t="s">
        <v>81</v>
      </c>
      <c r="JN6" s="33" t="s">
        <v>185</v>
      </c>
      <c r="JO6" s="30" t="s">
        <v>585</v>
      </c>
      <c r="JP6" s="30"/>
      <c r="JQ6" s="31" t="s">
        <v>597</v>
      </c>
      <c r="JR6" s="33" t="s">
        <v>595</v>
      </c>
      <c r="JS6" s="33" t="s">
        <v>176</v>
      </c>
      <c r="JT6" s="32"/>
      <c r="JU6" s="30"/>
      <c r="JV6" s="30"/>
      <c r="JW6" s="33" t="s">
        <v>586</v>
      </c>
      <c r="JX6" s="31" t="s">
        <v>79</v>
      </c>
      <c r="JY6" s="33" t="s">
        <v>41</v>
      </c>
      <c r="JZ6" s="32" t="s">
        <v>102</v>
      </c>
      <c r="KA6" s="48" t="s">
        <v>363</v>
      </c>
      <c r="KB6" s="30" t="s">
        <v>448</v>
      </c>
      <c r="KC6" s="31" t="s">
        <v>598</v>
      </c>
      <c r="KD6" s="31" t="s">
        <v>363</v>
      </c>
      <c r="KE6" s="32" t="s">
        <v>597</v>
      </c>
      <c r="KF6" s="33" t="s">
        <v>94</v>
      </c>
      <c r="KG6" s="30" t="s">
        <v>583</v>
      </c>
      <c r="KH6" s="30"/>
      <c r="KI6" s="31"/>
      <c r="KJ6" s="31"/>
      <c r="KK6" s="33" t="s">
        <v>22</v>
      </c>
      <c r="KL6" s="32" t="s">
        <v>74</v>
      </c>
      <c r="KM6" s="33" t="s">
        <v>54</v>
      </c>
      <c r="KN6" s="33" t="s">
        <v>594</v>
      </c>
      <c r="KO6" s="31"/>
      <c r="KP6" s="31"/>
      <c r="KQ6" s="33" t="s">
        <v>74</v>
      </c>
      <c r="KR6" s="33" t="s">
        <v>74</v>
      </c>
      <c r="KS6" s="30" t="s">
        <v>368</v>
      </c>
      <c r="KT6" s="30" t="s">
        <v>587</v>
      </c>
      <c r="KU6" s="33" t="s">
        <v>593</v>
      </c>
      <c r="KV6" s="31"/>
      <c r="KW6" s="33" t="s">
        <v>596</v>
      </c>
      <c r="KX6" s="32" t="s">
        <v>599</v>
      </c>
      <c r="KY6" s="30"/>
      <c r="KZ6" s="30" t="s">
        <v>589</v>
      </c>
      <c r="LA6" s="31" t="s">
        <v>79</v>
      </c>
      <c r="LB6" s="33" t="s">
        <v>587</v>
      </c>
      <c r="LC6" s="33" t="s">
        <v>33</v>
      </c>
      <c r="LD6" s="32" t="s">
        <v>448</v>
      </c>
      <c r="LE6" s="30" t="s">
        <v>368</v>
      </c>
      <c r="LF6" s="30"/>
      <c r="LG6" s="31" t="s">
        <v>592</v>
      </c>
      <c r="LH6" s="31"/>
      <c r="LI6" s="32" t="s">
        <v>185</v>
      </c>
      <c r="LJ6" s="32"/>
      <c r="LK6" s="30"/>
      <c r="LL6" s="30"/>
      <c r="LM6" s="31"/>
      <c r="LN6" s="31" t="s">
        <v>590</v>
      </c>
      <c r="LO6" s="33" t="s">
        <v>176</v>
      </c>
      <c r="LP6" s="32" t="s">
        <v>586</v>
      </c>
      <c r="LQ6" s="33" t="s">
        <v>46</v>
      </c>
      <c r="LR6" s="30" t="s">
        <v>584</v>
      </c>
      <c r="LS6" s="33" t="s">
        <v>363</v>
      </c>
      <c r="LT6" s="31" t="s">
        <v>238</v>
      </c>
      <c r="LU6" s="32" t="s">
        <v>593</v>
      </c>
      <c r="LV6" s="33" t="s">
        <v>28</v>
      </c>
      <c r="LW6" s="30"/>
      <c r="LX6" s="30"/>
      <c r="LY6" s="31"/>
      <c r="LZ6" s="33" t="s">
        <v>600</v>
      </c>
      <c r="MA6" s="32"/>
      <c r="MB6" s="32" t="s">
        <v>94</v>
      </c>
      <c r="MC6" s="30" t="s">
        <v>584</v>
      </c>
      <c r="MD6" s="33" t="s">
        <v>594</v>
      </c>
      <c r="ME6" s="33" t="s">
        <v>74</v>
      </c>
      <c r="MF6" s="31" t="s">
        <v>584</v>
      </c>
      <c r="MG6" s="32" t="s">
        <v>300</v>
      </c>
      <c r="MH6" s="32"/>
      <c r="MI6" s="30" t="s">
        <v>94</v>
      </c>
      <c r="MJ6" s="30" t="s">
        <v>586</v>
      </c>
      <c r="MK6" s="31" t="s">
        <v>600</v>
      </c>
      <c r="ML6" s="33" t="s">
        <v>46</v>
      </c>
      <c r="MM6" s="32" t="s">
        <v>595</v>
      </c>
      <c r="MN6" s="32"/>
      <c r="MO6" s="30" t="s">
        <v>587</v>
      </c>
      <c r="MP6" s="30" t="s">
        <v>584</v>
      </c>
      <c r="MQ6" s="31" t="s">
        <v>451</v>
      </c>
      <c r="MR6" s="31"/>
      <c r="MS6" s="32" t="s">
        <v>448</v>
      </c>
      <c r="MT6" s="32"/>
      <c r="MU6" s="30" t="s">
        <v>584</v>
      </c>
      <c r="MV6" s="30"/>
      <c r="MW6" s="31" t="s">
        <v>41</v>
      </c>
      <c r="MX6" s="31"/>
      <c r="MY6" s="32" t="s">
        <v>601</v>
      </c>
      <c r="MZ6" s="32"/>
      <c r="NA6" s="30"/>
      <c r="NB6" s="30"/>
      <c r="NC6" s="31"/>
      <c r="ND6" s="33" t="s">
        <v>74</v>
      </c>
      <c r="NE6" s="32"/>
      <c r="NF6" s="32" t="s">
        <v>176</v>
      </c>
      <c r="NG6" s="33" t="s">
        <v>94</v>
      </c>
      <c r="NH6" s="30"/>
      <c r="NI6" s="31"/>
      <c r="NJ6" s="31"/>
      <c r="NK6" s="32" t="s">
        <v>79</v>
      </c>
      <c r="NL6" s="32"/>
      <c r="NM6" s="30" t="s">
        <v>59</v>
      </c>
      <c r="NN6" s="30"/>
      <c r="NO6" s="31"/>
      <c r="NP6" s="31"/>
      <c r="NQ6" s="32"/>
      <c r="NR6" s="32" t="s">
        <v>588</v>
      </c>
      <c r="NS6" s="30"/>
      <c r="NT6" s="30" t="s">
        <v>584</v>
      </c>
      <c r="NU6" s="40" t="s">
        <v>271</v>
      </c>
      <c r="NV6" s="31"/>
      <c r="NW6" s="32"/>
      <c r="NX6" s="32"/>
      <c r="NY6" s="30" t="s">
        <v>583</v>
      </c>
      <c r="NZ6" s="30"/>
      <c r="OA6" s="31" t="s">
        <v>584</v>
      </c>
      <c r="OB6" s="31"/>
      <c r="OC6" s="32"/>
      <c r="OD6" s="32"/>
      <c r="OE6" s="30"/>
      <c r="OF6" s="30" t="s">
        <v>81</v>
      </c>
      <c r="OG6" s="31"/>
      <c r="OH6" s="31"/>
      <c r="OI6" s="32"/>
      <c r="OJ6" s="32"/>
      <c r="OK6" s="30" t="s">
        <v>81</v>
      </c>
      <c r="OL6" s="30"/>
      <c r="OM6" s="31" t="s">
        <v>599</v>
      </c>
      <c r="ON6" s="31"/>
      <c r="OO6" s="32"/>
      <c r="OP6" s="32"/>
      <c r="OQ6" s="30"/>
      <c r="OR6" s="30"/>
      <c r="OS6" s="31"/>
      <c r="OT6" s="31" t="s">
        <v>585</v>
      </c>
      <c r="OU6" s="32"/>
      <c r="OV6" s="32"/>
      <c r="OW6" s="30"/>
      <c r="OX6" s="30"/>
      <c r="OY6" s="31" t="s">
        <v>300</v>
      </c>
      <c r="OZ6" s="31"/>
      <c r="PA6" s="32" t="s">
        <v>363</v>
      </c>
      <c r="PB6" s="32"/>
      <c r="PC6" s="30"/>
      <c r="PD6" s="30"/>
      <c r="PE6" s="31"/>
      <c r="PF6" s="31"/>
      <c r="PG6" s="32"/>
      <c r="PH6" s="32"/>
      <c r="PI6" s="30"/>
      <c r="PJ6" s="30"/>
      <c r="PK6" s="31"/>
      <c r="PL6" s="31"/>
      <c r="PM6" s="32"/>
      <c r="PN6" s="32"/>
      <c r="PO6" s="30"/>
      <c r="PP6" s="30"/>
      <c r="PQ6" s="31"/>
      <c r="PR6" s="31"/>
      <c r="PS6" s="32"/>
      <c r="PT6" s="32"/>
      <c r="PU6" s="30"/>
      <c r="PV6" s="30" t="s">
        <v>583</v>
      </c>
      <c r="PW6" s="31"/>
      <c r="PX6" s="31"/>
      <c r="PY6" s="32"/>
      <c r="PZ6" s="32"/>
      <c r="QA6" s="30" t="s">
        <v>583</v>
      </c>
      <c r="QB6" s="30"/>
      <c r="QC6" s="31" t="s">
        <v>588</v>
      </c>
      <c r="QD6" s="31"/>
      <c r="QE6" s="32"/>
      <c r="QF6" s="32"/>
      <c r="QG6" s="30"/>
      <c r="QH6" s="30"/>
      <c r="QI6" s="31"/>
      <c r="QJ6" s="31" t="s">
        <v>41</v>
      </c>
      <c r="QK6" s="32"/>
      <c r="QL6" s="32" t="s">
        <v>389</v>
      </c>
      <c r="QM6" s="30"/>
      <c r="QN6" s="30" t="s">
        <v>300</v>
      </c>
      <c r="QO6" s="31"/>
      <c r="QP6" s="31"/>
      <c r="QQ6" s="32" t="s">
        <v>22</v>
      </c>
      <c r="QR6" s="32"/>
      <c r="QS6" s="30" t="s">
        <v>300</v>
      </c>
      <c r="QT6" s="30"/>
      <c r="QU6" s="31"/>
      <c r="QV6" s="31"/>
      <c r="QW6" s="34" t="s">
        <v>584</v>
      </c>
      <c r="QX6" s="32"/>
      <c r="QY6" s="30"/>
      <c r="QZ6" s="30" t="s">
        <v>368</v>
      </c>
      <c r="RA6" s="31"/>
      <c r="RB6" s="31"/>
      <c r="RC6" s="32"/>
      <c r="RD6" s="32"/>
      <c r="RE6" s="30" t="s">
        <v>368</v>
      </c>
      <c r="RF6" s="30"/>
      <c r="RG6" s="31"/>
      <c r="RH6" s="31"/>
      <c r="RI6" s="32"/>
      <c r="RJ6" s="32"/>
      <c r="RK6" s="30"/>
      <c r="RL6" s="30"/>
      <c r="RM6" s="31"/>
      <c r="RN6" s="31"/>
      <c r="RO6" s="32"/>
      <c r="RP6" s="32"/>
      <c r="RQ6" s="30" t="s">
        <v>448</v>
      </c>
      <c r="RR6" s="30"/>
      <c r="RS6" s="31"/>
      <c r="RT6" s="31"/>
      <c r="RU6" s="32"/>
      <c r="RV6" s="32"/>
      <c r="RW6" s="30"/>
      <c r="RX6" s="30"/>
      <c r="RY6" s="31"/>
      <c r="RZ6" s="31"/>
      <c r="SA6" s="32" t="s">
        <v>586</v>
      </c>
      <c r="SB6" s="32"/>
      <c r="SC6" s="30"/>
      <c r="SD6" s="30"/>
      <c r="SE6" s="31"/>
      <c r="SF6" s="31"/>
      <c r="SG6" s="32" t="s">
        <v>448</v>
      </c>
      <c r="SH6" s="32"/>
      <c r="SI6" s="30"/>
      <c r="SJ6" s="30"/>
      <c r="SK6" s="30" t="s">
        <v>584</v>
      </c>
      <c r="SL6" s="31"/>
      <c r="SM6" s="31" t="s">
        <v>586</v>
      </c>
      <c r="SN6" s="32"/>
      <c r="SO6" s="32" t="s">
        <v>593</v>
      </c>
      <c r="SP6" s="30"/>
      <c r="SQ6" s="33" t="s">
        <v>74</v>
      </c>
      <c r="SR6" s="31"/>
      <c r="SS6" s="31"/>
      <c r="ST6" s="32" t="s">
        <v>33</v>
      </c>
      <c r="SU6" s="32"/>
      <c r="SV6" s="30" t="s">
        <v>586</v>
      </c>
      <c r="SW6" s="30"/>
      <c r="SX6" s="31" t="s">
        <v>81</v>
      </c>
      <c r="SY6" s="31"/>
      <c r="SZ6" s="32"/>
      <c r="TA6" s="32"/>
      <c r="TB6" s="30"/>
      <c r="TC6" s="30" t="s">
        <v>94</v>
      </c>
      <c r="TD6" s="31"/>
      <c r="TE6" s="31" t="s">
        <v>614</v>
      </c>
      <c r="TF6" s="32"/>
      <c r="TG6" s="32" t="s">
        <v>59</v>
      </c>
      <c r="TH6" s="30" t="s">
        <v>593</v>
      </c>
      <c r="TI6" s="30"/>
      <c r="TJ6" s="33" t="s">
        <v>74</v>
      </c>
      <c r="TK6" s="31"/>
      <c r="TL6" s="32"/>
      <c r="TM6" s="32" t="s">
        <v>586</v>
      </c>
      <c r="TN6" s="30"/>
      <c r="TO6" s="30" t="s">
        <v>593</v>
      </c>
      <c r="TP6" s="31"/>
      <c r="TQ6" s="31" t="s">
        <v>363</v>
      </c>
      <c r="TR6" s="32" t="s">
        <v>587</v>
      </c>
      <c r="TS6" s="32"/>
      <c r="TT6" s="30" t="s">
        <v>59</v>
      </c>
      <c r="TU6" s="33" t="s">
        <v>238</v>
      </c>
      <c r="TV6" s="31" t="s">
        <v>363</v>
      </c>
      <c r="TW6" s="31"/>
      <c r="TX6" s="32" t="s">
        <v>124</v>
      </c>
      <c r="TY6" s="32"/>
      <c r="TZ6" s="30"/>
      <c r="UA6" s="30"/>
      <c r="UB6" s="31"/>
      <c r="UC6" s="31"/>
      <c r="UD6" s="32"/>
      <c r="UE6" s="32" t="s">
        <v>300</v>
      </c>
      <c r="UF6" s="30"/>
      <c r="UG6" s="30" t="s">
        <v>41</v>
      </c>
      <c r="UH6" s="31" t="s">
        <v>238</v>
      </c>
      <c r="UI6" s="31" t="s">
        <v>185</v>
      </c>
      <c r="UJ6" s="32" t="s">
        <v>64</v>
      </c>
      <c r="UK6" s="32"/>
      <c r="UL6" s="30" t="s">
        <v>46</v>
      </c>
      <c r="UM6" s="41" t="s">
        <v>586</v>
      </c>
      <c r="UN6" s="31"/>
      <c r="UO6" s="31"/>
      <c r="UP6" s="32"/>
      <c r="UQ6" s="32"/>
      <c r="UR6" s="30"/>
      <c r="US6" s="30" t="s">
        <v>271</v>
      </c>
      <c r="UT6" s="31"/>
      <c r="UU6" s="40" t="s">
        <v>327</v>
      </c>
      <c r="UV6" s="32" t="s">
        <v>74</v>
      </c>
      <c r="UW6" s="32"/>
      <c r="UX6" s="30" t="s">
        <v>583</v>
      </c>
      <c r="UY6" s="30"/>
      <c r="UZ6" s="31" t="s">
        <v>271</v>
      </c>
      <c r="VA6" s="31"/>
      <c r="VB6" s="32"/>
      <c r="VC6" s="32"/>
      <c r="VD6" s="30"/>
      <c r="VE6" s="30"/>
      <c r="VF6" s="31"/>
      <c r="VG6" s="33" t="s">
        <v>46</v>
      </c>
      <c r="VH6" s="33" t="s">
        <v>74</v>
      </c>
      <c r="VI6" s="32" t="s">
        <v>176</v>
      </c>
      <c r="VJ6" s="30"/>
      <c r="VK6" s="30"/>
      <c r="VL6" s="31" t="s">
        <v>79</v>
      </c>
      <c r="VM6" s="31"/>
      <c r="VN6" s="32" t="s">
        <v>581</v>
      </c>
      <c r="VO6" s="32"/>
      <c r="VP6" s="30"/>
      <c r="VQ6" s="30"/>
      <c r="VR6" s="31"/>
      <c r="VS6" s="31"/>
      <c r="VT6" s="32"/>
      <c r="VU6" s="32"/>
      <c r="VV6" s="30" t="s">
        <v>81</v>
      </c>
      <c r="VW6" s="30" t="s">
        <v>124</v>
      </c>
      <c r="VX6" s="31"/>
      <c r="VY6" s="31"/>
      <c r="VZ6" s="32" t="s">
        <v>314</v>
      </c>
      <c r="WA6" s="32"/>
      <c r="WB6" s="30"/>
      <c r="WC6" s="30"/>
      <c r="WD6" s="31" t="s">
        <v>389</v>
      </c>
      <c r="WE6" s="31"/>
      <c r="WF6" s="32"/>
      <c r="WG6" s="32"/>
      <c r="WH6" s="30"/>
      <c r="WI6" s="30" t="s">
        <v>46</v>
      </c>
      <c r="WJ6" s="31"/>
      <c r="WK6" s="31"/>
      <c r="WL6" s="32"/>
      <c r="WM6" s="32"/>
      <c r="WN6" s="30"/>
      <c r="WO6" s="30"/>
      <c r="WP6" s="31" t="s">
        <v>368</v>
      </c>
      <c r="WQ6" s="31"/>
      <c r="WR6" s="32"/>
      <c r="WS6" s="32"/>
      <c r="WT6" s="30"/>
      <c r="WU6" s="30"/>
      <c r="WV6" s="31"/>
      <c r="WW6" s="31"/>
      <c r="WX6" s="32"/>
      <c r="WY6" s="39" t="s">
        <v>79</v>
      </c>
      <c r="WZ6" s="30"/>
      <c r="XA6" s="30"/>
      <c r="XB6" s="31"/>
      <c r="XC6" s="31"/>
      <c r="XD6" s="39" t="s">
        <v>81</v>
      </c>
      <c r="XE6" s="32"/>
      <c r="XF6" s="30"/>
      <c r="XG6" s="30"/>
      <c r="XH6" s="31"/>
      <c r="XI6" s="31"/>
      <c r="XJ6" s="32"/>
      <c r="XK6" s="32"/>
      <c r="XL6" s="30"/>
      <c r="XM6" s="30"/>
      <c r="XN6" s="31"/>
      <c r="XO6" s="31"/>
      <c r="XP6" s="32"/>
      <c r="XQ6" s="32"/>
      <c r="XR6" s="30"/>
      <c r="XS6" s="30"/>
      <c r="XT6" s="31"/>
      <c r="XU6" s="31"/>
      <c r="XV6" s="32"/>
      <c r="XW6" s="32"/>
      <c r="XX6" s="30"/>
      <c r="XY6" s="30"/>
      <c r="XZ6" s="31"/>
      <c r="YA6" s="31" t="s">
        <v>94</v>
      </c>
      <c r="YB6" s="32"/>
      <c r="YC6" s="32"/>
      <c r="YD6" s="30"/>
      <c r="YE6" s="30"/>
      <c r="YF6" s="31" t="s">
        <v>33</v>
      </c>
      <c r="YG6" s="31"/>
      <c r="YH6" s="32"/>
      <c r="YI6" s="32"/>
      <c r="YJ6" s="30"/>
      <c r="YK6" s="30"/>
      <c r="YL6" s="31"/>
      <c r="YM6" s="31"/>
      <c r="YN6" s="32"/>
      <c r="YO6" s="32"/>
      <c r="YP6" s="30"/>
      <c r="YQ6" s="30"/>
      <c r="YR6" s="31"/>
      <c r="YS6" s="31"/>
      <c r="YT6" s="32"/>
      <c r="YU6" s="32"/>
      <c r="YV6" s="30"/>
      <c r="YW6" s="30"/>
      <c r="YX6" s="31"/>
      <c r="YY6" s="31"/>
      <c r="YZ6" s="32"/>
      <c r="ZA6" s="32"/>
      <c r="ZB6" s="30"/>
      <c r="ZC6" s="30"/>
      <c r="ZD6" s="31"/>
      <c r="ZE6" s="31"/>
      <c r="ZF6" s="32"/>
      <c r="ZG6" s="32"/>
      <c r="ZH6" s="30"/>
      <c r="ZI6" s="30"/>
      <c r="ZJ6" s="31"/>
      <c r="ZK6" s="31"/>
      <c r="ZL6" s="32"/>
      <c r="ZM6" s="32"/>
      <c r="ZN6" s="30"/>
      <c r="ZO6" s="30"/>
      <c r="ZP6" s="31"/>
      <c r="ZQ6" s="31"/>
      <c r="ZR6" s="32"/>
      <c r="ZS6" s="32"/>
      <c r="ZT6" s="30"/>
      <c r="ZU6" s="30"/>
      <c r="ZV6" s="31"/>
      <c r="ZW6" s="31"/>
      <c r="ZX6" s="32"/>
      <c r="ZY6" s="32"/>
      <c r="ZZ6" s="30"/>
      <c r="AAA6" s="30"/>
      <c r="AAB6" s="31"/>
      <c r="AAC6" s="31"/>
      <c r="AAD6" s="32"/>
      <c r="AAE6" s="32" t="s">
        <v>164</v>
      </c>
      <c r="AAF6" s="30"/>
      <c r="AAG6" s="30" t="s">
        <v>173</v>
      </c>
      <c r="AAH6" s="31"/>
      <c r="AAI6" s="31"/>
      <c r="AAJ6" s="32"/>
      <c r="AAK6" s="32"/>
      <c r="AAL6" s="30"/>
      <c r="AAM6" s="33" t="s">
        <v>616</v>
      </c>
      <c r="AAN6" s="31"/>
      <c r="AAO6" s="31"/>
      <c r="AAP6" s="32"/>
      <c r="AAQ6" s="32" t="s">
        <v>69</v>
      </c>
      <c r="AAR6" s="30"/>
      <c r="AAS6" s="30"/>
      <c r="AAT6" s="31"/>
      <c r="AAU6" s="31"/>
      <c r="AAV6" s="32" t="s">
        <v>54</v>
      </c>
      <c r="AAW6" s="32"/>
      <c r="AAX6" s="30"/>
      <c r="AAY6" s="30"/>
      <c r="AAZ6" s="31"/>
      <c r="ABA6" s="31"/>
      <c r="ABB6" s="32"/>
      <c r="ABC6" s="32"/>
      <c r="ABD6" s="30"/>
      <c r="ABE6" s="30"/>
      <c r="ABF6" s="31"/>
      <c r="ABG6" s="31"/>
      <c r="ABH6" s="32"/>
      <c r="ABI6" s="39" t="s">
        <v>593</v>
      </c>
      <c r="ABJ6" s="30"/>
      <c r="ABK6" s="30"/>
      <c r="ABL6" s="31"/>
      <c r="ABM6" s="31"/>
      <c r="ABN6" s="32"/>
      <c r="ABO6" s="32"/>
      <c r="ABP6" s="30"/>
      <c r="ABQ6" s="30"/>
      <c r="ABR6" s="31"/>
      <c r="ABS6" s="31"/>
      <c r="ABT6" s="32"/>
      <c r="ABU6" s="32"/>
      <c r="ABV6" s="30"/>
      <c r="ABW6" s="30"/>
      <c r="ABX6" s="31" t="s">
        <v>227</v>
      </c>
      <c r="ABY6" s="31"/>
      <c r="ABZ6" s="32"/>
      <c r="ACA6" s="32"/>
      <c r="ACB6" s="30"/>
      <c r="ACC6" s="30"/>
      <c r="ACD6" s="31"/>
      <c r="ACE6" s="31"/>
      <c r="ACF6" s="32"/>
      <c r="ACG6" s="32"/>
      <c r="ACH6" s="30"/>
      <c r="ACI6" s="30"/>
      <c r="ACJ6" s="31"/>
      <c r="ACK6" s="31"/>
      <c r="ACL6" s="32"/>
      <c r="ACM6" s="32"/>
      <c r="ACN6" s="30" t="s">
        <v>46</v>
      </c>
      <c r="ACO6" s="30"/>
      <c r="ACP6" s="31"/>
      <c r="ACQ6" s="31"/>
      <c r="ACR6" s="32"/>
      <c r="ACS6" s="32"/>
      <c r="ACT6" s="30"/>
      <c r="ACU6" s="30"/>
      <c r="ACV6" s="31"/>
      <c r="ACW6" s="40" t="s">
        <v>124</v>
      </c>
      <c r="ACX6" s="32"/>
      <c r="ACY6" s="32"/>
      <c r="ACZ6" s="30"/>
      <c r="ADA6" s="30"/>
      <c r="ADB6" s="31" t="s">
        <v>583</v>
      </c>
      <c r="ADC6" s="31" t="s">
        <v>314</v>
      </c>
      <c r="ADD6" s="32"/>
      <c r="ADE6" s="32"/>
      <c r="ADF6" s="30"/>
      <c r="ADG6" s="30"/>
      <c r="ADH6" s="31"/>
      <c r="ADI6" s="31"/>
      <c r="ADJ6" s="32"/>
      <c r="ADK6" s="32" t="s">
        <v>102</v>
      </c>
      <c r="ADL6" s="30"/>
      <c r="ADM6" s="30"/>
      <c r="ADN6" s="31"/>
      <c r="ADO6" s="31"/>
      <c r="ADP6" s="32" t="s">
        <v>46</v>
      </c>
      <c r="ADQ6" s="32"/>
      <c r="ADR6" s="30" t="s">
        <v>54</v>
      </c>
      <c r="ADS6" s="30"/>
      <c r="ADT6" s="31"/>
      <c r="ADU6" s="31"/>
      <c r="ADV6" s="32"/>
      <c r="ADW6" s="32"/>
      <c r="ADX6" s="30"/>
      <c r="ADY6" s="30"/>
      <c r="ADZ6" s="31"/>
      <c r="AEA6" s="31"/>
      <c r="AEB6" s="39" t="s">
        <v>81</v>
      </c>
      <c r="AEC6" s="32"/>
      <c r="AED6" s="30"/>
      <c r="AEE6" s="30"/>
      <c r="AEF6" s="31"/>
      <c r="AEG6" s="31"/>
      <c r="AEH6" s="32"/>
      <c r="AEI6" s="32"/>
      <c r="AEJ6" s="30"/>
      <c r="AEK6" s="30"/>
      <c r="AEL6" s="31"/>
      <c r="AEM6" s="31"/>
      <c r="AEN6" s="32"/>
      <c r="AEO6" s="32"/>
      <c r="AEP6" s="30"/>
      <c r="AEQ6" s="30"/>
      <c r="AER6" s="31"/>
      <c r="AES6" s="31"/>
      <c r="AET6" s="32" t="s">
        <v>59</v>
      </c>
      <c r="AEU6" s="33" t="s">
        <v>587</v>
      </c>
      <c r="AEV6" s="30"/>
      <c r="AEW6" s="30" t="s">
        <v>59</v>
      </c>
      <c r="AEX6" s="31"/>
      <c r="AEY6" s="31"/>
      <c r="AEZ6" s="32"/>
      <c r="AFA6" s="32"/>
      <c r="AFB6" s="30" t="s">
        <v>33</v>
      </c>
      <c r="AFC6" s="30"/>
      <c r="AFD6" s="31" t="s">
        <v>46</v>
      </c>
      <c r="AFE6" s="31" t="s">
        <v>327</v>
      </c>
      <c r="AFF6" s="32"/>
      <c r="AFG6" s="32"/>
      <c r="AFH6" s="30"/>
      <c r="AFI6" s="30"/>
      <c r="AFJ6" s="31"/>
      <c r="AFK6" s="31"/>
      <c r="AFL6" s="32"/>
      <c r="AFM6" s="32"/>
      <c r="AFN6" s="30"/>
      <c r="AFO6" s="30"/>
      <c r="AFP6" s="31"/>
      <c r="AFQ6" s="31"/>
      <c r="AFR6" s="32"/>
      <c r="AFS6" s="32"/>
      <c r="AFT6" s="30" t="s">
        <v>94</v>
      </c>
      <c r="AFU6" s="30"/>
      <c r="AFV6" s="31"/>
      <c r="AFW6" s="31"/>
      <c r="AFX6" s="32"/>
      <c r="AFY6" s="32"/>
      <c r="AFZ6" s="30"/>
      <c r="AGA6" s="30"/>
      <c r="AGB6" s="31"/>
      <c r="AGC6" s="31"/>
      <c r="AGD6" s="32"/>
      <c r="AGE6" s="32"/>
      <c r="AGF6" s="30"/>
      <c r="AGG6" s="30"/>
      <c r="AGH6" s="31"/>
      <c r="AGI6" s="31"/>
      <c r="AGJ6" s="32"/>
      <c r="AGK6" s="32"/>
      <c r="AGL6" s="30"/>
      <c r="AGM6" s="30"/>
      <c r="AGN6" s="31"/>
      <c r="AGO6" s="31"/>
      <c r="AGP6" s="32"/>
      <c r="AGQ6" s="32"/>
      <c r="AGR6" s="30"/>
      <c r="AGS6" s="30" t="s">
        <v>54</v>
      </c>
      <c r="AGT6" s="31"/>
      <c r="AGU6" s="33" t="s">
        <v>69</v>
      </c>
      <c r="AGV6" s="32"/>
      <c r="AGW6" s="32"/>
      <c r="AGX6" s="30"/>
      <c r="AGY6" s="30" t="s">
        <v>64</v>
      </c>
      <c r="AGZ6" s="31"/>
      <c r="AHA6" s="31"/>
      <c r="AHB6" s="32"/>
      <c r="AHC6" s="33" t="s">
        <v>185</v>
      </c>
      <c r="AHD6" s="33" t="s">
        <v>94</v>
      </c>
      <c r="AHE6" s="33" t="s">
        <v>588</v>
      </c>
      <c r="AHF6" s="33" t="s">
        <v>601</v>
      </c>
      <c r="AHG6" s="33" t="s">
        <v>46</v>
      </c>
      <c r="AHH6" s="32" t="s">
        <v>448</v>
      </c>
      <c r="AHI6" s="33" t="s">
        <v>81</v>
      </c>
      <c r="AHJ6" s="33" t="s">
        <v>271</v>
      </c>
      <c r="AHK6" s="33" t="s">
        <v>583</v>
      </c>
      <c r="AHL6" s="31" t="s">
        <v>289</v>
      </c>
      <c r="AHM6" s="31"/>
      <c r="AHN6" s="32" t="s">
        <v>185</v>
      </c>
      <c r="AHO6" s="32"/>
      <c r="AHP6" s="33" t="s">
        <v>238</v>
      </c>
      <c r="AHQ6" s="30"/>
      <c r="AHR6" s="31" t="s">
        <v>300</v>
      </c>
      <c r="AHS6" s="31"/>
      <c r="AHT6" s="32" t="s">
        <v>319</v>
      </c>
      <c r="AHU6" s="32"/>
      <c r="AHV6" s="30"/>
      <c r="AHW6" s="30"/>
      <c r="AHX6" s="31"/>
      <c r="AHY6" s="31"/>
      <c r="AHZ6" s="32"/>
      <c r="AIA6" s="32"/>
      <c r="AIB6" s="30"/>
      <c r="AIC6" s="30"/>
      <c r="AID6" s="31"/>
      <c r="AIE6" s="31"/>
      <c r="AIF6" s="32"/>
      <c r="AIG6" s="32"/>
      <c r="AIH6" s="30"/>
      <c r="AII6" s="30"/>
      <c r="AIJ6" s="31"/>
      <c r="AIK6" s="31"/>
      <c r="AIL6" s="32"/>
      <c r="AIM6" s="32"/>
      <c r="AIN6" s="30"/>
      <c r="AIO6" s="30"/>
      <c r="AIP6" s="31"/>
      <c r="AIQ6" s="31"/>
      <c r="AIR6" s="32"/>
      <c r="AIS6" s="32" t="s">
        <v>601</v>
      </c>
      <c r="AIT6" s="30"/>
      <c r="AIU6" s="30"/>
      <c r="AIV6" s="31"/>
      <c r="AIW6" s="31"/>
      <c r="AIX6" s="33" t="s">
        <v>606</v>
      </c>
      <c r="AIY6" s="32"/>
      <c r="AIZ6" s="30"/>
      <c r="AJA6" s="30"/>
      <c r="AJB6" s="31"/>
      <c r="AJC6" s="31"/>
      <c r="AJD6" s="32"/>
      <c r="AJE6" s="32"/>
      <c r="AJF6" s="30"/>
      <c r="AJG6" s="30"/>
      <c r="AJH6" s="31"/>
      <c r="AJI6" s="31"/>
      <c r="AJJ6" s="32"/>
      <c r="AJK6" s="32"/>
      <c r="AJL6" s="30"/>
      <c r="AJM6" s="30"/>
      <c r="AJN6" s="31" t="s">
        <v>102</v>
      </c>
      <c r="AJO6" s="31"/>
      <c r="AJP6" s="32"/>
      <c r="AJQ6" s="32"/>
      <c r="AJR6" s="30"/>
      <c r="AJS6" s="30"/>
      <c r="AJT6" s="31"/>
      <c r="AJU6" s="31" t="s">
        <v>94</v>
      </c>
      <c r="AJV6" s="32"/>
      <c r="AJW6" s="32"/>
      <c r="AJX6" s="30"/>
      <c r="AJY6" s="30"/>
      <c r="AJZ6" s="33" t="s">
        <v>28</v>
      </c>
      <c r="AKA6" s="33" t="s">
        <v>583</v>
      </c>
      <c r="AKB6" s="32"/>
      <c r="AKC6" s="32"/>
      <c r="AKD6" s="30"/>
      <c r="AKE6" s="30"/>
      <c r="AKF6" s="31"/>
      <c r="AKG6" s="31"/>
      <c r="AKH6" s="32"/>
      <c r="AKI6" s="32" t="s">
        <v>69</v>
      </c>
      <c r="AKJ6" s="30"/>
      <c r="AKK6" s="30" t="s">
        <v>81</v>
      </c>
      <c r="AKL6" s="31"/>
      <c r="AKM6" s="31"/>
      <c r="AKN6" s="32"/>
      <c r="AKO6" s="32"/>
      <c r="AKP6" s="33" t="s">
        <v>81</v>
      </c>
      <c r="AKQ6" s="30"/>
      <c r="AKR6" s="31"/>
      <c r="AKS6" s="31"/>
      <c r="AKT6" s="32"/>
      <c r="AKU6" s="32" t="s">
        <v>587</v>
      </c>
      <c r="AKV6" s="30"/>
      <c r="AKW6" s="30" t="s">
        <v>601</v>
      </c>
      <c r="AKX6" s="31"/>
      <c r="AKY6" s="33" t="s">
        <v>94</v>
      </c>
      <c r="AKZ6" s="33" t="s">
        <v>74</v>
      </c>
      <c r="ALA6" s="32" t="s">
        <v>41</v>
      </c>
      <c r="ALB6" s="30" t="s">
        <v>587</v>
      </c>
      <c r="ALC6" s="30"/>
      <c r="ALD6" s="31" t="s">
        <v>227</v>
      </c>
      <c r="ALE6" s="31" t="s">
        <v>587</v>
      </c>
      <c r="ALF6" s="32"/>
      <c r="ALG6" s="32"/>
      <c r="ALH6" s="30"/>
      <c r="ALI6" s="33" t="s">
        <v>271</v>
      </c>
      <c r="ALJ6" s="33" t="s">
        <v>176</v>
      </c>
      <c r="ALK6" s="31" t="s">
        <v>102</v>
      </c>
      <c r="ALL6" s="33" t="s">
        <v>594</v>
      </c>
      <c r="ALM6" s="32" t="s">
        <v>227</v>
      </c>
      <c r="ALN6" s="33" t="s">
        <v>587</v>
      </c>
      <c r="ALO6" s="33" t="s">
        <v>86</v>
      </c>
      <c r="ALP6" s="40" t="s">
        <v>289</v>
      </c>
      <c r="ALQ6" s="31"/>
      <c r="ALR6" s="32" t="s">
        <v>389</v>
      </c>
      <c r="ALS6" s="32"/>
      <c r="ALT6" s="30" t="s">
        <v>185</v>
      </c>
      <c r="ALU6" s="30"/>
      <c r="ALV6" s="31"/>
      <c r="ALW6" s="31" t="s">
        <v>81</v>
      </c>
      <c r="ALX6" s="32"/>
      <c r="ALY6" s="32" t="s">
        <v>74</v>
      </c>
      <c r="ALZ6" s="30"/>
      <c r="AMA6" s="30"/>
      <c r="AMB6" s="31" t="s">
        <v>46</v>
      </c>
      <c r="AMC6" s="33" t="s">
        <v>86</v>
      </c>
      <c r="AMD6" s="32" t="s">
        <v>74</v>
      </c>
      <c r="AME6" s="33" t="s">
        <v>176</v>
      </c>
      <c r="AMF6" s="33" t="s">
        <v>583</v>
      </c>
      <c r="AMG6" s="33" t="s">
        <v>227</v>
      </c>
      <c r="AMH6" s="31"/>
      <c r="AMI6" s="31" t="s">
        <v>588</v>
      </c>
      <c r="AMJ6" s="32"/>
      <c r="AMK6" s="32"/>
      <c r="AML6" s="33" t="s">
        <v>54</v>
      </c>
      <c r="AMM6" s="30" t="s">
        <v>389</v>
      </c>
      <c r="AMN6" s="33" t="s">
        <v>448</v>
      </c>
      <c r="AMO6" s="31" t="s">
        <v>46</v>
      </c>
      <c r="AMP6" s="33" t="s">
        <v>176</v>
      </c>
      <c r="AMQ6" s="33" t="s">
        <v>86</v>
      </c>
      <c r="AMR6" s="33" t="s">
        <v>79</v>
      </c>
      <c r="AMS6" s="30"/>
      <c r="AMT6" s="31" t="s">
        <v>46</v>
      </c>
      <c r="AMU6" s="31"/>
      <c r="AMV6" s="32" t="s">
        <v>173</v>
      </c>
      <c r="AMW6" s="32"/>
      <c r="AMX6" s="30" t="s">
        <v>587</v>
      </c>
      <c r="AMY6" s="30" t="s">
        <v>594</v>
      </c>
      <c r="AMZ6" s="33" t="s">
        <v>33</v>
      </c>
      <c r="ANA6" s="31" t="s">
        <v>36</v>
      </c>
      <c r="ANB6" s="32"/>
      <c r="ANC6" s="32"/>
      <c r="AND6" s="30" t="s">
        <v>606</v>
      </c>
      <c r="ANE6" s="33" t="s">
        <v>124</v>
      </c>
      <c r="ANF6" s="33" t="s">
        <v>46</v>
      </c>
      <c r="ANG6" s="33" t="s">
        <v>46</v>
      </c>
      <c r="ANH6" s="32" t="s">
        <v>36</v>
      </c>
      <c r="ANI6" s="33" t="s">
        <v>102</v>
      </c>
      <c r="ANJ6" s="30"/>
      <c r="ANK6" s="30" t="s">
        <v>587</v>
      </c>
      <c r="ANL6" s="31" t="s">
        <v>271</v>
      </c>
      <c r="ANM6" s="33" t="s">
        <v>28</v>
      </c>
      <c r="ANN6" s="32"/>
      <c r="ANO6" s="32" t="s">
        <v>289</v>
      </c>
      <c r="ANP6" s="30"/>
      <c r="ANQ6" s="33" t="s">
        <v>102</v>
      </c>
      <c r="ANR6" s="33" t="s">
        <v>587</v>
      </c>
      <c r="ANS6" s="33" t="s">
        <v>79</v>
      </c>
      <c r="ANT6" s="33" t="s">
        <v>28</v>
      </c>
      <c r="ANU6" s="33" t="s">
        <v>81</v>
      </c>
      <c r="ANV6" s="30" t="s">
        <v>271</v>
      </c>
      <c r="ANW6" s="30"/>
      <c r="ANX6" s="31"/>
      <c r="ANY6" s="31" t="s">
        <v>271</v>
      </c>
      <c r="ANZ6" s="33" t="s">
        <v>54</v>
      </c>
      <c r="AOA6" s="32" t="s">
        <v>592</v>
      </c>
      <c r="AOB6" s="30"/>
      <c r="AOC6" s="33" t="s">
        <v>36</v>
      </c>
      <c r="AOD6" s="31" t="s">
        <v>59</v>
      </c>
      <c r="AOE6" s="31" t="s">
        <v>102</v>
      </c>
      <c r="AOF6" s="32" t="s">
        <v>601</v>
      </c>
      <c r="AOG6" s="32" t="s">
        <v>594</v>
      </c>
      <c r="AOH6" s="30" t="s">
        <v>592</v>
      </c>
      <c r="AOI6" s="30"/>
      <c r="AOJ6" s="31" t="s">
        <v>36</v>
      </c>
      <c r="AOK6" s="31"/>
      <c r="AOL6" s="32" t="s">
        <v>271</v>
      </c>
      <c r="AOM6" s="32"/>
      <c r="AON6" s="41" t="s">
        <v>319</v>
      </c>
      <c r="AOO6" s="30" t="s">
        <v>327</v>
      </c>
      <c r="AOP6" s="31"/>
      <c r="AOQ6" s="31" t="s">
        <v>185</v>
      </c>
      <c r="AOR6" s="33" t="s">
        <v>594</v>
      </c>
      <c r="AOS6" s="33" t="s">
        <v>606</v>
      </c>
      <c r="AOT6" s="30" t="s">
        <v>176</v>
      </c>
      <c r="AOU6" s="33" t="s">
        <v>54</v>
      </c>
      <c r="AOV6" s="31" t="s">
        <v>185</v>
      </c>
      <c r="AOW6" s="33" t="s">
        <v>69</v>
      </c>
      <c r="AOX6" s="32" t="s">
        <v>596</v>
      </c>
      <c r="AOY6" s="32" t="s">
        <v>176</v>
      </c>
      <c r="AOZ6" s="41" t="s">
        <v>79</v>
      </c>
      <c r="APA6" s="30"/>
      <c r="APB6" s="31"/>
      <c r="APC6" s="31" t="s">
        <v>389</v>
      </c>
      <c r="APD6" s="32"/>
      <c r="APE6" s="32" t="s">
        <v>81</v>
      </c>
      <c r="APF6" s="30" t="s">
        <v>41</v>
      </c>
      <c r="APG6" s="33" t="s">
        <v>601</v>
      </c>
      <c r="APH6" s="33" t="s">
        <v>300</v>
      </c>
      <c r="API6" s="33" t="s">
        <v>300</v>
      </c>
      <c r="APJ6" s="31" t="s">
        <v>81</v>
      </c>
      <c r="APK6" s="33" t="s">
        <v>46</v>
      </c>
      <c r="APL6" s="30" t="s">
        <v>448</v>
      </c>
      <c r="APM6" s="30"/>
      <c r="APN6" s="33" t="s">
        <v>64</v>
      </c>
      <c r="APO6" s="32"/>
      <c r="APP6" s="31" t="s">
        <v>176</v>
      </c>
      <c r="APQ6" s="31" t="s">
        <v>448</v>
      </c>
      <c r="APR6" s="30"/>
      <c r="APS6" s="30" t="s">
        <v>33</v>
      </c>
      <c r="APT6" s="32" t="s">
        <v>74</v>
      </c>
      <c r="APU6" s="32" t="s">
        <v>300</v>
      </c>
      <c r="APV6" s="33" t="s">
        <v>41</v>
      </c>
      <c r="APW6" s="31" t="s">
        <v>596</v>
      </c>
      <c r="APX6" s="30" t="s">
        <v>319</v>
      </c>
      <c r="APY6" s="30"/>
      <c r="APZ6" s="32" t="s">
        <v>227</v>
      </c>
      <c r="AQA6" s="32"/>
      <c r="AQB6" s="31" t="s">
        <v>587</v>
      </c>
      <c r="AQC6" s="31"/>
      <c r="AQD6" s="30"/>
      <c r="AQE6" s="30" t="s">
        <v>227</v>
      </c>
      <c r="AQF6" s="32"/>
      <c r="AQG6" s="32" t="s">
        <v>164</v>
      </c>
      <c r="AQH6" s="31"/>
      <c r="AQI6" s="33" t="s">
        <v>86</v>
      </c>
      <c r="AQJ6" s="30" t="s">
        <v>28</v>
      </c>
      <c r="AQK6" s="30"/>
      <c r="AQL6" s="32" t="s">
        <v>164</v>
      </c>
      <c r="AQM6" s="32"/>
      <c r="AQN6" s="31" t="s">
        <v>185</v>
      </c>
      <c r="AQO6" s="31"/>
      <c r="AQP6" s="30" t="s">
        <v>205</v>
      </c>
      <c r="AQQ6" s="30"/>
      <c r="AQR6" s="32"/>
      <c r="AQS6" s="32"/>
      <c r="AQT6" s="31"/>
      <c r="AQU6" s="31" t="s">
        <v>41</v>
      </c>
      <c r="AQV6" s="30"/>
      <c r="AQW6" s="30"/>
      <c r="AQX6" s="32" t="s">
        <v>173</v>
      </c>
      <c r="AQY6" s="32"/>
      <c r="AQZ6" s="31" t="s">
        <v>36</v>
      </c>
      <c r="ARA6" s="31"/>
      <c r="ARB6" s="30"/>
      <c r="ARC6" s="30"/>
      <c r="ARD6" s="32"/>
      <c r="ARE6" s="32"/>
      <c r="ARF6" s="31"/>
      <c r="ARG6" s="31" t="s">
        <v>69</v>
      </c>
      <c r="ARH6" s="30"/>
      <c r="ARI6" s="30" t="s">
        <v>54</v>
      </c>
      <c r="ARJ6" s="32"/>
      <c r="ARK6" s="32"/>
      <c r="ARL6" s="31" t="s">
        <v>389</v>
      </c>
      <c r="ARM6" s="31"/>
      <c r="ARN6" s="30" t="s">
        <v>59</v>
      </c>
      <c r="ARO6" s="30"/>
      <c r="ARP6" s="32"/>
      <c r="ARQ6" s="32"/>
      <c r="ARR6" s="31"/>
      <c r="ARS6" s="31"/>
      <c r="ART6" s="30"/>
      <c r="ARU6" s="30"/>
      <c r="ARV6" s="32"/>
      <c r="ARW6" s="32"/>
      <c r="ARX6" s="31"/>
      <c r="ARY6" s="33" t="s">
        <v>94</v>
      </c>
      <c r="ARZ6" s="30"/>
      <c r="ASA6" s="30"/>
      <c r="ASB6" s="32"/>
      <c r="ASC6" s="32"/>
      <c r="ASD6" s="31"/>
      <c r="ASE6" s="31"/>
      <c r="ASF6" s="30"/>
      <c r="ASG6" s="30"/>
      <c r="ASH6" s="32"/>
      <c r="ASI6" s="32"/>
      <c r="ASJ6" s="31"/>
      <c r="ASK6" s="31" t="s">
        <v>185</v>
      </c>
      <c r="ASL6" s="30"/>
      <c r="ASM6" s="30" t="s">
        <v>327</v>
      </c>
      <c r="ASN6" s="32"/>
      <c r="ASO6" s="39" t="s">
        <v>81</v>
      </c>
      <c r="ASP6" s="31" t="s">
        <v>164</v>
      </c>
      <c r="ASQ6" s="31"/>
      <c r="ASR6" s="30" t="s">
        <v>319</v>
      </c>
      <c r="ASS6" s="30"/>
      <c r="AST6" s="32" t="s">
        <v>271</v>
      </c>
      <c r="ASU6" s="32"/>
      <c r="ASV6" s="31" t="s">
        <v>33</v>
      </c>
      <c r="ASW6" s="33" t="s">
        <v>389</v>
      </c>
      <c r="ASX6" s="30"/>
      <c r="ASY6" s="30"/>
      <c r="ASZ6" s="32"/>
      <c r="ATA6" s="32"/>
      <c r="ATB6" s="31" t="s">
        <v>227</v>
      </c>
      <c r="ATC6" s="31"/>
      <c r="ATD6" s="30" t="s">
        <v>164</v>
      </c>
      <c r="ATE6" s="30"/>
      <c r="ATF6" s="32"/>
      <c r="ATG6" s="32"/>
      <c r="ATH6" s="31"/>
      <c r="ATI6" s="31"/>
      <c r="ATJ6" s="30"/>
      <c r="ATK6" s="30" t="s">
        <v>33</v>
      </c>
      <c r="ATL6" s="32"/>
      <c r="ATM6" s="32" t="s">
        <v>69</v>
      </c>
      <c r="ATN6" s="31"/>
      <c r="ATO6" s="31"/>
      <c r="ATP6" s="30"/>
      <c r="ATQ6" s="33" t="s">
        <v>86</v>
      </c>
      <c r="ATR6" s="32" t="s">
        <v>59</v>
      </c>
      <c r="ATS6" s="32"/>
      <c r="ATT6" s="31" t="s">
        <v>607</v>
      </c>
      <c r="ATU6" s="31"/>
      <c r="ATV6" s="30" t="s">
        <v>271</v>
      </c>
      <c r="ATW6" s="30"/>
      <c r="ATX6" s="39" t="s">
        <v>81</v>
      </c>
      <c r="ATY6" s="32"/>
      <c r="ATZ6" s="31"/>
      <c r="AUA6" s="31" t="s">
        <v>205</v>
      </c>
      <c r="AUB6" s="30"/>
      <c r="AUC6" s="30" t="s">
        <v>314</v>
      </c>
      <c r="AUD6" s="32"/>
      <c r="AUE6" s="32"/>
      <c r="AUF6" s="31"/>
      <c r="AUG6" s="31"/>
      <c r="AUH6" s="30" t="s">
        <v>592</v>
      </c>
      <c r="AUI6" s="30"/>
      <c r="AUJ6" s="32"/>
      <c r="AUK6" s="32"/>
      <c r="AUL6" s="31"/>
      <c r="AUM6" s="31"/>
      <c r="AUN6" s="30"/>
      <c r="AUO6" s="30" t="s">
        <v>271</v>
      </c>
      <c r="AUP6" s="32"/>
      <c r="AUQ6" s="32"/>
      <c r="AUR6" s="33" t="s">
        <v>46</v>
      </c>
      <c r="AUS6" s="34" t="s">
        <v>46</v>
      </c>
      <c r="AUT6" s="30" t="s">
        <v>271</v>
      </c>
      <c r="AUU6" s="30"/>
      <c r="AUV6" s="32" t="s">
        <v>227</v>
      </c>
      <c r="AUW6" s="32"/>
      <c r="AUX6" s="31"/>
      <c r="AUY6" s="31" t="s">
        <v>451</v>
      </c>
      <c r="AUZ6" s="30"/>
      <c r="AVA6" s="30"/>
      <c r="AVB6" s="32"/>
      <c r="AVC6" s="32" t="s">
        <v>74</v>
      </c>
      <c r="AVD6" s="31" t="s">
        <v>389</v>
      </c>
      <c r="AVE6" s="49" t="s">
        <v>59</v>
      </c>
      <c r="AVF6" s="30"/>
      <c r="AVG6" s="33" t="s">
        <v>69</v>
      </c>
      <c r="AVH6" s="32" t="s">
        <v>176</v>
      </c>
      <c r="AVI6" s="33" t="s">
        <v>164</v>
      </c>
      <c r="AVJ6" s="31" t="s">
        <v>59</v>
      </c>
      <c r="AVK6" s="31"/>
      <c r="AVL6" s="30"/>
      <c r="AVM6" s="30"/>
      <c r="AVN6" s="32"/>
      <c r="AVO6" s="32" t="s">
        <v>289</v>
      </c>
      <c r="AVP6" s="31"/>
      <c r="AVQ6" s="31" t="s">
        <v>185</v>
      </c>
      <c r="AVR6" s="30"/>
      <c r="AVS6" s="30" t="s">
        <v>593</v>
      </c>
      <c r="AVT6" s="32"/>
      <c r="AVU6" s="32"/>
      <c r="AVV6" s="31" t="s">
        <v>185</v>
      </c>
      <c r="AVW6" s="31"/>
      <c r="AVX6" s="30" t="s">
        <v>176</v>
      </c>
      <c r="AVY6" s="30"/>
      <c r="AVZ6" s="32" t="s">
        <v>54</v>
      </c>
      <c r="AWA6" s="32"/>
      <c r="AWB6" s="31" t="s">
        <v>594</v>
      </c>
      <c r="AWC6" s="31"/>
      <c r="AWD6" s="30"/>
      <c r="AWE6" s="30" t="s">
        <v>314</v>
      </c>
      <c r="AWF6" s="32"/>
      <c r="AWG6" s="32" t="s">
        <v>587</v>
      </c>
      <c r="AWH6" s="31"/>
      <c r="AWI6" s="31"/>
      <c r="AWJ6" s="33" t="s">
        <v>86</v>
      </c>
      <c r="AWK6" s="33" t="s">
        <v>64</v>
      </c>
      <c r="AWL6" s="32" t="s">
        <v>451</v>
      </c>
      <c r="AWM6" s="32"/>
      <c r="AWN6" s="31"/>
      <c r="AWO6" s="31"/>
      <c r="AWP6" s="30"/>
      <c r="AWQ6" s="30"/>
      <c r="AWR6" s="33" t="s">
        <v>36</v>
      </c>
      <c r="AWS6" s="32" t="s">
        <v>81</v>
      </c>
      <c r="AWT6" s="31"/>
      <c r="AWU6" s="31" t="s">
        <v>41</v>
      </c>
      <c r="AWV6" s="30" t="s">
        <v>124</v>
      </c>
      <c r="AWW6" s="30"/>
      <c r="AWX6" s="32" t="s">
        <v>227</v>
      </c>
      <c r="AWY6" s="32"/>
      <c r="AWZ6" s="31" t="s">
        <v>59</v>
      </c>
      <c r="AXA6" s="33" t="s">
        <v>596</v>
      </c>
      <c r="AXB6" s="30"/>
      <c r="AXC6" s="30"/>
      <c r="AXD6" s="32"/>
      <c r="AXE6" s="32"/>
      <c r="AXF6" s="40" t="s">
        <v>48</v>
      </c>
      <c r="AXG6" s="31" t="s">
        <v>238</v>
      </c>
      <c r="AXH6" s="41" t="s">
        <v>79</v>
      </c>
      <c r="AXI6" s="30" t="s">
        <v>246</v>
      </c>
      <c r="AXJ6" s="32"/>
      <c r="AXK6" s="32"/>
      <c r="AXL6" s="31" t="s">
        <v>238</v>
      </c>
      <c r="AXM6" s="31"/>
      <c r="AXN6" s="30" t="s">
        <v>164</v>
      </c>
      <c r="AXO6" s="30"/>
      <c r="AXP6" s="32"/>
      <c r="AXQ6" s="32"/>
      <c r="AXR6" s="31" t="s">
        <v>74</v>
      </c>
      <c r="AXS6" s="31"/>
      <c r="AXT6" s="30"/>
      <c r="AXU6" s="30" t="s">
        <v>389</v>
      </c>
      <c r="AXV6" s="32"/>
      <c r="AXW6" s="32" t="s">
        <v>41</v>
      </c>
      <c r="AXX6" s="31"/>
      <c r="AXY6" s="31"/>
      <c r="AXZ6" s="30" t="s">
        <v>314</v>
      </c>
      <c r="AYA6" s="30"/>
      <c r="AYB6" s="32"/>
      <c r="AYC6" s="32"/>
      <c r="AYD6" s="31" t="s">
        <v>592</v>
      </c>
      <c r="AYE6" s="31"/>
      <c r="AYF6" s="30"/>
      <c r="AYG6" s="30"/>
      <c r="AYH6" s="32"/>
      <c r="AYI6" s="32"/>
      <c r="AYJ6" s="33" t="s">
        <v>69</v>
      </c>
      <c r="AYK6" s="31"/>
      <c r="AYL6" s="30"/>
      <c r="AYM6" s="30"/>
      <c r="AYN6" s="32"/>
      <c r="AYO6" s="32"/>
      <c r="AYP6" s="31"/>
      <c r="AYQ6" s="31"/>
      <c r="AYR6" s="30"/>
      <c r="AYS6" s="30"/>
      <c r="AYT6" s="32"/>
      <c r="AYU6" s="32"/>
      <c r="AYV6" s="31"/>
      <c r="AYW6" s="31"/>
      <c r="AYX6" s="30"/>
      <c r="AYY6" s="30"/>
      <c r="AYZ6" s="32"/>
      <c r="AZA6" s="32"/>
      <c r="AZB6" s="40" t="s">
        <v>46</v>
      </c>
      <c r="AZC6" s="31"/>
      <c r="AZD6" s="33" t="s">
        <v>205</v>
      </c>
      <c r="AZE6" s="30"/>
      <c r="AZF6" s="32"/>
      <c r="AZG6" s="32"/>
      <c r="AZH6" s="31"/>
      <c r="AZI6" s="31"/>
      <c r="AZJ6" s="30"/>
      <c r="AZK6" s="30"/>
      <c r="AZL6" s="32"/>
      <c r="AZM6" s="32"/>
      <c r="AZN6" s="31"/>
      <c r="AZO6" s="31"/>
      <c r="AZP6" s="30" t="s">
        <v>74</v>
      </c>
      <c r="AZQ6" s="30"/>
      <c r="AZR6" s="32"/>
      <c r="AZS6" s="32"/>
      <c r="AZT6" s="31"/>
      <c r="AZU6" s="31"/>
      <c r="AZV6" s="30"/>
      <c r="AZW6" s="30"/>
      <c r="AZX6" s="32"/>
      <c r="AZY6" s="32"/>
      <c r="AZZ6" s="31"/>
      <c r="BAA6" s="31" t="s">
        <v>79</v>
      </c>
      <c r="BAB6" s="30"/>
      <c r="BAC6" s="30"/>
      <c r="BAD6" s="32"/>
      <c r="BAE6" s="32"/>
      <c r="BAF6" s="31" t="s">
        <v>54</v>
      </c>
      <c r="BAG6" s="31"/>
      <c r="BAH6" s="30"/>
      <c r="BAI6" s="30"/>
      <c r="BAJ6" s="32"/>
      <c r="BAK6" s="32"/>
      <c r="BAL6" s="31"/>
      <c r="BAM6" s="31"/>
      <c r="BAN6" s="30"/>
      <c r="BAO6" s="30"/>
      <c r="BAP6" s="32"/>
      <c r="BAQ6" s="32"/>
      <c r="BAR6" s="31"/>
      <c r="BAS6" s="31"/>
      <c r="BAT6" s="30"/>
      <c r="BAU6" s="30"/>
      <c r="BAV6" s="32"/>
      <c r="BAW6" s="32"/>
      <c r="BAX6" s="31"/>
      <c r="BAY6" s="31"/>
      <c r="BAZ6" s="30"/>
      <c r="BBA6" s="30"/>
      <c r="BBB6" s="32"/>
      <c r="BBC6" s="32"/>
      <c r="BBD6" s="31"/>
      <c r="BBE6" s="31"/>
      <c r="BBF6" s="30"/>
      <c r="BBG6" s="30"/>
      <c r="BBH6" s="32"/>
      <c r="BBI6" s="32"/>
      <c r="BBJ6" s="31"/>
      <c r="BBK6" s="31"/>
      <c r="BBL6" s="30"/>
      <c r="BBM6" s="30"/>
      <c r="BBN6" s="32"/>
      <c r="BBO6" s="32"/>
      <c r="BBP6" s="31"/>
      <c r="BBQ6" s="31"/>
      <c r="BBR6" s="30"/>
      <c r="BBS6" s="30"/>
      <c r="BBT6" s="32"/>
      <c r="BBU6" s="32"/>
      <c r="BBV6" s="31"/>
      <c r="BBW6" s="31"/>
      <c r="BBX6" s="30"/>
      <c r="BBY6" s="30"/>
      <c r="BBZ6" s="32"/>
      <c r="BCA6" s="32"/>
      <c r="BCB6" s="31"/>
      <c r="BCC6" s="31"/>
      <c r="BCD6" s="30"/>
      <c r="BCE6" s="30"/>
      <c r="BCF6" s="32"/>
      <c r="BCG6" s="32"/>
      <c r="BCH6" s="31"/>
      <c r="BCI6" s="31"/>
      <c r="BCJ6" s="30"/>
      <c r="BCK6" s="30"/>
      <c r="BCL6" s="32"/>
      <c r="BCM6" s="32"/>
      <c r="BCN6" s="31"/>
      <c r="BCO6" s="31"/>
      <c r="BCP6" s="30"/>
      <c r="BCQ6" s="30"/>
    </row>
    <row r="7" spans="1:1447">
      <c r="A7" s="30"/>
      <c r="B7" s="30"/>
      <c r="C7" s="31"/>
      <c r="D7" s="31"/>
      <c r="E7" s="32"/>
      <c r="F7" s="32" t="s">
        <v>587</v>
      </c>
      <c r="G7" s="30"/>
      <c r="H7" s="30"/>
      <c r="I7" s="31"/>
      <c r="J7" s="31"/>
      <c r="K7" s="32"/>
      <c r="L7" s="32"/>
      <c r="M7" s="30" t="s">
        <v>74</v>
      </c>
      <c r="N7" s="30"/>
      <c r="O7" s="31"/>
      <c r="P7" s="31"/>
      <c r="Q7" s="32"/>
      <c r="R7" s="32"/>
      <c r="S7" s="30"/>
      <c r="T7" s="30"/>
      <c r="U7" s="31"/>
      <c r="V7" s="31" t="s">
        <v>79</v>
      </c>
      <c r="W7" s="32"/>
      <c r="X7" s="32"/>
      <c r="Y7" s="30"/>
      <c r="Z7" s="30"/>
      <c r="AA7" s="31"/>
      <c r="AB7" s="31"/>
      <c r="AC7" s="32"/>
      <c r="AD7" s="32"/>
      <c r="AE7" s="30"/>
      <c r="AF7" s="30"/>
      <c r="AG7" s="31"/>
      <c r="AH7" s="31"/>
      <c r="AI7" s="32"/>
      <c r="AJ7" s="32"/>
      <c r="AK7" s="30"/>
      <c r="AL7" s="30"/>
      <c r="AM7" s="31"/>
      <c r="AN7" s="31"/>
      <c r="AO7" s="32"/>
      <c r="AP7" s="32"/>
      <c r="AQ7" s="30"/>
      <c r="AR7" s="30"/>
      <c r="AS7" s="31"/>
      <c r="AT7" s="31"/>
      <c r="AU7" s="32"/>
      <c r="AV7" s="32"/>
      <c r="AW7" s="30"/>
      <c r="AX7" s="30"/>
      <c r="AY7" s="31"/>
      <c r="AZ7" s="31"/>
      <c r="BA7" s="32"/>
      <c r="BB7" s="32"/>
      <c r="BC7" s="30"/>
      <c r="BD7" s="30"/>
      <c r="BE7" s="31"/>
      <c r="BF7" s="31"/>
      <c r="BG7" s="32"/>
      <c r="BH7" s="32"/>
      <c r="BI7" s="30"/>
      <c r="BJ7" s="30" t="s">
        <v>271</v>
      </c>
      <c r="BK7" s="31"/>
      <c r="BL7" s="31"/>
      <c r="BM7" s="32"/>
      <c r="BN7" s="32"/>
      <c r="BO7" s="30"/>
      <c r="BP7" s="30"/>
      <c r="BQ7" s="31"/>
      <c r="BR7" s="31"/>
      <c r="BS7" s="32"/>
      <c r="BT7" s="32"/>
      <c r="BU7" s="30"/>
      <c r="BV7" s="30"/>
      <c r="BW7" s="31"/>
      <c r="BX7" s="31"/>
      <c r="BY7" s="32"/>
      <c r="BZ7" s="32"/>
      <c r="CA7" s="30"/>
      <c r="CB7" s="30"/>
      <c r="CC7" s="31"/>
      <c r="CD7" s="31"/>
      <c r="CE7" s="32"/>
      <c r="CF7" s="32"/>
      <c r="CG7" s="30"/>
      <c r="CH7" s="30"/>
      <c r="CI7" s="31"/>
      <c r="CJ7" s="31" t="s">
        <v>581</v>
      </c>
      <c r="CK7" s="32"/>
      <c r="CL7" s="32"/>
      <c r="CM7" s="30" t="s">
        <v>591</v>
      </c>
      <c r="CN7" s="30"/>
      <c r="CO7" s="31"/>
      <c r="CP7" s="31"/>
      <c r="CQ7" s="32" t="s">
        <v>94</v>
      </c>
      <c r="CR7" s="32"/>
      <c r="CS7" s="30"/>
      <c r="CT7" s="30"/>
      <c r="CU7" s="31"/>
      <c r="CV7" s="31"/>
      <c r="CW7" s="32"/>
      <c r="CX7" s="32"/>
      <c r="CY7" s="30"/>
      <c r="CZ7" s="30"/>
      <c r="DA7" s="31"/>
      <c r="DB7" s="31"/>
      <c r="DC7" s="32"/>
      <c r="DD7" s="32"/>
      <c r="DE7" s="30"/>
      <c r="DF7" s="30"/>
      <c r="DG7" s="31"/>
      <c r="DH7" s="31"/>
      <c r="DI7" s="32"/>
      <c r="DJ7" s="32"/>
      <c r="DK7" s="30"/>
      <c r="DL7" s="30"/>
      <c r="DM7" s="31"/>
      <c r="DN7" s="31"/>
      <c r="DO7" s="32"/>
      <c r="DP7" s="32"/>
      <c r="DQ7" s="30"/>
      <c r="DR7" s="30"/>
      <c r="DS7" s="31"/>
      <c r="DT7" s="31"/>
      <c r="DU7" s="32"/>
      <c r="DV7" s="32"/>
      <c r="DW7" s="30"/>
      <c r="DX7" s="30"/>
      <c r="DY7" s="31"/>
      <c r="DZ7" s="31"/>
      <c r="EA7" s="32"/>
      <c r="EB7" s="32"/>
      <c r="EC7" s="30"/>
      <c r="ED7" s="30"/>
      <c r="EE7" s="31"/>
      <c r="EF7" s="31"/>
      <c r="EG7" s="32"/>
      <c r="EH7" s="32"/>
      <c r="EI7" s="30"/>
      <c r="EJ7" s="30"/>
      <c r="EK7" s="31"/>
      <c r="EL7" s="31"/>
      <c r="EM7" s="32"/>
      <c r="EN7" s="32"/>
      <c r="EO7" s="30"/>
      <c r="EP7" s="30"/>
      <c r="EQ7" s="31"/>
      <c r="ER7" s="31" t="s">
        <v>33</v>
      </c>
      <c r="ES7" s="32"/>
      <c r="ET7" s="32" t="s">
        <v>41</v>
      </c>
      <c r="EU7" s="30"/>
      <c r="EV7" s="30"/>
      <c r="EW7" s="31"/>
      <c r="EX7" s="31" t="s">
        <v>584</v>
      </c>
      <c r="EY7" s="32"/>
      <c r="EZ7" s="33" t="s">
        <v>74</v>
      </c>
      <c r="FA7" s="30"/>
      <c r="FB7" s="30" t="s">
        <v>173</v>
      </c>
      <c r="FC7" s="31"/>
      <c r="FD7" s="31"/>
      <c r="FE7" s="32" t="s">
        <v>585</v>
      </c>
      <c r="FF7" s="33" t="s">
        <v>185</v>
      </c>
      <c r="FG7" s="30"/>
      <c r="FH7" s="30"/>
      <c r="FI7" s="32" t="s">
        <v>176</v>
      </c>
      <c r="FJ7" s="32"/>
      <c r="FK7" s="30" t="s">
        <v>595</v>
      </c>
      <c r="FL7" s="30"/>
      <c r="FM7" s="31" t="s">
        <v>593</v>
      </c>
      <c r="FN7" s="31"/>
      <c r="FO7" s="32"/>
      <c r="FP7" s="32"/>
      <c r="FQ7" s="30"/>
      <c r="FR7" s="30"/>
      <c r="FS7" s="31" t="s">
        <v>74</v>
      </c>
      <c r="FT7" s="31"/>
      <c r="FU7" s="32"/>
      <c r="FV7" s="32"/>
      <c r="FW7" s="30"/>
      <c r="FX7" s="30"/>
      <c r="FY7" s="31"/>
      <c r="FZ7" s="31"/>
      <c r="GA7" s="32"/>
      <c r="GB7" s="32"/>
      <c r="GC7" s="30"/>
      <c r="GD7" s="30"/>
      <c r="GE7" s="31"/>
      <c r="GF7" s="31"/>
      <c r="GG7" s="32"/>
      <c r="GH7" s="32"/>
      <c r="GI7" s="30"/>
      <c r="GJ7" s="30"/>
      <c r="GK7" s="31"/>
      <c r="GL7" s="31"/>
      <c r="GM7" s="32"/>
      <c r="GN7" s="32"/>
      <c r="GO7" s="30"/>
      <c r="GP7" s="30"/>
      <c r="GQ7" s="31"/>
      <c r="GR7" s="31"/>
      <c r="GS7" s="32"/>
      <c r="GT7" s="32"/>
      <c r="GU7" s="30"/>
      <c r="GV7" s="30"/>
      <c r="GW7" s="31"/>
      <c r="GX7" s="31"/>
      <c r="GY7" s="32"/>
      <c r="GZ7" s="32"/>
      <c r="HA7" s="30"/>
      <c r="HB7" s="30"/>
      <c r="HC7" s="31"/>
      <c r="HD7" s="31"/>
      <c r="HE7" s="32"/>
      <c r="HF7" s="32" t="s">
        <v>79</v>
      </c>
      <c r="HG7" s="30"/>
      <c r="HH7" s="30" t="s">
        <v>176</v>
      </c>
      <c r="HI7" s="31"/>
      <c r="HJ7" s="31"/>
      <c r="HK7" s="32"/>
      <c r="HL7" s="32"/>
      <c r="HM7" s="30" t="s">
        <v>79</v>
      </c>
      <c r="HN7" s="30"/>
      <c r="HO7" s="31"/>
      <c r="HP7" s="31"/>
      <c r="HQ7" s="32"/>
      <c r="HR7" s="32"/>
      <c r="HS7" s="30"/>
      <c r="HT7" s="30" t="s">
        <v>185</v>
      </c>
      <c r="HU7" s="31"/>
      <c r="HV7" s="31" t="s">
        <v>164</v>
      </c>
      <c r="HW7" s="32"/>
      <c r="HX7" s="32"/>
      <c r="HY7" s="30"/>
      <c r="HZ7" s="30"/>
      <c r="IA7" s="31"/>
      <c r="IB7" s="31"/>
      <c r="IC7" s="32"/>
      <c r="ID7" s="32"/>
      <c r="IE7" s="30"/>
      <c r="IF7" s="30"/>
      <c r="IG7" s="31"/>
      <c r="IH7" s="33" t="s">
        <v>238</v>
      </c>
      <c r="II7" s="32"/>
      <c r="IJ7" s="32" t="s">
        <v>46</v>
      </c>
      <c r="IK7" s="30"/>
      <c r="IL7" s="30"/>
      <c r="IM7" s="33" t="s">
        <v>448</v>
      </c>
      <c r="IN7" s="31"/>
      <c r="IO7" s="32" t="s">
        <v>585</v>
      </c>
      <c r="IP7" s="32"/>
      <c r="IQ7" s="30" t="s">
        <v>185</v>
      </c>
      <c r="IR7" s="30"/>
      <c r="IS7" s="31"/>
      <c r="IT7" s="31" t="s">
        <v>587</v>
      </c>
      <c r="IU7" s="32"/>
      <c r="IV7" s="33" t="s">
        <v>28</v>
      </c>
      <c r="IW7" s="30"/>
      <c r="IX7" s="30"/>
      <c r="IY7" s="33" t="s">
        <v>74</v>
      </c>
      <c r="IZ7" s="33" t="s">
        <v>79</v>
      </c>
      <c r="JA7" s="32" t="s">
        <v>601</v>
      </c>
      <c r="JB7" s="33" t="s">
        <v>319</v>
      </c>
      <c r="JC7" s="30" t="s">
        <v>176</v>
      </c>
      <c r="JD7" s="30"/>
      <c r="JE7" s="31"/>
      <c r="JF7" s="31"/>
      <c r="JG7" s="32"/>
      <c r="JH7" s="32" t="s">
        <v>102</v>
      </c>
      <c r="JI7" s="30"/>
      <c r="JJ7" s="30" t="s">
        <v>595</v>
      </c>
      <c r="JK7" s="31"/>
      <c r="JL7" s="33" t="s">
        <v>389</v>
      </c>
      <c r="JM7" s="33" t="s">
        <v>185</v>
      </c>
      <c r="JN7" s="33" t="s">
        <v>451</v>
      </c>
      <c r="JO7" s="30" t="s">
        <v>173</v>
      </c>
      <c r="JP7" s="30"/>
      <c r="JQ7" s="31" t="s">
        <v>94</v>
      </c>
      <c r="JR7" s="31"/>
      <c r="JS7" s="32" t="s">
        <v>164</v>
      </c>
      <c r="JT7" s="32"/>
      <c r="JU7" s="30"/>
      <c r="JV7" s="30"/>
      <c r="JW7" s="31" t="s">
        <v>300</v>
      </c>
      <c r="JX7" s="31" t="s">
        <v>185</v>
      </c>
      <c r="JY7" s="32"/>
      <c r="JZ7" s="33" t="s">
        <v>173</v>
      </c>
      <c r="KA7" s="41" t="s">
        <v>36</v>
      </c>
      <c r="KB7" s="30" t="s">
        <v>581</v>
      </c>
      <c r="KC7" s="31" t="s">
        <v>79</v>
      </c>
      <c r="KD7" s="40" t="s">
        <v>319</v>
      </c>
      <c r="KE7" s="33" t="s">
        <v>594</v>
      </c>
      <c r="KF7" s="32"/>
      <c r="KG7" s="30" t="s">
        <v>584</v>
      </c>
      <c r="KH7" s="30"/>
      <c r="KI7" s="31"/>
      <c r="KJ7" s="31"/>
      <c r="KK7" s="32"/>
      <c r="KL7" s="32" t="s">
        <v>185</v>
      </c>
      <c r="KM7" s="30"/>
      <c r="KN7" s="33" t="s">
        <v>124</v>
      </c>
      <c r="KO7" s="31"/>
      <c r="KP7" s="31"/>
      <c r="KQ7" s="32" t="s">
        <v>583</v>
      </c>
      <c r="KR7" s="32"/>
      <c r="KS7" s="33" t="s">
        <v>79</v>
      </c>
      <c r="KT7" s="30" t="s">
        <v>176</v>
      </c>
      <c r="KU7" s="31" t="s">
        <v>585</v>
      </c>
      <c r="KV7" s="31"/>
      <c r="KW7" s="32"/>
      <c r="KX7" s="33" t="s">
        <v>596</v>
      </c>
      <c r="KY7" s="30"/>
      <c r="KZ7" s="30" t="s">
        <v>597</v>
      </c>
      <c r="LA7" s="33" t="s">
        <v>587</v>
      </c>
      <c r="LB7" s="33" t="s">
        <v>176</v>
      </c>
      <c r="LC7" s="33" t="s">
        <v>22</v>
      </c>
      <c r="LD7" s="33" t="s">
        <v>46</v>
      </c>
      <c r="LE7" s="30" t="s">
        <v>581</v>
      </c>
      <c r="LF7" s="30"/>
      <c r="LG7" s="31" t="s">
        <v>124</v>
      </c>
      <c r="LH7" s="31"/>
      <c r="LI7" s="32" t="s">
        <v>173</v>
      </c>
      <c r="LJ7" s="32"/>
      <c r="LK7" s="30"/>
      <c r="LL7" s="30"/>
      <c r="LM7" s="31"/>
      <c r="LN7" s="31" t="s">
        <v>583</v>
      </c>
      <c r="LO7" s="32"/>
      <c r="LP7" s="32" t="s">
        <v>599</v>
      </c>
      <c r="LQ7" s="33" t="s">
        <v>102</v>
      </c>
      <c r="LR7" s="30" t="s">
        <v>54</v>
      </c>
      <c r="LS7" s="33" t="s">
        <v>600</v>
      </c>
      <c r="LT7" s="33" t="s">
        <v>451</v>
      </c>
      <c r="LU7" s="33" t="s">
        <v>594</v>
      </c>
      <c r="LV7" s="32"/>
      <c r="LW7" s="30"/>
      <c r="LX7" s="30"/>
      <c r="LY7" s="31"/>
      <c r="LZ7" s="31"/>
      <c r="MA7" s="32"/>
      <c r="MB7" s="32" t="s">
        <v>581</v>
      </c>
      <c r="MC7" s="30" t="s">
        <v>595</v>
      </c>
      <c r="MD7" s="33" t="s">
        <v>597</v>
      </c>
      <c r="ME7" s="31" t="s">
        <v>586</v>
      </c>
      <c r="MF7" s="33" t="s">
        <v>589</v>
      </c>
      <c r="MG7" s="33" t="s">
        <v>81</v>
      </c>
      <c r="MH7" s="32"/>
      <c r="MI7" s="33" t="s">
        <v>79</v>
      </c>
      <c r="MJ7" s="30" t="s">
        <v>448</v>
      </c>
      <c r="MK7" s="31" t="s">
        <v>185</v>
      </c>
      <c r="ML7" s="31" t="s">
        <v>164</v>
      </c>
      <c r="MM7" s="32" t="s">
        <v>363</v>
      </c>
      <c r="MN7" s="32"/>
      <c r="MO7" s="33" t="s">
        <v>74</v>
      </c>
      <c r="MP7" s="30" t="s">
        <v>185</v>
      </c>
      <c r="MQ7" s="31" t="s">
        <v>102</v>
      </c>
      <c r="MR7" s="31"/>
      <c r="MS7" s="32" t="s">
        <v>597</v>
      </c>
      <c r="MT7" s="32"/>
      <c r="MU7" s="30" t="s">
        <v>599</v>
      </c>
      <c r="MV7" s="30"/>
      <c r="MW7" s="31" t="s">
        <v>300</v>
      </c>
      <c r="MX7" s="31"/>
      <c r="MY7" s="32" t="s">
        <v>600</v>
      </c>
      <c r="MZ7" s="32"/>
      <c r="NA7" s="30"/>
      <c r="NB7" s="30"/>
      <c r="NC7" s="31"/>
      <c r="ND7" s="31" t="s">
        <v>79</v>
      </c>
      <c r="NE7" s="32"/>
      <c r="NF7" s="32"/>
      <c r="NG7" s="30"/>
      <c r="NH7" s="30"/>
      <c r="NI7" s="31"/>
      <c r="NJ7" s="31"/>
      <c r="NK7" s="32" t="s">
        <v>173</v>
      </c>
      <c r="NL7" s="32"/>
      <c r="NM7" s="30" t="s">
        <v>22</v>
      </c>
      <c r="NN7" s="30"/>
      <c r="NO7" s="31"/>
      <c r="NP7" s="31"/>
      <c r="NQ7" s="32"/>
      <c r="NR7" s="32" t="s">
        <v>54</v>
      </c>
      <c r="NS7" s="30"/>
      <c r="NT7" s="30" t="s">
        <v>46</v>
      </c>
      <c r="NU7" s="31"/>
      <c r="NV7" s="31"/>
      <c r="NW7" s="32"/>
      <c r="NX7" s="32"/>
      <c r="NY7" s="30" t="s">
        <v>185</v>
      </c>
      <c r="NZ7" s="30"/>
      <c r="OA7" s="31"/>
      <c r="OB7" s="31"/>
      <c r="OC7" s="32"/>
      <c r="OD7" s="32"/>
      <c r="OE7" s="30"/>
      <c r="OF7" s="30" t="s">
        <v>368</v>
      </c>
      <c r="OG7" s="31"/>
      <c r="OH7" s="31"/>
      <c r="OI7" s="32"/>
      <c r="OJ7" s="32"/>
      <c r="OK7" s="30" t="s">
        <v>368</v>
      </c>
      <c r="OL7" s="30"/>
      <c r="OM7" s="31"/>
      <c r="ON7" s="31"/>
      <c r="OO7" s="32"/>
      <c r="OP7" s="32"/>
      <c r="OQ7" s="30"/>
      <c r="OR7" s="30"/>
      <c r="OS7" s="31"/>
      <c r="OT7" s="31" t="s">
        <v>94</v>
      </c>
      <c r="OU7" s="32"/>
      <c r="OV7" s="32"/>
      <c r="OW7" s="30"/>
      <c r="OX7" s="30"/>
      <c r="OY7" s="31"/>
      <c r="OZ7" s="31"/>
      <c r="PA7" s="32" t="s">
        <v>448</v>
      </c>
      <c r="PB7" s="32"/>
      <c r="PC7" s="30"/>
      <c r="PD7" s="30"/>
      <c r="PE7" s="31"/>
      <c r="PF7" s="31"/>
      <c r="PG7" s="32"/>
      <c r="PH7" s="32"/>
      <c r="PI7" s="30"/>
      <c r="PJ7" s="30"/>
      <c r="PK7" s="31"/>
      <c r="PL7" s="31"/>
      <c r="PM7" s="32"/>
      <c r="PN7" s="32"/>
      <c r="PO7" s="30"/>
      <c r="PP7" s="30"/>
      <c r="PQ7" s="31"/>
      <c r="PR7" s="31"/>
      <c r="PS7" s="32"/>
      <c r="PT7" s="32"/>
      <c r="PU7" s="30"/>
      <c r="PV7" s="30" t="s">
        <v>22</v>
      </c>
      <c r="PW7" s="31"/>
      <c r="PX7" s="31"/>
      <c r="PY7" s="32"/>
      <c r="PZ7" s="32"/>
      <c r="QA7" s="30" t="s">
        <v>22</v>
      </c>
      <c r="QB7" s="30"/>
      <c r="QC7" s="31" t="s">
        <v>176</v>
      </c>
      <c r="QD7" s="31"/>
      <c r="QE7" s="32"/>
      <c r="QF7" s="32"/>
      <c r="QG7" s="30"/>
      <c r="QH7" s="30"/>
      <c r="QI7" s="31"/>
      <c r="QJ7" s="31"/>
      <c r="QK7" s="32"/>
      <c r="QL7" s="32" t="s">
        <v>185</v>
      </c>
      <c r="QM7" s="30"/>
      <c r="QN7" s="30" t="s">
        <v>271</v>
      </c>
      <c r="QO7" s="31"/>
      <c r="QP7" s="31"/>
      <c r="QQ7" s="32" t="s">
        <v>314</v>
      </c>
      <c r="QR7" s="32"/>
      <c r="QS7" s="30" t="s">
        <v>599</v>
      </c>
      <c r="QT7" s="30"/>
      <c r="QU7" s="31"/>
      <c r="QV7" s="31"/>
      <c r="QW7" s="38" t="s">
        <v>597</v>
      </c>
      <c r="QX7" s="32"/>
      <c r="QY7" s="30"/>
      <c r="QZ7" s="30" t="s">
        <v>94</v>
      </c>
      <c r="RA7" s="31"/>
      <c r="RB7" s="31"/>
      <c r="RC7" s="32"/>
      <c r="RD7" s="32"/>
      <c r="RE7" s="30" t="s">
        <v>94</v>
      </c>
      <c r="RF7" s="30"/>
      <c r="RG7" s="31"/>
      <c r="RH7" s="31"/>
      <c r="RI7" s="32"/>
      <c r="RJ7" s="32"/>
      <c r="RK7" s="30"/>
      <c r="RL7" s="30"/>
      <c r="RM7" s="31"/>
      <c r="RN7" s="31"/>
      <c r="RO7" s="32"/>
      <c r="RP7" s="32"/>
      <c r="RQ7" s="33" t="s">
        <v>584</v>
      </c>
      <c r="RR7" s="30"/>
      <c r="RS7" s="31"/>
      <c r="RT7" s="31"/>
      <c r="RU7" s="32"/>
      <c r="RV7" s="32"/>
      <c r="RW7" s="30"/>
      <c r="RX7" s="30"/>
      <c r="RY7" s="31"/>
      <c r="RZ7" s="31"/>
      <c r="SA7" s="32"/>
      <c r="SB7" s="32"/>
      <c r="SC7" s="30"/>
      <c r="SD7" s="30"/>
      <c r="SE7" s="31"/>
      <c r="SF7" s="31"/>
      <c r="SG7" s="32" t="s">
        <v>81</v>
      </c>
      <c r="SH7" s="32"/>
      <c r="SI7" s="30"/>
      <c r="SJ7" s="30"/>
      <c r="SK7" s="30" t="s">
        <v>124</v>
      </c>
      <c r="SL7" s="31"/>
      <c r="SM7" s="31" t="s">
        <v>22</v>
      </c>
      <c r="SN7" s="32"/>
      <c r="SO7" s="32" t="s">
        <v>46</v>
      </c>
      <c r="SP7" s="30"/>
      <c r="SQ7" s="30" t="s">
        <v>583</v>
      </c>
      <c r="SR7" s="31"/>
      <c r="SS7" s="31"/>
      <c r="ST7" s="32" t="s">
        <v>64</v>
      </c>
      <c r="SU7" s="32"/>
      <c r="SV7" s="33" t="s">
        <v>74</v>
      </c>
      <c r="SW7" s="30"/>
      <c r="SX7" s="31"/>
      <c r="SY7" s="31"/>
      <c r="SZ7" s="32"/>
      <c r="TA7" s="32"/>
      <c r="TB7" s="30"/>
      <c r="TC7" s="30" t="s">
        <v>64</v>
      </c>
      <c r="TD7" s="31"/>
      <c r="TE7" s="31" t="s">
        <v>46</v>
      </c>
      <c r="TF7" s="32"/>
      <c r="TG7" s="32" t="s">
        <v>583</v>
      </c>
      <c r="TH7" s="30" t="s">
        <v>314</v>
      </c>
      <c r="TI7" s="30"/>
      <c r="TJ7" s="31" t="s">
        <v>271</v>
      </c>
      <c r="TK7" s="31"/>
      <c r="TL7" s="32"/>
      <c r="TM7" s="32" t="s">
        <v>102</v>
      </c>
      <c r="TN7" s="30"/>
      <c r="TO7" s="30" t="s">
        <v>614</v>
      </c>
      <c r="TP7" s="31"/>
      <c r="TQ7" s="31" t="s">
        <v>33</v>
      </c>
      <c r="TR7" s="32" t="s">
        <v>389</v>
      </c>
      <c r="TS7" s="32"/>
      <c r="TT7" s="33" t="s">
        <v>583</v>
      </c>
      <c r="TU7" s="30"/>
      <c r="TV7" s="31" t="s">
        <v>33</v>
      </c>
      <c r="TW7" s="31"/>
      <c r="TX7" s="32"/>
      <c r="TY7" s="32"/>
      <c r="TZ7" s="30"/>
      <c r="UA7" s="30"/>
      <c r="UB7" s="31"/>
      <c r="UC7" s="31"/>
      <c r="UD7" s="32"/>
      <c r="UE7" s="32" t="s">
        <v>614</v>
      </c>
      <c r="UF7" s="30"/>
      <c r="UG7" s="30"/>
      <c r="UH7" s="31" t="s">
        <v>389</v>
      </c>
      <c r="UI7" s="33" t="s">
        <v>583</v>
      </c>
      <c r="UJ7" s="32" t="s">
        <v>368</v>
      </c>
      <c r="UK7" s="32"/>
      <c r="UL7" s="30" t="s">
        <v>94</v>
      </c>
      <c r="UM7" s="30"/>
      <c r="UN7" s="31"/>
      <c r="UO7" s="31"/>
      <c r="UP7" s="32"/>
      <c r="UQ7" s="32"/>
      <c r="UR7" s="30"/>
      <c r="US7" s="33" t="s">
        <v>79</v>
      </c>
      <c r="UT7" s="31"/>
      <c r="UU7" s="31"/>
      <c r="UV7" s="32" t="s">
        <v>185</v>
      </c>
      <c r="UW7" s="32"/>
      <c r="UX7" s="30" t="s">
        <v>41</v>
      </c>
      <c r="UY7" s="30"/>
      <c r="UZ7" s="31" t="s">
        <v>593</v>
      </c>
      <c r="VA7" s="31"/>
      <c r="VB7" s="32"/>
      <c r="VC7" s="32"/>
      <c r="VD7" s="30"/>
      <c r="VE7" s="30"/>
      <c r="VF7" s="31"/>
      <c r="VG7" s="31" t="s">
        <v>581</v>
      </c>
      <c r="VH7" s="32"/>
      <c r="VI7" s="32" t="s">
        <v>300</v>
      </c>
      <c r="VJ7" s="30"/>
      <c r="VK7" s="30"/>
      <c r="VL7" s="33" t="s">
        <v>271</v>
      </c>
      <c r="VM7" s="31"/>
      <c r="VN7" s="32" t="s">
        <v>451</v>
      </c>
      <c r="VO7" s="32"/>
      <c r="VP7" s="30"/>
      <c r="VQ7" s="30"/>
      <c r="VR7" s="31"/>
      <c r="VS7" s="31"/>
      <c r="VT7" s="32"/>
      <c r="VU7" s="32"/>
      <c r="VV7" s="30"/>
      <c r="VW7" s="30"/>
      <c r="VX7" s="31"/>
      <c r="VY7" s="31"/>
      <c r="VZ7" s="32" t="s">
        <v>584</v>
      </c>
      <c r="WA7" s="32"/>
      <c r="WB7" s="30"/>
      <c r="WC7" s="30"/>
      <c r="WD7" s="31"/>
      <c r="WE7" s="31"/>
      <c r="WF7" s="32"/>
      <c r="WG7" s="32"/>
      <c r="WH7" s="30"/>
      <c r="WI7" s="30"/>
      <c r="WJ7" s="31"/>
      <c r="WK7" s="31"/>
      <c r="WL7" s="32"/>
      <c r="WM7" s="32"/>
      <c r="WN7" s="30"/>
      <c r="WO7" s="30"/>
      <c r="WP7" s="31"/>
      <c r="WQ7" s="31"/>
      <c r="WR7" s="32"/>
      <c r="WS7" s="32"/>
      <c r="WT7" s="30"/>
      <c r="WU7" s="30"/>
      <c r="WV7" s="31"/>
      <c r="WW7" s="31"/>
      <c r="WX7" s="32"/>
      <c r="WY7" s="32"/>
      <c r="WZ7" s="30"/>
      <c r="XA7" s="30"/>
      <c r="XB7" s="31"/>
      <c r="XC7" s="31"/>
      <c r="XD7" s="32"/>
      <c r="XE7" s="32"/>
      <c r="XF7" s="30"/>
      <c r="XG7" s="30"/>
      <c r="XH7" s="31"/>
      <c r="XI7" s="31"/>
      <c r="XJ7" s="32"/>
      <c r="XK7" s="32"/>
      <c r="XL7" s="30"/>
      <c r="XM7" s="30"/>
      <c r="XN7" s="31"/>
      <c r="XO7" s="31"/>
      <c r="XP7" s="32"/>
      <c r="XQ7" s="32"/>
      <c r="XR7" s="30"/>
      <c r="XS7" s="30"/>
      <c r="XT7" s="31"/>
      <c r="XU7" s="31"/>
      <c r="XV7" s="32"/>
      <c r="XW7" s="32"/>
      <c r="XX7" s="30"/>
      <c r="XY7" s="30"/>
      <c r="XZ7" s="31"/>
      <c r="YA7" s="33" t="s">
        <v>164</v>
      </c>
      <c r="YB7" s="32"/>
      <c r="YC7" s="32"/>
      <c r="YD7" s="30"/>
      <c r="YE7" s="30"/>
      <c r="YF7" s="31" t="s">
        <v>448</v>
      </c>
      <c r="YG7" s="31"/>
      <c r="YH7" s="32"/>
      <c r="YI7" s="32"/>
      <c r="YJ7" s="30"/>
      <c r="YK7" s="30"/>
      <c r="YL7" s="31"/>
      <c r="YM7" s="31"/>
      <c r="YN7" s="32"/>
      <c r="YO7" s="32"/>
      <c r="YP7" s="30"/>
      <c r="YQ7" s="30"/>
      <c r="YR7" s="31"/>
      <c r="YS7" s="31"/>
      <c r="YT7" s="32"/>
      <c r="YU7" s="32"/>
      <c r="YV7" s="30"/>
      <c r="YW7" s="30"/>
      <c r="YX7" s="31"/>
      <c r="YY7" s="31"/>
      <c r="YZ7" s="32"/>
      <c r="ZA7" s="32"/>
      <c r="ZB7" s="30"/>
      <c r="ZC7" s="30"/>
      <c r="ZD7" s="31"/>
      <c r="ZE7" s="31"/>
      <c r="ZF7" s="32"/>
      <c r="ZG7" s="32"/>
      <c r="ZH7" s="30"/>
      <c r="ZI7" s="30"/>
      <c r="ZJ7" s="31"/>
      <c r="ZK7" s="31"/>
      <c r="ZL7" s="32"/>
      <c r="ZM7" s="32"/>
      <c r="ZN7" s="30"/>
      <c r="ZO7" s="30"/>
      <c r="ZP7" s="31"/>
      <c r="ZQ7" s="31"/>
      <c r="ZR7" s="32"/>
      <c r="ZS7" s="32"/>
      <c r="ZT7" s="30"/>
      <c r="ZU7" s="30"/>
      <c r="ZV7" s="31"/>
      <c r="ZW7" s="31"/>
      <c r="ZX7" s="32"/>
      <c r="ZY7" s="32"/>
      <c r="ZZ7" s="30"/>
      <c r="AAA7" s="30"/>
      <c r="AAB7" s="31"/>
      <c r="AAC7" s="31"/>
      <c r="AAD7" s="32"/>
      <c r="AAE7" s="32" t="s">
        <v>33</v>
      </c>
      <c r="AAF7" s="30"/>
      <c r="AAG7" s="30" t="s">
        <v>319</v>
      </c>
      <c r="AAH7" s="31"/>
      <c r="AAI7" s="31"/>
      <c r="AAJ7" s="32"/>
      <c r="AAK7" s="32"/>
      <c r="AAL7" s="30"/>
      <c r="AAM7" s="30" t="s">
        <v>591</v>
      </c>
      <c r="AAN7" s="31"/>
      <c r="AAO7" s="31"/>
      <c r="AAP7" s="32"/>
      <c r="AAQ7" s="32" t="s">
        <v>238</v>
      </c>
      <c r="AAR7" s="30"/>
      <c r="AAS7" s="30"/>
      <c r="AAT7" s="31"/>
      <c r="AAU7" s="31"/>
      <c r="AAV7" s="32" t="s">
        <v>227</v>
      </c>
      <c r="AAW7" s="32"/>
      <c r="AAX7" s="30"/>
      <c r="AAY7" s="30"/>
      <c r="AAZ7" s="31"/>
      <c r="ABA7" s="31"/>
      <c r="ABB7" s="32"/>
      <c r="ABC7" s="32"/>
      <c r="ABD7" s="30"/>
      <c r="ABE7" s="30"/>
      <c r="ABF7" s="31"/>
      <c r="ABG7" s="31"/>
      <c r="ABH7" s="32"/>
      <c r="ABI7" s="32"/>
      <c r="ABJ7" s="30"/>
      <c r="ABK7" s="30"/>
      <c r="ABL7" s="31"/>
      <c r="ABM7" s="31"/>
      <c r="ABN7" s="32"/>
      <c r="ABO7" s="32"/>
      <c r="ABP7" s="30"/>
      <c r="ABQ7" s="30"/>
      <c r="ABR7" s="31"/>
      <c r="ABS7" s="31"/>
      <c r="ABT7" s="32"/>
      <c r="ABU7" s="32"/>
      <c r="ABV7" s="30"/>
      <c r="ABW7" s="30"/>
      <c r="ABX7" s="31"/>
      <c r="ABY7" s="31"/>
      <c r="ABZ7" s="32"/>
      <c r="ACA7" s="32"/>
      <c r="ACB7" s="30"/>
      <c r="ACC7" s="30"/>
      <c r="ACD7" s="31"/>
      <c r="ACE7" s="31"/>
      <c r="ACF7" s="32"/>
      <c r="ACG7" s="32"/>
      <c r="ACH7" s="30"/>
      <c r="ACI7" s="30"/>
      <c r="ACJ7" s="31"/>
      <c r="ACK7" s="31"/>
      <c r="ACL7" s="32"/>
      <c r="ACM7" s="32"/>
      <c r="ACN7" s="30"/>
      <c r="ACO7" s="30"/>
      <c r="ACP7" s="31"/>
      <c r="ACQ7" s="31"/>
      <c r="ACR7" s="32"/>
      <c r="ACS7" s="32"/>
      <c r="ACT7" s="30"/>
      <c r="ACU7" s="30"/>
      <c r="ACV7" s="31"/>
      <c r="ACW7" s="31"/>
      <c r="ACX7" s="32"/>
      <c r="ACY7" s="32"/>
      <c r="ACZ7" s="30"/>
      <c r="ADA7" s="30"/>
      <c r="ADB7" s="33" t="s">
        <v>587</v>
      </c>
      <c r="ADC7" s="31"/>
      <c r="ADD7" s="32"/>
      <c r="ADE7" s="32"/>
      <c r="ADF7" s="30"/>
      <c r="ADG7" s="30"/>
      <c r="ADH7" s="31"/>
      <c r="ADI7" s="31"/>
      <c r="ADJ7" s="32"/>
      <c r="ADK7" s="32"/>
      <c r="ADL7" s="30"/>
      <c r="ADM7" s="30"/>
      <c r="ADN7" s="31"/>
      <c r="ADO7" s="31"/>
      <c r="ADP7" s="32"/>
      <c r="ADQ7" s="32"/>
      <c r="ADR7" s="30"/>
      <c r="ADS7" s="30"/>
      <c r="ADT7" s="31"/>
      <c r="ADU7" s="31"/>
      <c r="ADV7" s="32"/>
      <c r="ADW7" s="32"/>
      <c r="ADX7" s="30"/>
      <c r="ADY7" s="30"/>
      <c r="ADZ7" s="31"/>
      <c r="AEA7" s="31"/>
      <c r="AEB7" s="39" t="s">
        <v>368</v>
      </c>
      <c r="AEC7" s="32"/>
      <c r="AED7" s="30"/>
      <c r="AEE7" s="30"/>
      <c r="AEF7" s="31"/>
      <c r="AEG7" s="31"/>
      <c r="AEH7" s="32"/>
      <c r="AEI7" s="32"/>
      <c r="AEJ7" s="30"/>
      <c r="AEK7" s="30"/>
      <c r="AEL7" s="31"/>
      <c r="AEM7" s="31"/>
      <c r="AEN7" s="32"/>
      <c r="AEO7" s="32"/>
      <c r="AEP7" s="30"/>
      <c r="AEQ7" s="30"/>
      <c r="AER7" s="31"/>
      <c r="AES7" s="31"/>
      <c r="AET7" s="39" t="s">
        <v>69</v>
      </c>
      <c r="AEU7" s="32" t="s">
        <v>94</v>
      </c>
      <c r="AEV7" s="30"/>
      <c r="AEW7" s="30" t="s">
        <v>185</v>
      </c>
      <c r="AEX7" s="31"/>
      <c r="AEY7" s="31"/>
      <c r="AEZ7" s="32"/>
      <c r="AFA7" s="32"/>
      <c r="AFB7" s="30" t="s">
        <v>588</v>
      </c>
      <c r="AFC7" s="30"/>
      <c r="AFD7" s="33" t="s">
        <v>606</v>
      </c>
      <c r="AFE7" s="31"/>
      <c r="AFF7" s="32"/>
      <c r="AFG7" s="32"/>
      <c r="AFH7" s="30"/>
      <c r="AFI7" s="30"/>
      <c r="AFJ7" s="31"/>
      <c r="AFK7" s="31"/>
      <c r="AFL7" s="32"/>
      <c r="AFM7" s="32"/>
      <c r="AFN7" s="30"/>
      <c r="AFO7" s="30"/>
      <c r="AFP7" s="31"/>
      <c r="AFQ7" s="31"/>
      <c r="AFR7" s="32"/>
      <c r="AFS7" s="32"/>
      <c r="AFT7" s="30"/>
      <c r="AFU7" s="30"/>
      <c r="AFV7" s="31"/>
      <c r="AFW7" s="31"/>
      <c r="AFX7" s="32"/>
      <c r="AFY7" s="32"/>
      <c r="AFZ7" s="30"/>
      <c r="AGA7" s="30"/>
      <c r="AGB7" s="31"/>
      <c r="AGC7" s="31"/>
      <c r="AGD7" s="32"/>
      <c r="AGE7" s="32"/>
      <c r="AGF7" s="30"/>
      <c r="AGG7" s="30"/>
      <c r="AGH7" s="31"/>
      <c r="AGI7" s="31"/>
      <c r="AGJ7" s="32"/>
      <c r="AGK7" s="32"/>
      <c r="AGL7" s="30"/>
      <c r="AGM7" s="30"/>
      <c r="AGN7" s="31"/>
      <c r="AGO7" s="31"/>
      <c r="AGP7" s="32"/>
      <c r="AGQ7" s="32"/>
      <c r="AGR7" s="30"/>
      <c r="AGS7" s="30" t="s">
        <v>300</v>
      </c>
      <c r="AGT7" s="31"/>
      <c r="AGU7" s="31" t="s">
        <v>59</v>
      </c>
      <c r="AGV7" s="32"/>
      <c r="AGW7" s="32"/>
      <c r="AGX7" s="30"/>
      <c r="AGY7" s="30"/>
      <c r="AGZ7" s="31"/>
      <c r="AHA7" s="31"/>
      <c r="AHB7" s="32"/>
      <c r="AHC7" s="32" t="s">
        <v>28</v>
      </c>
      <c r="AHD7" s="30"/>
      <c r="AHE7" s="33" t="s">
        <v>451</v>
      </c>
      <c r="AHF7" s="31" t="s">
        <v>54</v>
      </c>
      <c r="AHG7" s="31" t="s">
        <v>69</v>
      </c>
      <c r="AHH7" s="32" t="s">
        <v>300</v>
      </c>
      <c r="AHI7" s="32"/>
      <c r="AHJ7" s="30"/>
      <c r="AHK7" s="33" t="s">
        <v>271</v>
      </c>
      <c r="AHL7" s="31"/>
      <c r="AHM7" s="31"/>
      <c r="AHN7" s="32" t="s">
        <v>74</v>
      </c>
      <c r="AHO7" s="32"/>
      <c r="AHP7" s="30" t="s">
        <v>102</v>
      </c>
      <c r="AHQ7" s="30"/>
      <c r="AHR7" s="31" t="s">
        <v>583</v>
      </c>
      <c r="AHS7" s="31"/>
      <c r="AHT7" s="32" t="s">
        <v>606</v>
      </c>
      <c r="AHU7" s="32"/>
      <c r="AHV7" s="30"/>
      <c r="AHW7" s="30"/>
      <c r="AHX7" s="31"/>
      <c r="AHY7" s="31"/>
      <c r="AHZ7" s="32"/>
      <c r="AIA7" s="32"/>
      <c r="AIB7" s="30"/>
      <c r="AIC7" s="30"/>
      <c r="AID7" s="31"/>
      <c r="AIE7" s="31"/>
      <c r="AIF7" s="32"/>
      <c r="AIG7" s="32"/>
      <c r="AIH7" s="30"/>
      <c r="AII7" s="30"/>
      <c r="AIJ7" s="31"/>
      <c r="AIK7" s="31"/>
      <c r="AIL7" s="32"/>
      <c r="AIM7" s="32"/>
      <c r="AIN7" s="30"/>
      <c r="AIO7" s="30"/>
      <c r="AIP7" s="31"/>
      <c r="AIQ7" s="31"/>
      <c r="AIR7" s="32"/>
      <c r="AIS7" s="32"/>
      <c r="AIT7" s="30"/>
      <c r="AIU7" s="30"/>
      <c r="AIV7" s="31"/>
      <c r="AIW7" s="31"/>
      <c r="AIX7" s="33" t="s">
        <v>86</v>
      </c>
      <c r="AIY7" s="32"/>
      <c r="AIZ7" s="30"/>
      <c r="AJA7" s="30"/>
      <c r="AJB7" s="31"/>
      <c r="AJC7" s="31"/>
      <c r="AJD7" s="32"/>
      <c r="AJE7" s="32"/>
      <c r="AJF7" s="30"/>
      <c r="AJG7" s="30"/>
      <c r="AJH7" s="31"/>
      <c r="AJI7" s="31"/>
      <c r="AJJ7" s="32"/>
      <c r="AJK7" s="32"/>
      <c r="AJL7" s="30"/>
      <c r="AJM7" s="30"/>
      <c r="AJN7" s="31"/>
      <c r="AJO7" s="31"/>
      <c r="AJP7" s="32"/>
      <c r="AJQ7" s="32"/>
      <c r="AJR7" s="30"/>
      <c r="AJS7" s="30"/>
      <c r="AJT7" s="31"/>
      <c r="AJU7" s="31"/>
      <c r="AJV7" s="32"/>
      <c r="AJW7" s="32"/>
      <c r="AJX7" s="30"/>
      <c r="AJY7" s="30"/>
      <c r="AJZ7" s="33" t="s">
        <v>583</v>
      </c>
      <c r="AKA7" s="31" t="s">
        <v>41</v>
      </c>
      <c r="AKB7" s="32"/>
      <c r="AKC7" s="32"/>
      <c r="AKD7" s="30"/>
      <c r="AKE7" s="30"/>
      <c r="AKF7" s="31"/>
      <c r="AKG7" s="31"/>
      <c r="AKH7" s="32"/>
      <c r="AKI7" s="32"/>
      <c r="AKJ7" s="30"/>
      <c r="AKK7" s="33" t="s">
        <v>164</v>
      </c>
      <c r="AKL7" s="31"/>
      <c r="AKM7" s="31"/>
      <c r="AKN7" s="32"/>
      <c r="AKO7" s="32"/>
      <c r="AKP7" s="30" t="s">
        <v>74</v>
      </c>
      <c r="AKQ7" s="30"/>
      <c r="AKR7" s="31"/>
      <c r="AKS7" s="31"/>
      <c r="AKT7" s="32"/>
      <c r="AKU7" s="32" t="s">
        <v>102</v>
      </c>
      <c r="AKV7" s="30"/>
      <c r="AKW7" s="30" t="s">
        <v>86</v>
      </c>
      <c r="AKX7" s="31"/>
      <c r="AKY7" s="31" t="s">
        <v>594</v>
      </c>
      <c r="AKZ7" s="32"/>
      <c r="ALA7" s="33" t="s">
        <v>451</v>
      </c>
      <c r="ALB7" s="30" t="s">
        <v>102</v>
      </c>
      <c r="ALC7" s="30"/>
      <c r="ALD7" s="31" t="s">
        <v>173</v>
      </c>
      <c r="ALE7" s="31"/>
      <c r="ALF7" s="32"/>
      <c r="ALG7" s="32"/>
      <c r="ALH7" s="30"/>
      <c r="ALI7" s="30"/>
      <c r="ALJ7" s="31"/>
      <c r="ALK7" s="33" t="s">
        <v>448</v>
      </c>
      <c r="ALL7" s="32" t="s">
        <v>28</v>
      </c>
      <c r="ALM7" s="32"/>
      <c r="ALN7" s="33" t="s">
        <v>300</v>
      </c>
      <c r="ALO7" s="30" t="s">
        <v>46</v>
      </c>
      <c r="ALP7" s="31"/>
      <c r="ALQ7" s="31"/>
      <c r="ALR7" s="32" t="s">
        <v>79</v>
      </c>
      <c r="ALS7" s="32"/>
      <c r="ALT7" s="30"/>
      <c r="ALU7" s="30"/>
      <c r="ALV7" s="31"/>
      <c r="ALW7" s="31" t="s">
        <v>594</v>
      </c>
      <c r="ALX7" s="32"/>
      <c r="ALY7" s="32" t="s">
        <v>588</v>
      </c>
      <c r="ALZ7" s="30"/>
      <c r="AMA7" s="30"/>
      <c r="AMB7" s="33" t="s">
        <v>389</v>
      </c>
      <c r="AMC7" s="31"/>
      <c r="AMD7" s="32" t="s">
        <v>102</v>
      </c>
      <c r="AME7" s="32"/>
      <c r="AMF7" s="33" t="s">
        <v>227</v>
      </c>
      <c r="AMG7" s="30" t="s">
        <v>74</v>
      </c>
      <c r="AMH7" s="31"/>
      <c r="AMI7" s="31"/>
      <c r="AMJ7" s="32"/>
      <c r="AMK7" s="32"/>
      <c r="AML7" s="30"/>
      <c r="AMM7" s="33" t="s">
        <v>79</v>
      </c>
      <c r="AMN7" s="33" t="s">
        <v>28</v>
      </c>
      <c r="AMO7" s="31" t="s">
        <v>41</v>
      </c>
      <c r="AMP7" s="33" t="s">
        <v>94</v>
      </c>
      <c r="AMQ7" s="33" t="s">
        <v>587</v>
      </c>
      <c r="AMR7" s="30" t="s">
        <v>185</v>
      </c>
      <c r="AMS7" s="30"/>
      <c r="AMT7" s="33" t="s">
        <v>41</v>
      </c>
      <c r="AMU7" s="31"/>
      <c r="AMV7" s="32" t="s">
        <v>271</v>
      </c>
      <c r="AMW7" s="32"/>
      <c r="AMX7" s="33" t="s">
        <v>74</v>
      </c>
      <c r="AMY7" s="30" t="s">
        <v>28</v>
      </c>
      <c r="AMZ7" s="31"/>
      <c r="ANA7" s="31" t="s">
        <v>173</v>
      </c>
      <c r="ANB7" s="32"/>
      <c r="ANC7" s="32"/>
      <c r="AND7" s="33" t="s">
        <v>259</v>
      </c>
      <c r="ANE7" s="33" t="s">
        <v>64</v>
      </c>
      <c r="ANF7" s="33" t="s">
        <v>41</v>
      </c>
      <c r="ANG7" s="33" t="s">
        <v>86</v>
      </c>
      <c r="ANH7" s="33" t="s">
        <v>173</v>
      </c>
      <c r="ANI7" s="32" t="s">
        <v>176</v>
      </c>
      <c r="ANJ7" s="30"/>
      <c r="ANK7" s="30" t="s">
        <v>238</v>
      </c>
      <c r="ANL7" s="33" t="s">
        <v>74</v>
      </c>
      <c r="ANM7" s="31" t="s">
        <v>94</v>
      </c>
      <c r="ANN7" s="32"/>
      <c r="ANO7" s="32" t="s">
        <v>36</v>
      </c>
      <c r="ANP7" s="30"/>
      <c r="ANQ7" s="33" t="s">
        <v>259</v>
      </c>
      <c r="ANR7" s="33" t="s">
        <v>46</v>
      </c>
      <c r="ANS7" s="33" t="s">
        <v>74</v>
      </c>
      <c r="ANT7" s="32" t="s">
        <v>94</v>
      </c>
      <c r="ANU7" s="33" t="s">
        <v>28</v>
      </c>
      <c r="ANV7" s="30" t="s">
        <v>69</v>
      </c>
      <c r="ANW7" s="30"/>
      <c r="ANX7" s="31"/>
      <c r="ANY7" s="31"/>
      <c r="ANZ7" s="39" t="s">
        <v>205</v>
      </c>
      <c r="AOA7" s="32" t="s">
        <v>259</v>
      </c>
      <c r="AOB7" s="30"/>
      <c r="AOC7" s="30" t="s">
        <v>124</v>
      </c>
      <c r="AOD7" s="33" t="s">
        <v>74</v>
      </c>
      <c r="AOE7" s="31" t="s">
        <v>238</v>
      </c>
      <c r="AOF7" s="33" t="s">
        <v>41</v>
      </c>
      <c r="AOG7" s="33" t="s">
        <v>300</v>
      </c>
      <c r="AOH7" s="30" t="s">
        <v>259</v>
      </c>
      <c r="AOI7" s="30"/>
      <c r="AOJ7" s="40" t="s">
        <v>596</v>
      </c>
      <c r="AOK7" s="31"/>
      <c r="AOL7" s="32" t="s">
        <v>314</v>
      </c>
      <c r="AOM7" s="32"/>
      <c r="AON7" s="30"/>
      <c r="AOO7" s="30" t="s">
        <v>587</v>
      </c>
      <c r="AOP7" s="31"/>
      <c r="AOQ7" s="31" t="s">
        <v>69</v>
      </c>
      <c r="AOR7" s="33" t="s">
        <v>389</v>
      </c>
      <c r="AOS7" s="33" t="s">
        <v>594</v>
      </c>
      <c r="AOT7" s="33" t="s">
        <v>41</v>
      </c>
      <c r="AOU7" s="33" t="s">
        <v>41</v>
      </c>
      <c r="AOV7" s="31" t="s">
        <v>327</v>
      </c>
      <c r="AOW7" s="31"/>
      <c r="AOX7" s="32" t="s">
        <v>173</v>
      </c>
      <c r="AOY7" s="32"/>
      <c r="AOZ7" s="30"/>
      <c r="APA7" s="30"/>
      <c r="APB7" s="31"/>
      <c r="APC7" s="31" t="s">
        <v>448</v>
      </c>
      <c r="APD7" s="32"/>
      <c r="APE7" s="32" t="s">
        <v>271</v>
      </c>
      <c r="APF7" s="50" t="s">
        <v>289</v>
      </c>
      <c r="APG7" s="30" t="s">
        <v>587</v>
      </c>
      <c r="APH7" s="33" t="s">
        <v>583</v>
      </c>
      <c r="API7" s="32" t="s">
        <v>41</v>
      </c>
      <c r="APJ7" s="31" t="s">
        <v>238</v>
      </c>
      <c r="APK7" s="31"/>
      <c r="APL7" s="30" t="s">
        <v>173</v>
      </c>
      <c r="APM7" s="30"/>
      <c r="APN7" s="32" t="s">
        <v>205</v>
      </c>
      <c r="APO7" s="32"/>
      <c r="APP7" s="31" t="s">
        <v>389</v>
      </c>
      <c r="APQ7" s="33" t="s">
        <v>79</v>
      </c>
      <c r="APR7" s="30"/>
      <c r="APS7" s="30" t="s">
        <v>227</v>
      </c>
      <c r="APT7" s="32" t="s">
        <v>368</v>
      </c>
      <c r="APU7" s="32"/>
      <c r="APV7" s="31"/>
      <c r="APW7" s="33" t="s">
        <v>41</v>
      </c>
      <c r="APX7" s="30" t="s">
        <v>314</v>
      </c>
      <c r="APY7" s="30"/>
      <c r="APZ7" s="32" t="s">
        <v>79</v>
      </c>
      <c r="AQA7" s="32"/>
      <c r="AQB7" s="31" t="s">
        <v>54</v>
      </c>
      <c r="AQC7" s="31"/>
      <c r="AQD7" s="30"/>
      <c r="AQE7" s="30" t="s">
        <v>185</v>
      </c>
      <c r="AQF7" s="32"/>
      <c r="AQG7" s="32" t="s">
        <v>74</v>
      </c>
      <c r="AQH7" s="31"/>
      <c r="AQI7" s="31"/>
      <c r="AQJ7" s="30" t="s">
        <v>46</v>
      </c>
      <c r="AQK7" s="30"/>
      <c r="AQL7" s="32" t="s">
        <v>74</v>
      </c>
      <c r="AQM7" s="32"/>
      <c r="AQN7" s="31"/>
      <c r="AQO7" s="31"/>
      <c r="AQP7" s="30"/>
      <c r="AQQ7" s="30"/>
      <c r="AQR7" s="32"/>
      <c r="AQS7" s="32"/>
      <c r="AQT7" s="31"/>
      <c r="AQU7" s="31"/>
      <c r="AQV7" s="30"/>
      <c r="AQW7" s="30"/>
      <c r="AQX7" s="32"/>
      <c r="AQY7" s="32"/>
      <c r="AQZ7" s="31"/>
      <c r="ARA7" s="31"/>
      <c r="ARB7" s="30"/>
      <c r="ARC7" s="30"/>
      <c r="ARD7" s="32"/>
      <c r="ARE7" s="32"/>
      <c r="ARF7" s="31"/>
      <c r="ARG7" s="31" t="s">
        <v>592</v>
      </c>
      <c r="ARH7" s="30"/>
      <c r="ARI7" s="30"/>
      <c r="ARJ7" s="32"/>
      <c r="ARK7" s="32"/>
      <c r="ARL7" s="31"/>
      <c r="ARM7" s="31"/>
      <c r="ARN7" s="30" t="s">
        <v>79</v>
      </c>
      <c r="ARO7" s="30"/>
      <c r="ARP7" s="32"/>
      <c r="ARQ7" s="32"/>
      <c r="ARR7" s="31"/>
      <c r="ARS7" s="31"/>
      <c r="ART7" s="30"/>
      <c r="ARU7" s="30"/>
      <c r="ARV7" s="32"/>
      <c r="ARW7" s="32"/>
      <c r="ARX7" s="31"/>
      <c r="ARY7" s="33" t="s">
        <v>54</v>
      </c>
      <c r="ARZ7" s="30"/>
      <c r="ASA7" s="30"/>
      <c r="ASB7" s="32"/>
      <c r="ASC7" s="32"/>
      <c r="ASD7" s="31"/>
      <c r="ASE7" s="31"/>
      <c r="ASF7" s="30"/>
      <c r="ASG7" s="30"/>
      <c r="ASH7" s="32"/>
      <c r="ASI7" s="32"/>
      <c r="ASJ7" s="31"/>
      <c r="ASK7" s="31" t="s">
        <v>271</v>
      </c>
      <c r="ASL7" s="30"/>
      <c r="ASM7" s="30" t="s">
        <v>259</v>
      </c>
      <c r="ASN7" s="32"/>
      <c r="ASO7" s="33" t="s">
        <v>607</v>
      </c>
      <c r="ASP7" s="31"/>
      <c r="ASQ7" s="31"/>
      <c r="ASR7" s="30" t="s">
        <v>327</v>
      </c>
      <c r="ASS7" s="30"/>
      <c r="AST7" s="32" t="s">
        <v>94</v>
      </c>
      <c r="ASU7" s="32"/>
      <c r="ASV7" s="31" t="s">
        <v>41</v>
      </c>
      <c r="ASW7" s="31" t="s">
        <v>259</v>
      </c>
      <c r="ASX7" s="30"/>
      <c r="ASY7" s="30"/>
      <c r="ASZ7" s="32"/>
      <c r="ATA7" s="32"/>
      <c r="ATB7" s="40" t="s">
        <v>593</v>
      </c>
      <c r="ATC7" s="31"/>
      <c r="ATD7" s="30"/>
      <c r="ATE7" s="30"/>
      <c r="ATF7" s="32"/>
      <c r="ATG7" s="32"/>
      <c r="ATH7" s="31"/>
      <c r="ATI7" s="31"/>
      <c r="ATJ7" s="30"/>
      <c r="ATK7" s="33" t="s">
        <v>64</v>
      </c>
      <c r="ATL7" s="32"/>
      <c r="ATM7" s="32" t="s">
        <v>54</v>
      </c>
      <c r="ATN7" s="31"/>
      <c r="ATO7" s="31"/>
      <c r="ATP7" s="30"/>
      <c r="ATQ7" s="30"/>
      <c r="ATR7" s="33" t="s">
        <v>259</v>
      </c>
      <c r="ATS7" s="32"/>
      <c r="ATT7" s="31" t="s">
        <v>33</v>
      </c>
      <c r="ATU7" s="31"/>
      <c r="ATV7" s="30"/>
      <c r="ATW7" s="30"/>
      <c r="ATX7" s="32"/>
      <c r="ATY7" s="32"/>
      <c r="ATZ7" s="31"/>
      <c r="AUA7" s="31" t="s">
        <v>94</v>
      </c>
      <c r="AUB7" s="30"/>
      <c r="AUC7" s="30" t="s">
        <v>238</v>
      </c>
      <c r="AUD7" s="32"/>
      <c r="AUE7" s="32"/>
      <c r="AUF7" s="31"/>
      <c r="AUG7" s="31"/>
      <c r="AUH7" s="30" t="s">
        <v>271</v>
      </c>
      <c r="AUI7" s="30"/>
      <c r="AUJ7" s="32"/>
      <c r="AUK7" s="32"/>
      <c r="AUL7" s="31"/>
      <c r="AUM7" s="31"/>
      <c r="AUN7" s="30"/>
      <c r="AUO7" s="30" t="s">
        <v>227</v>
      </c>
      <c r="AUP7" s="32"/>
      <c r="AUQ7" s="32"/>
      <c r="AUR7" s="31"/>
      <c r="AUS7" s="31" t="s">
        <v>594</v>
      </c>
      <c r="AUT7" s="30" t="s">
        <v>587</v>
      </c>
      <c r="AUU7" s="30"/>
      <c r="AUV7" s="32" t="s">
        <v>48</v>
      </c>
      <c r="AUW7" s="32"/>
      <c r="AUX7" s="31"/>
      <c r="AUY7" s="31" t="s">
        <v>587</v>
      </c>
      <c r="AUZ7" s="30"/>
      <c r="AVA7" s="30"/>
      <c r="AVB7" s="32"/>
      <c r="AVC7" s="32" t="s">
        <v>81</v>
      </c>
      <c r="AVD7" s="31" t="s">
        <v>205</v>
      </c>
      <c r="AVE7" s="51" t="s">
        <v>185</v>
      </c>
      <c r="AVF7" s="30"/>
      <c r="AVG7" s="33" t="s">
        <v>86</v>
      </c>
      <c r="AVH7" s="32" t="s">
        <v>74</v>
      </c>
      <c r="AVI7" s="33" t="s">
        <v>451</v>
      </c>
      <c r="AVJ7" s="31" t="s">
        <v>185</v>
      </c>
      <c r="AVK7" s="31"/>
      <c r="AVL7" s="30"/>
      <c r="AVM7" s="30"/>
      <c r="AVN7" s="32"/>
      <c r="AVO7" s="32"/>
      <c r="AVP7" s="31"/>
      <c r="AVQ7" s="31" t="s">
        <v>81</v>
      </c>
      <c r="AVR7" s="30"/>
      <c r="AVS7" s="33" t="s">
        <v>246</v>
      </c>
      <c r="AVT7" s="32"/>
      <c r="AVU7" s="32"/>
      <c r="AVV7" s="31" t="s">
        <v>81</v>
      </c>
      <c r="AVW7" s="31"/>
      <c r="AVX7" s="30" t="s">
        <v>74</v>
      </c>
      <c r="AVY7" s="30"/>
      <c r="AVZ7" s="32"/>
      <c r="AWA7" s="32"/>
      <c r="AWB7" s="31"/>
      <c r="AWC7" s="31"/>
      <c r="AWD7" s="30"/>
      <c r="AWE7" s="30" t="s">
        <v>74</v>
      </c>
      <c r="AWF7" s="32"/>
      <c r="AWG7" s="32"/>
      <c r="AWH7" s="31"/>
      <c r="AWI7" s="31"/>
      <c r="AWJ7" s="30" t="s">
        <v>41</v>
      </c>
      <c r="AWK7" s="30"/>
      <c r="AWL7" s="32" t="s">
        <v>289</v>
      </c>
      <c r="AWM7" s="32"/>
      <c r="AWN7" s="31"/>
      <c r="AWO7" s="31"/>
      <c r="AWP7" s="30"/>
      <c r="AWQ7" s="30"/>
      <c r="AWR7" s="32"/>
      <c r="AWS7" s="33" t="s">
        <v>36</v>
      </c>
      <c r="AWT7" s="31"/>
      <c r="AWU7" s="31"/>
      <c r="AWV7" s="30" t="s">
        <v>587</v>
      </c>
      <c r="AWW7" s="30"/>
      <c r="AWX7" s="32"/>
      <c r="AWY7" s="32"/>
      <c r="AWZ7" s="31" t="s">
        <v>205</v>
      </c>
      <c r="AXA7" s="31"/>
      <c r="AXB7" s="30"/>
      <c r="AXC7" s="30"/>
      <c r="AXD7" s="32"/>
      <c r="AXE7" s="32"/>
      <c r="AXF7" s="31"/>
      <c r="AXG7" s="31" t="s">
        <v>271</v>
      </c>
      <c r="AXH7" s="30"/>
      <c r="AXI7" s="30" t="s">
        <v>205</v>
      </c>
      <c r="AXJ7" s="32"/>
      <c r="AXK7" s="32"/>
      <c r="AXL7" s="31" t="s">
        <v>271</v>
      </c>
      <c r="AXM7" s="31"/>
      <c r="AXN7" s="30" t="s">
        <v>185</v>
      </c>
      <c r="AXO7" s="30"/>
      <c r="AXP7" s="32"/>
      <c r="AXQ7" s="32"/>
      <c r="AXR7" s="31"/>
      <c r="AXS7" s="31"/>
      <c r="AXT7" s="30"/>
      <c r="AXU7" s="30" t="s">
        <v>59</v>
      </c>
      <c r="AXV7" s="32"/>
      <c r="AXW7" s="32" t="s">
        <v>69</v>
      </c>
      <c r="AXX7" s="31"/>
      <c r="AXY7" s="31"/>
      <c r="AXZ7" s="30"/>
      <c r="AYA7" s="30"/>
      <c r="AYB7" s="32"/>
      <c r="AYC7" s="32"/>
      <c r="AYD7" s="31"/>
      <c r="AYE7" s="31"/>
      <c r="AYF7" s="30"/>
      <c r="AYG7" s="30"/>
      <c r="AYH7" s="32"/>
      <c r="AYI7" s="32"/>
      <c r="AYJ7" s="31" t="s">
        <v>606</v>
      </c>
      <c r="AYK7" s="31"/>
      <c r="AYL7" s="30"/>
      <c r="AYM7" s="30"/>
      <c r="AYN7" s="32"/>
      <c r="AYO7" s="32"/>
      <c r="AYP7" s="31"/>
      <c r="AYQ7" s="31"/>
      <c r="AYR7" s="30"/>
      <c r="AYS7" s="30"/>
      <c r="AYT7" s="32"/>
      <c r="AYU7" s="32"/>
      <c r="AYV7" s="31"/>
      <c r="AYW7" s="31"/>
      <c r="AYX7" s="30"/>
      <c r="AYY7" s="30"/>
      <c r="AYZ7" s="32"/>
      <c r="AZA7" s="32"/>
      <c r="AZB7" s="31"/>
      <c r="AZC7" s="31"/>
      <c r="AZD7" s="41"/>
      <c r="AZE7" s="30"/>
      <c r="AZF7" s="32"/>
      <c r="AZG7" s="32"/>
      <c r="AZH7" s="31"/>
      <c r="AZI7" s="31"/>
      <c r="AZJ7" s="30"/>
      <c r="AZK7" s="30"/>
      <c r="AZL7" s="32"/>
      <c r="AZM7" s="32"/>
      <c r="AZN7" s="31"/>
      <c r="AZO7" s="31"/>
      <c r="AZP7" s="30"/>
      <c r="AZQ7" s="30"/>
      <c r="AZR7" s="32"/>
      <c r="AZS7" s="32"/>
      <c r="AZT7" s="31"/>
      <c r="AZU7" s="31"/>
      <c r="AZV7" s="30"/>
      <c r="AZW7" s="30"/>
      <c r="AZX7" s="32"/>
      <c r="AZY7" s="32"/>
      <c r="AZZ7" s="31"/>
      <c r="BAA7" s="40" t="s">
        <v>81</v>
      </c>
      <c r="BAB7" s="30"/>
      <c r="BAC7" s="30"/>
      <c r="BAD7" s="32"/>
      <c r="BAE7" s="32"/>
      <c r="BAF7" s="31" t="s">
        <v>59</v>
      </c>
      <c r="BAG7" s="31"/>
      <c r="BAH7" s="30"/>
      <c r="BAI7" s="30"/>
      <c r="BAJ7" s="32"/>
      <c r="BAK7" s="32"/>
      <c r="BAL7" s="31"/>
      <c r="BAM7" s="31"/>
      <c r="BAN7" s="30"/>
      <c r="BAO7" s="30"/>
      <c r="BAP7" s="32"/>
      <c r="BAQ7" s="32"/>
      <c r="BAR7" s="31"/>
      <c r="BAS7" s="31"/>
      <c r="BAT7" s="30"/>
      <c r="BAU7" s="30"/>
      <c r="BAV7" s="32"/>
      <c r="BAW7" s="32"/>
      <c r="BAX7" s="31"/>
      <c r="BAY7" s="31"/>
      <c r="BAZ7" s="30"/>
      <c r="BBA7" s="30"/>
      <c r="BBB7" s="32"/>
      <c r="BBC7" s="32"/>
      <c r="BBD7" s="31"/>
      <c r="BBE7" s="31"/>
      <c r="BBF7" s="30"/>
      <c r="BBG7" s="30"/>
      <c r="BBH7" s="32"/>
      <c r="BBI7" s="32"/>
      <c r="BBJ7" s="31"/>
      <c r="BBK7" s="31"/>
      <c r="BBL7" s="30"/>
      <c r="BBM7" s="30"/>
      <c r="BBN7" s="32"/>
      <c r="BBO7" s="32"/>
      <c r="BBP7" s="31"/>
      <c r="BBQ7" s="31"/>
      <c r="BBR7" s="30"/>
      <c r="BBS7" s="30"/>
      <c r="BBT7" s="32"/>
      <c r="BBU7" s="32"/>
      <c r="BBV7" s="31"/>
      <c r="BBW7" s="31"/>
      <c r="BBX7" s="30"/>
      <c r="BBY7" s="30"/>
      <c r="BBZ7" s="32"/>
      <c r="BCA7" s="32"/>
      <c r="BCB7" s="31"/>
      <c r="BCC7" s="31"/>
      <c r="BCD7" s="30"/>
      <c r="BCE7" s="30"/>
      <c r="BCF7" s="32"/>
      <c r="BCG7" s="32"/>
      <c r="BCH7" s="31"/>
      <c r="BCI7" s="31"/>
      <c r="BCJ7" s="30"/>
      <c r="BCK7" s="30"/>
      <c r="BCL7" s="32"/>
      <c r="BCM7" s="32"/>
      <c r="BCN7" s="31"/>
      <c r="BCO7" s="31"/>
      <c r="BCP7" s="30"/>
      <c r="BCQ7" s="30"/>
    </row>
    <row r="8" spans="1:1447">
      <c r="A8" s="30"/>
      <c r="B8" s="30"/>
      <c r="C8" s="31"/>
      <c r="D8" s="31"/>
      <c r="E8" s="32"/>
      <c r="F8" s="32"/>
      <c r="G8" s="30"/>
      <c r="H8" s="30"/>
      <c r="I8" s="31"/>
      <c r="J8" s="31"/>
      <c r="K8" s="32"/>
      <c r="L8" s="32"/>
      <c r="M8" s="30"/>
      <c r="N8" s="30"/>
      <c r="O8" s="31"/>
      <c r="P8" s="31"/>
      <c r="Q8" s="32"/>
      <c r="R8" s="32"/>
      <c r="S8" s="30"/>
      <c r="T8" s="30"/>
      <c r="U8" s="31"/>
      <c r="V8" s="31"/>
      <c r="W8" s="32"/>
      <c r="X8" s="32"/>
      <c r="Y8" s="30"/>
      <c r="Z8" s="30"/>
      <c r="AA8" s="31"/>
      <c r="AB8" s="31"/>
      <c r="AC8" s="32"/>
      <c r="AD8" s="32"/>
      <c r="AE8" s="30"/>
      <c r="AF8" s="30"/>
      <c r="AG8" s="31"/>
      <c r="AH8" s="31"/>
      <c r="AI8" s="32"/>
      <c r="AJ8" s="32"/>
      <c r="AK8" s="30"/>
      <c r="AL8" s="30"/>
      <c r="AM8" s="31"/>
      <c r="AN8" s="31"/>
      <c r="AO8" s="32"/>
      <c r="AP8" s="32"/>
      <c r="AQ8" s="30"/>
      <c r="AR8" s="30"/>
      <c r="AS8" s="31"/>
      <c r="AT8" s="31"/>
      <c r="AU8" s="32"/>
      <c r="AV8" s="32"/>
      <c r="AW8" s="30"/>
      <c r="AX8" s="30"/>
      <c r="AY8" s="31"/>
      <c r="AZ8" s="31"/>
      <c r="BA8" s="32"/>
      <c r="BB8" s="32"/>
      <c r="BC8" s="30"/>
      <c r="BD8" s="30"/>
      <c r="BE8" s="31"/>
      <c r="BF8" s="31"/>
      <c r="BG8" s="32"/>
      <c r="BH8" s="32"/>
      <c r="BI8" s="30"/>
      <c r="BJ8" s="30" t="s">
        <v>600</v>
      </c>
      <c r="BK8" s="31"/>
      <c r="BL8" s="31"/>
      <c r="BM8" s="32"/>
      <c r="BN8" s="32"/>
      <c r="BO8" s="30"/>
      <c r="BP8" s="30"/>
      <c r="BQ8" s="31"/>
      <c r="BR8" s="31"/>
      <c r="BS8" s="32"/>
      <c r="BT8" s="32"/>
      <c r="BU8" s="30"/>
      <c r="BV8" s="30"/>
      <c r="BW8" s="31"/>
      <c r="BX8" s="31"/>
      <c r="BY8" s="32"/>
      <c r="BZ8" s="32"/>
      <c r="CA8" s="30"/>
      <c r="CB8" s="30"/>
      <c r="CC8" s="31"/>
      <c r="CD8" s="31"/>
      <c r="CE8" s="32"/>
      <c r="CF8" s="32"/>
      <c r="CG8" s="30"/>
      <c r="CH8" s="30"/>
      <c r="CI8" s="31"/>
      <c r="CJ8" s="31" t="s">
        <v>185</v>
      </c>
      <c r="CK8" s="32"/>
      <c r="CL8" s="32"/>
      <c r="CM8" s="30"/>
      <c r="CN8" s="30"/>
      <c r="CO8" s="31"/>
      <c r="CP8" s="31"/>
      <c r="CQ8" s="32" t="s">
        <v>22</v>
      </c>
      <c r="CR8" s="32"/>
      <c r="CS8" s="30"/>
      <c r="CT8" s="30"/>
      <c r="CU8" s="31"/>
      <c r="CV8" s="31"/>
      <c r="CW8" s="32"/>
      <c r="CX8" s="32"/>
      <c r="CY8" s="30"/>
      <c r="CZ8" s="30"/>
      <c r="DA8" s="31"/>
      <c r="DB8" s="31"/>
      <c r="DC8" s="32"/>
      <c r="DD8" s="32"/>
      <c r="DE8" s="30"/>
      <c r="DF8" s="30"/>
      <c r="DG8" s="31"/>
      <c r="DH8" s="31"/>
      <c r="DI8" s="32"/>
      <c r="DJ8" s="32"/>
      <c r="DK8" s="30"/>
      <c r="DL8" s="30"/>
      <c r="DM8" s="31"/>
      <c r="DN8" s="31"/>
      <c r="DO8" s="32"/>
      <c r="DP8" s="32"/>
      <c r="DQ8" s="30"/>
      <c r="DR8" s="30"/>
      <c r="DS8" s="31"/>
      <c r="DT8" s="31"/>
      <c r="DU8" s="32"/>
      <c r="DV8" s="32"/>
      <c r="DW8" s="30"/>
      <c r="DX8" s="30"/>
      <c r="DY8" s="31"/>
      <c r="DZ8" s="31"/>
      <c r="EA8" s="32"/>
      <c r="EB8" s="32"/>
      <c r="EC8" s="30"/>
      <c r="ED8" s="30"/>
      <c r="EE8" s="31"/>
      <c r="EF8" s="31"/>
      <c r="EG8" s="32"/>
      <c r="EH8" s="32"/>
      <c r="EI8" s="30"/>
      <c r="EJ8" s="30"/>
      <c r="EK8" s="31"/>
      <c r="EL8" s="31"/>
      <c r="EM8" s="32"/>
      <c r="EN8" s="32"/>
      <c r="EO8" s="30"/>
      <c r="EP8" s="30"/>
      <c r="EQ8" s="31"/>
      <c r="ER8" s="31" t="s">
        <v>448</v>
      </c>
      <c r="ES8" s="32"/>
      <c r="ET8" s="32" t="s">
        <v>28</v>
      </c>
      <c r="EU8" s="30"/>
      <c r="EV8" s="30"/>
      <c r="EW8" s="31"/>
      <c r="EX8" s="33" t="s">
        <v>59</v>
      </c>
      <c r="EY8" s="32"/>
      <c r="EZ8" s="32" t="s">
        <v>319</v>
      </c>
      <c r="FA8" s="30"/>
      <c r="FB8" s="30"/>
      <c r="FC8" s="31"/>
      <c r="FD8" s="31"/>
      <c r="FE8" s="33" t="s">
        <v>448</v>
      </c>
      <c r="FF8" s="32" t="s">
        <v>300</v>
      </c>
      <c r="FG8" s="30"/>
      <c r="FH8" s="30"/>
      <c r="FI8" s="33" t="s">
        <v>588</v>
      </c>
      <c r="FJ8" s="32"/>
      <c r="FK8" s="30" t="s">
        <v>598</v>
      </c>
      <c r="FL8" s="30"/>
      <c r="FM8" s="31" t="s">
        <v>173</v>
      </c>
      <c r="FN8" s="31"/>
      <c r="FO8" s="32"/>
      <c r="FP8" s="32"/>
      <c r="FQ8" s="30"/>
      <c r="FR8" s="30"/>
      <c r="FS8" s="31"/>
      <c r="FT8" s="31"/>
      <c r="FU8" s="32"/>
      <c r="FV8" s="32"/>
      <c r="FW8" s="30"/>
      <c r="FX8" s="30"/>
      <c r="FY8" s="31"/>
      <c r="FZ8" s="31"/>
      <c r="GA8" s="32"/>
      <c r="GB8" s="32"/>
      <c r="GC8" s="30"/>
      <c r="GD8" s="30"/>
      <c r="GE8" s="31"/>
      <c r="GF8" s="31"/>
      <c r="GG8" s="32"/>
      <c r="GH8" s="32"/>
      <c r="GI8" s="30"/>
      <c r="GJ8" s="30"/>
      <c r="GK8" s="31"/>
      <c r="GL8" s="31"/>
      <c r="GM8" s="32"/>
      <c r="GN8" s="32"/>
      <c r="GO8" s="30"/>
      <c r="GP8" s="30"/>
      <c r="GQ8" s="31"/>
      <c r="GR8" s="31"/>
      <c r="GS8" s="32"/>
      <c r="GT8" s="32"/>
      <c r="GU8" s="30"/>
      <c r="GV8" s="30"/>
      <c r="GW8" s="31"/>
      <c r="GX8" s="31"/>
      <c r="GY8" s="32"/>
      <c r="GZ8" s="32"/>
      <c r="HA8" s="30"/>
      <c r="HB8" s="30"/>
      <c r="HC8" s="31"/>
      <c r="HD8" s="31"/>
      <c r="HE8" s="32"/>
      <c r="HF8" s="32" t="s">
        <v>81</v>
      </c>
      <c r="HG8" s="30"/>
      <c r="HH8" s="30" t="s">
        <v>238</v>
      </c>
      <c r="HI8" s="31"/>
      <c r="HJ8" s="31"/>
      <c r="HK8" s="32"/>
      <c r="HL8" s="32"/>
      <c r="HM8" s="30" t="s">
        <v>54</v>
      </c>
      <c r="HN8" s="30"/>
      <c r="HO8" s="31"/>
      <c r="HP8" s="31"/>
      <c r="HQ8" s="32"/>
      <c r="HR8" s="32"/>
      <c r="HS8" s="30"/>
      <c r="HT8" s="30" t="s">
        <v>124</v>
      </c>
      <c r="HU8" s="31"/>
      <c r="HV8" s="33" t="s">
        <v>41</v>
      </c>
      <c r="HW8" s="32"/>
      <c r="HX8" s="32"/>
      <c r="HY8" s="30"/>
      <c r="HZ8" s="30"/>
      <c r="IA8" s="31"/>
      <c r="IB8" s="31"/>
      <c r="IC8" s="32"/>
      <c r="ID8" s="32"/>
      <c r="IE8" s="30"/>
      <c r="IF8" s="30"/>
      <c r="IG8" s="31"/>
      <c r="IH8" s="31"/>
      <c r="II8" s="32"/>
      <c r="IJ8" s="32" t="s">
        <v>589</v>
      </c>
      <c r="IK8" s="30"/>
      <c r="IL8" s="30"/>
      <c r="IM8" s="31"/>
      <c r="IN8" s="31"/>
      <c r="IO8" s="32" t="s">
        <v>74</v>
      </c>
      <c r="IP8" s="32"/>
      <c r="IQ8" s="30" t="s">
        <v>46</v>
      </c>
      <c r="IR8" s="30"/>
      <c r="IS8" s="31"/>
      <c r="IT8" s="33" t="s">
        <v>94</v>
      </c>
      <c r="IU8" s="32"/>
      <c r="IV8" s="32" t="s">
        <v>176</v>
      </c>
      <c r="IW8" s="30"/>
      <c r="IX8" s="30"/>
      <c r="IY8" s="31"/>
      <c r="IZ8" s="31" t="s">
        <v>81</v>
      </c>
      <c r="JA8" s="33" t="s">
        <v>448</v>
      </c>
      <c r="JB8" s="32"/>
      <c r="JC8" s="30" t="s">
        <v>584</v>
      </c>
      <c r="JD8" s="30"/>
      <c r="JE8" s="31"/>
      <c r="JF8" s="31"/>
      <c r="JG8" s="32"/>
      <c r="JH8" s="32" t="s">
        <v>176</v>
      </c>
      <c r="JI8" s="30"/>
      <c r="JJ8" s="30" t="s">
        <v>587</v>
      </c>
      <c r="JK8" s="31"/>
      <c r="JL8" s="31"/>
      <c r="JM8" s="33" t="s">
        <v>451</v>
      </c>
      <c r="JN8" s="32"/>
      <c r="JO8" s="30" t="s">
        <v>368</v>
      </c>
      <c r="JP8" s="30"/>
      <c r="JQ8" s="31" t="s">
        <v>584</v>
      </c>
      <c r="JR8" s="31"/>
      <c r="JS8" s="32" t="s">
        <v>185</v>
      </c>
      <c r="JT8" s="32"/>
      <c r="JU8" s="30"/>
      <c r="JV8" s="30"/>
      <c r="JW8" s="31" t="s">
        <v>583</v>
      </c>
      <c r="JX8" s="31" t="s">
        <v>54</v>
      </c>
      <c r="JY8" s="32"/>
      <c r="JZ8" s="32" t="s">
        <v>592</v>
      </c>
      <c r="KA8" s="30"/>
      <c r="KB8" s="33" t="s">
        <v>46</v>
      </c>
      <c r="KC8" s="31" t="s">
        <v>185</v>
      </c>
      <c r="KD8" s="31"/>
      <c r="KE8" s="33" t="s">
        <v>94</v>
      </c>
      <c r="KF8" s="32"/>
      <c r="KG8" s="30"/>
      <c r="KH8" s="30"/>
      <c r="KI8" s="31"/>
      <c r="KJ8" s="31"/>
      <c r="KK8" s="32"/>
      <c r="KL8" s="32" t="s">
        <v>173</v>
      </c>
      <c r="KM8" s="30"/>
      <c r="KN8" s="33" t="s">
        <v>54</v>
      </c>
      <c r="KO8" s="31"/>
      <c r="KP8" s="31"/>
      <c r="KQ8" s="32" t="s">
        <v>176</v>
      </c>
      <c r="KR8" s="32"/>
      <c r="KS8" s="33" t="s">
        <v>238</v>
      </c>
      <c r="KT8" s="30" t="s">
        <v>601</v>
      </c>
      <c r="KU8" s="31"/>
      <c r="KV8" s="31"/>
      <c r="KW8" s="32"/>
      <c r="KX8" s="32" t="s">
        <v>173</v>
      </c>
      <c r="KY8" s="30"/>
      <c r="KZ8" s="30" t="s">
        <v>594</v>
      </c>
      <c r="LA8" s="33" t="s">
        <v>176</v>
      </c>
      <c r="LB8" s="31"/>
      <c r="LC8" s="33" t="s">
        <v>36</v>
      </c>
      <c r="LD8" s="33" t="s">
        <v>22</v>
      </c>
      <c r="LE8" s="33" t="s">
        <v>94</v>
      </c>
      <c r="LF8" s="30"/>
      <c r="LG8" s="31" t="s">
        <v>164</v>
      </c>
      <c r="LH8" s="31"/>
      <c r="LI8" s="32"/>
      <c r="LJ8" s="32"/>
      <c r="LK8" s="30"/>
      <c r="LL8" s="30"/>
      <c r="LM8" s="31"/>
      <c r="LN8" s="33" t="s">
        <v>581</v>
      </c>
      <c r="LO8" s="32"/>
      <c r="LP8" s="32"/>
      <c r="LQ8" s="33" t="s">
        <v>22</v>
      </c>
      <c r="LR8" s="33" t="s">
        <v>46</v>
      </c>
      <c r="LS8" s="33" t="s">
        <v>74</v>
      </c>
      <c r="LT8" s="33" t="s">
        <v>363</v>
      </c>
      <c r="LU8" s="32" t="s">
        <v>81</v>
      </c>
      <c r="LV8" s="32"/>
      <c r="LW8" s="30"/>
      <c r="LX8" s="30"/>
      <c r="LY8" s="31"/>
      <c r="LZ8" s="31"/>
      <c r="MA8" s="32"/>
      <c r="MB8" s="32"/>
      <c r="MC8" s="30" t="s">
        <v>389</v>
      </c>
      <c r="MD8" s="33" t="s">
        <v>33</v>
      </c>
      <c r="ME8" s="33" t="s">
        <v>185</v>
      </c>
      <c r="MF8" s="33" t="s">
        <v>74</v>
      </c>
      <c r="MG8" s="32" t="s">
        <v>596</v>
      </c>
      <c r="MH8" s="32"/>
      <c r="MI8" s="30" t="s">
        <v>599</v>
      </c>
      <c r="MJ8" s="33" t="s">
        <v>598</v>
      </c>
      <c r="MK8" s="40" t="s">
        <v>319</v>
      </c>
      <c r="ML8" s="31" t="s">
        <v>59</v>
      </c>
      <c r="MM8" s="32" t="s">
        <v>584</v>
      </c>
      <c r="MN8" s="32"/>
      <c r="MO8" s="33" t="s">
        <v>79</v>
      </c>
      <c r="MP8" s="33" t="s">
        <v>74</v>
      </c>
      <c r="MQ8" s="31" t="s">
        <v>593</v>
      </c>
      <c r="MR8" s="31"/>
      <c r="MS8" s="32"/>
      <c r="MT8" s="32"/>
      <c r="MU8" s="30" t="s">
        <v>46</v>
      </c>
      <c r="MV8" s="30"/>
      <c r="MW8" s="31" t="s">
        <v>590</v>
      </c>
      <c r="MX8" s="31"/>
      <c r="MY8" s="32"/>
      <c r="MZ8" s="32"/>
      <c r="NA8" s="30"/>
      <c r="NB8" s="30"/>
      <c r="NC8" s="31"/>
      <c r="ND8" s="31" t="s">
        <v>173</v>
      </c>
      <c r="NE8" s="32"/>
      <c r="NF8" s="32"/>
      <c r="NG8" s="30"/>
      <c r="NH8" s="30"/>
      <c r="NI8" s="31"/>
      <c r="NJ8" s="31"/>
      <c r="NK8" s="32" t="s">
        <v>54</v>
      </c>
      <c r="NL8" s="32"/>
      <c r="NM8" s="30"/>
      <c r="NN8" s="30"/>
      <c r="NO8" s="31"/>
      <c r="NP8" s="31"/>
      <c r="NQ8" s="32"/>
      <c r="NR8" s="39" t="s">
        <v>608</v>
      </c>
      <c r="NS8" s="30"/>
      <c r="NT8" s="30"/>
      <c r="NU8" s="31"/>
      <c r="NV8" s="31"/>
      <c r="NW8" s="32"/>
      <c r="NX8" s="32"/>
      <c r="NY8" s="30" t="s">
        <v>300</v>
      </c>
      <c r="NZ8" s="30"/>
      <c r="OA8" s="31"/>
      <c r="OB8" s="31"/>
      <c r="OC8" s="32"/>
      <c r="OD8" s="32"/>
      <c r="OE8" s="30"/>
      <c r="OF8" s="30" t="s">
        <v>36</v>
      </c>
      <c r="OG8" s="31"/>
      <c r="OH8" s="31"/>
      <c r="OI8" s="32"/>
      <c r="OJ8" s="32"/>
      <c r="OK8" s="30" t="s">
        <v>59</v>
      </c>
      <c r="OL8" s="30"/>
      <c r="OM8" s="31"/>
      <c r="ON8" s="31"/>
      <c r="OO8" s="32"/>
      <c r="OP8" s="32"/>
      <c r="OQ8" s="30"/>
      <c r="OR8" s="30"/>
      <c r="OS8" s="31"/>
      <c r="OT8" s="31" t="s">
        <v>81</v>
      </c>
      <c r="OU8" s="32"/>
      <c r="OV8" s="32"/>
      <c r="OW8" s="30"/>
      <c r="OX8" s="30"/>
      <c r="OY8" s="31"/>
      <c r="OZ8" s="31"/>
      <c r="PA8" s="32"/>
      <c r="PB8" s="32"/>
      <c r="PC8" s="30"/>
      <c r="PD8" s="30"/>
      <c r="PE8" s="31"/>
      <c r="PF8" s="31"/>
      <c r="PG8" s="32"/>
      <c r="PH8" s="32"/>
      <c r="PI8" s="30"/>
      <c r="PJ8" s="30"/>
      <c r="PK8" s="31"/>
      <c r="PL8" s="31"/>
      <c r="PM8" s="32"/>
      <c r="PN8" s="32"/>
      <c r="PO8" s="30"/>
      <c r="PP8" s="30"/>
      <c r="PQ8" s="31"/>
      <c r="PR8" s="31"/>
      <c r="PS8" s="32"/>
      <c r="PT8" s="32"/>
      <c r="PU8" s="30"/>
      <c r="PV8" s="30" t="s">
        <v>176</v>
      </c>
      <c r="PW8" s="31"/>
      <c r="PX8" s="31"/>
      <c r="PY8" s="32"/>
      <c r="PZ8" s="32"/>
      <c r="QA8" s="30"/>
      <c r="QB8" s="30"/>
      <c r="QC8" s="31"/>
      <c r="QD8" s="31"/>
      <c r="QE8" s="32"/>
      <c r="QF8" s="32"/>
      <c r="QG8" s="30"/>
      <c r="QH8" s="30"/>
      <c r="QI8" s="31"/>
      <c r="QJ8" s="31"/>
      <c r="QK8" s="32"/>
      <c r="QL8" s="32" t="s">
        <v>583</v>
      </c>
      <c r="QM8" s="30"/>
      <c r="QN8" s="30" t="s">
        <v>94</v>
      </c>
      <c r="QO8" s="31"/>
      <c r="QP8" s="31"/>
      <c r="QQ8" s="34" t="s">
        <v>594</v>
      </c>
      <c r="QR8" s="32"/>
      <c r="QS8" s="30" t="s">
        <v>271</v>
      </c>
      <c r="QT8" s="30"/>
      <c r="QU8" s="31"/>
      <c r="QV8" s="31"/>
      <c r="QW8" s="32"/>
      <c r="QX8" s="32"/>
      <c r="QY8" s="30"/>
      <c r="QZ8" s="30" t="s">
        <v>238</v>
      </c>
      <c r="RA8" s="31"/>
      <c r="RB8" s="31"/>
      <c r="RC8" s="32"/>
      <c r="RD8" s="32"/>
      <c r="RE8" s="30" t="s">
        <v>238</v>
      </c>
      <c r="RF8" s="30"/>
      <c r="RG8" s="31"/>
      <c r="RH8" s="31"/>
      <c r="RI8" s="32"/>
      <c r="RJ8" s="32"/>
      <c r="RK8" s="30"/>
      <c r="RL8" s="30"/>
      <c r="RM8" s="31"/>
      <c r="RN8" s="31"/>
      <c r="RO8" s="32"/>
      <c r="RP8" s="32"/>
      <c r="RQ8" s="30" t="s">
        <v>271</v>
      </c>
      <c r="RR8" s="30"/>
      <c r="RS8" s="31"/>
      <c r="RT8" s="31"/>
      <c r="RU8" s="32"/>
      <c r="RV8" s="32"/>
      <c r="RW8" s="30"/>
      <c r="RX8" s="30"/>
      <c r="RY8" s="31"/>
      <c r="RZ8" s="31"/>
      <c r="SA8" s="32"/>
      <c r="SB8" s="32"/>
      <c r="SC8" s="30"/>
      <c r="SD8" s="30"/>
      <c r="SE8" s="31"/>
      <c r="SF8" s="31"/>
      <c r="SG8" s="32"/>
      <c r="SH8" s="32"/>
      <c r="SI8" s="30"/>
      <c r="SJ8" s="30"/>
      <c r="SK8" s="30" t="s">
        <v>81</v>
      </c>
      <c r="SL8" s="31"/>
      <c r="SM8" s="31"/>
      <c r="SN8" s="32"/>
      <c r="SO8" s="32" t="s">
        <v>581</v>
      </c>
      <c r="SP8" s="30"/>
      <c r="SQ8" s="30" t="s">
        <v>59</v>
      </c>
      <c r="SR8" s="31"/>
      <c r="SS8" s="31"/>
      <c r="ST8" s="32" t="s">
        <v>300</v>
      </c>
      <c r="SU8" s="32"/>
      <c r="SV8" s="30"/>
      <c r="SW8" s="30"/>
      <c r="SX8" s="31"/>
      <c r="SY8" s="31"/>
      <c r="SZ8" s="32"/>
      <c r="TA8" s="32"/>
      <c r="TB8" s="30"/>
      <c r="TC8" s="30" t="s">
        <v>363</v>
      </c>
      <c r="TD8" s="31"/>
      <c r="TE8" s="33" t="s">
        <v>448</v>
      </c>
      <c r="TF8" s="32"/>
      <c r="TG8" s="33" t="s">
        <v>79</v>
      </c>
      <c r="TH8" s="30" t="s">
        <v>94</v>
      </c>
      <c r="TI8" s="30"/>
      <c r="TJ8" s="33" t="s">
        <v>124</v>
      </c>
      <c r="TK8" s="31"/>
      <c r="TL8" s="32"/>
      <c r="TM8" s="32"/>
      <c r="TN8" s="30"/>
      <c r="TO8" s="30" t="s">
        <v>94</v>
      </c>
      <c r="TP8" s="31"/>
      <c r="TQ8" s="31" t="s">
        <v>594</v>
      </c>
      <c r="TR8" s="32"/>
      <c r="TS8" s="32"/>
      <c r="TT8" s="30" t="s">
        <v>79</v>
      </c>
      <c r="TU8" s="30"/>
      <c r="TV8" s="31" t="s">
        <v>594</v>
      </c>
      <c r="TW8" s="31"/>
      <c r="TX8" s="32"/>
      <c r="TY8" s="32"/>
      <c r="TZ8" s="30"/>
      <c r="UA8" s="30"/>
      <c r="UB8" s="31"/>
      <c r="UC8" s="31"/>
      <c r="UD8" s="32"/>
      <c r="UE8" s="32" t="s">
        <v>584</v>
      </c>
      <c r="UF8" s="30"/>
      <c r="UG8" s="30"/>
      <c r="UH8" s="31"/>
      <c r="UI8" s="31"/>
      <c r="UJ8" s="32" t="s">
        <v>300</v>
      </c>
      <c r="UK8" s="32"/>
      <c r="UL8" s="30" t="s">
        <v>164</v>
      </c>
      <c r="UM8" s="30"/>
      <c r="UN8" s="31"/>
      <c r="UO8" s="31"/>
      <c r="UP8" s="32"/>
      <c r="UQ8" s="32"/>
      <c r="UR8" s="30"/>
      <c r="US8" s="30" t="s">
        <v>603</v>
      </c>
      <c r="UT8" s="31"/>
      <c r="UU8" s="31"/>
      <c r="UV8" s="32" t="s">
        <v>46</v>
      </c>
      <c r="UW8" s="32"/>
      <c r="UX8" s="30"/>
      <c r="UY8" s="30"/>
      <c r="UZ8" s="33" t="s">
        <v>59</v>
      </c>
      <c r="VA8" s="31"/>
      <c r="VB8" s="32"/>
      <c r="VC8" s="32"/>
      <c r="VD8" s="30"/>
      <c r="VE8" s="30"/>
      <c r="VF8" s="31"/>
      <c r="VG8" s="31" t="s">
        <v>451</v>
      </c>
      <c r="VH8" s="32"/>
      <c r="VI8" s="32" t="s">
        <v>81</v>
      </c>
      <c r="VJ8" s="30"/>
      <c r="VK8" s="30"/>
      <c r="VL8" s="31" t="s">
        <v>46</v>
      </c>
      <c r="VM8" s="31"/>
      <c r="VN8" s="33" t="s">
        <v>74</v>
      </c>
      <c r="VO8" s="32"/>
      <c r="VP8" s="30"/>
      <c r="VQ8" s="30"/>
      <c r="VR8" s="31"/>
      <c r="VS8" s="31"/>
      <c r="VT8" s="32"/>
      <c r="VU8" s="32"/>
      <c r="VV8" s="30"/>
      <c r="VW8" s="30"/>
      <c r="VX8" s="31"/>
      <c r="VY8" s="31"/>
      <c r="VZ8" s="33" t="s">
        <v>79</v>
      </c>
      <c r="WA8" s="32"/>
      <c r="WB8" s="30"/>
      <c r="WC8" s="30"/>
      <c r="WD8" s="31"/>
      <c r="WE8" s="31"/>
      <c r="WF8" s="32"/>
      <c r="WG8" s="32"/>
      <c r="WH8" s="30"/>
      <c r="WI8" s="30"/>
      <c r="WJ8" s="31"/>
      <c r="WK8" s="31"/>
      <c r="WL8" s="32"/>
      <c r="WM8" s="32"/>
      <c r="WN8" s="30"/>
      <c r="WO8" s="30"/>
      <c r="WP8" s="31"/>
      <c r="WQ8" s="31"/>
      <c r="WR8" s="32"/>
      <c r="WS8" s="32"/>
      <c r="WT8" s="30"/>
      <c r="WU8" s="30"/>
      <c r="WV8" s="31"/>
      <c r="WW8" s="31"/>
      <c r="WX8" s="32"/>
      <c r="WY8" s="32"/>
      <c r="WZ8" s="30"/>
      <c r="XA8" s="30"/>
      <c r="XB8" s="31"/>
      <c r="XC8" s="31"/>
      <c r="XD8" s="32"/>
      <c r="XE8" s="32"/>
      <c r="XF8" s="30"/>
      <c r="XG8" s="30"/>
      <c r="XH8" s="31"/>
      <c r="XI8" s="31"/>
      <c r="XJ8" s="32"/>
      <c r="XK8" s="32"/>
      <c r="XL8" s="30"/>
      <c r="XM8" s="30"/>
      <c r="XN8" s="31"/>
      <c r="XO8" s="31"/>
      <c r="XP8" s="32"/>
      <c r="XQ8" s="32"/>
      <c r="XR8" s="30"/>
      <c r="XS8" s="30"/>
      <c r="XT8" s="31"/>
      <c r="XU8" s="31"/>
      <c r="XV8" s="32"/>
      <c r="XW8" s="32"/>
      <c r="XX8" s="30"/>
      <c r="XY8" s="30"/>
      <c r="XZ8" s="31"/>
      <c r="YA8" s="31" t="s">
        <v>185</v>
      </c>
      <c r="YB8" s="32"/>
      <c r="YC8" s="32"/>
      <c r="YD8" s="30"/>
      <c r="YE8" s="30"/>
      <c r="YF8" s="31" t="s">
        <v>94</v>
      </c>
      <c r="YG8" s="31"/>
      <c r="YH8" s="32"/>
      <c r="YI8" s="32"/>
      <c r="YJ8" s="30"/>
      <c r="YK8" s="30"/>
      <c r="YL8" s="31"/>
      <c r="YM8" s="31"/>
      <c r="YN8" s="32"/>
      <c r="YO8" s="32"/>
      <c r="YP8" s="30"/>
      <c r="YQ8" s="30"/>
      <c r="YR8" s="31"/>
      <c r="YS8" s="31"/>
      <c r="YT8" s="32"/>
      <c r="YU8" s="32"/>
      <c r="YV8" s="30"/>
      <c r="YW8" s="30"/>
      <c r="YX8" s="31"/>
      <c r="YY8" s="31"/>
      <c r="YZ8" s="32"/>
      <c r="ZA8" s="32"/>
      <c r="ZB8" s="30"/>
      <c r="ZC8" s="30"/>
      <c r="ZD8" s="31"/>
      <c r="ZE8" s="31"/>
      <c r="ZF8" s="32"/>
      <c r="ZG8" s="32"/>
      <c r="ZH8" s="30"/>
      <c r="ZI8" s="30"/>
      <c r="ZJ8" s="31"/>
      <c r="ZK8" s="31"/>
      <c r="ZL8" s="32"/>
      <c r="ZM8" s="32"/>
      <c r="ZN8" s="30"/>
      <c r="ZO8" s="30"/>
      <c r="ZP8" s="31"/>
      <c r="ZQ8" s="31"/>
      <c r="ZR8" s="32"/>
      <c r="ZS8" s="32"/>
      <c r="ZT8" s="30"/>
      <c r="ZU8" s="30"/>
      <c r="ZV8" s="31"/>
      <c r="ZW8" s="31"/>
      <c r="ZX8" s="32"/>
      <c r="ZY8" s="32"/>
      <c r="ZZ8" s="30"/>
      <c r="AAA8" s="30"/>
      <c r="AAB8" s="31"/>
      <c r="AAC8" s="31"/>
      <c r="AAD8" s="32"/>
      <c r="AAE8" s="32" t="s">
        <v>593</v>
      </c>
      <c r="AAF8" s="30"/>
      <c r="AAG8" s="30"/>
      <c r="AAH8" s="31"/>
      <c r="AAI8" s="31"/>
      <c r="AAJ8" s="32"/>
      <c r="AAK8" s="32"/>
      <c r="AAL8" s="30"/>
      <c r="AAM8" s="30"/>
      <c r="AAN8" s="31"/>
      <c r="AAO8" s="31"/>
      <c r="AAP8" s="32"/>
      <c r="AAQ8" s="32"/>
      <c r="AAR8" s="30"/>
      <c r="AAS8" s="30"/>
      <c r="AAT8" s="31"/>
      <c r="AAU8" s="31"/>
      <c r="AAV8" s="32"/>
      <c r="AAW8" s="32"/>
      <c r="AAX8" s="30"/>
      <c r="AAY8" s="30"/>
      <c r="AAZ8" s="31"/>
      <c r="ABA8" s="31"/>
      <c r="ABB8" s="32"/>
      <c r="ABC8" s="32"/>
      <c r="ABD8" s="30"/>
      <c r="ABE8" s="30"/>
      <c r="ABF8" s="31"/>
      <c r="ABG8" s="31"/>
      <c r="ABH8" s="32"/>
      <c r="ABI8" s="32"/>
      <c r="ABJ8" s="30"/>
      <c r="ABK8" s="30"/>
      <c r="ABL8" s="31"/>
      <c r="ABM8" s="31"/>
      <c r="ABN8" s="32"/>
      <c r="ABO8" s="32"/>
      <c r="ABP8" s="30"/>
      <c r="ABQ8" s="30"/>
      <c r="ABR8" s="31"/>
      <c r="ABS8" s="31"/>
      <c r="ABT8" s="32"/>
      <c r="ABU8" s="32"/>
      <c r="ABV8" s="30"/>
      <c r="ABW8" s="30"/>
      <c r="ABX8" s="31"/>
      <c r="ABY8" s="31"/>
      <c r="ABZ8" s="32"/>
      <c r="ACA8" s="32"/>
      <c r="ACB8" s="30"/>
      <c r="ACC8" s="30"/>
      <c r="ACD8" s="31"/>
      <c r="ACE8" s="31"/>
      <c r="ACF8" s="32"/>
      <c r="ACG8" s="32"/>
      <c r="ACH8" s="30"/>
      <c r="ACI8" s="30"/>
      <c r="ACJ8" s="31"/>
      <c r="ACK8" s="31"/>
      <c r="ACL8" s="32"/>
      <c r="ACM8" s="32"/>
      <c r="ACN8" s="30"/>
      <c r="ACO8" s="30"/>
      <c r="ACP8" s="31"/>
      <c r="ACQ8" s="31"/>
      <c r="ACR8" s="32"/>
      <c r="ACS8" s="32"/>
      <c r="ACT8" s="30"/>
      <c r="ACU8" s="30"/>
      <c r="ACV8" s="31"/>
      <c r="ACW8" s="31"/>
      <c r="ACX8" s="32"/>
      <c r="ACY8" s="32"/>
      <c r="ACZ8" s="30"/>
      <c r="ADA8" s="30"/>
      <c r="ADB8" s="31"/>
      <c r="ADC8" s="31"/>
      <c r="ADD8" s="32"/>
      <c r="ADE8" s="32"/>
      <c r="ADF8" s="30"/>
      <c r="ADG8" s="30"/>
      <c r="ADH8" s="31"/>
      <c r="ADI8" s="31"/>
      <c r="ADJ8" s="32"/>
      <c r="ADK8" s="32"/>
      <c r="ADL8" s="30"/>
      <c r="ADM8" s="30"/>
      <c r="ADN8" s="31"/>
      <c r="ADO8" s="31"/>
      <c r="ADP8" s="32"/>
      <c r="ADQ8" s="32"/>
      <c r="ADR8" s="30"/>
      <c r="ADS8" s="30"/>
      <c r="ADT8" s="31"/>
      <c r="ADU8" s="31"/>
      <c r="ADV8" s="32"/>
      <c r="ADW8" s="32"/>
      <c r="ADX8" s="30"/>
      <c r="ADY8" s="30"/>
      <c r="ADZ8" s="31"/>
      <c r="AEA8" s="31"/>
      <c r="AEB8" s="32"/>
      <c r="AEC8" s="32"/>
      <c r="AED8" s="30"/>
      <c r="AEE8" s="30"/>
      <c r="AEF8" s="31"/>
      <c r="AEG8" s="31"/>
      <c r="AEH8" s="32"/>
      <c r="AEI8" s="32"/>
      <c r="AEJ8" s="30"/>
      <c r="AEK8" s="30"/>
      <c r="AEL8" s="31"/>
      <c r="AEM8" s="31"/>
      <c r="AEN8" s="32"/>
      <c r="AEO8" s="32"/>
      <c r="AEP8" s="30"/>
      <c r="AEQ8" s="30"/>
      <c r="AER8" s="31"/>
      <c r="AES8" s="31"/>
      <c r="AET8" s="32"/>
      <c r="AEU8" s="32"/>
      <c r="AEV8" s="30"/>
      <c r="AEW8" s="30" t="s">
        <v>64</v>
      </c>
      <c r="AEX8" s="31"/>
      <c r="AEY8" s="31"/>
      <c r="AEZ8" s="32"/>
      <c r="AFA8" s="32"/>
      <c r="AFB8" s="30" t="s">
        <v>41</v>
      </c>
      <c r="AFC8" s="30"/>
      <c r="AFD8" s="33" t="s">
        <v>102</v>
      </c>
      <c r="AFE8" s="31"/>
      <c r="AFF8" s="32"/>
      <c r="AFG8" s="32"/>
      <c r="AFH8" s="30"/>
      <c r="AFI8" s="30"/>
      <c r="AFJ8" s="31"/>
      <c r="AFK8" s="31"/>
      <c r="AFL8" s="32"/>
      <c r="AFM8" s="32"/>
      <c r="AFN8" s="30"/>
      <c r="AFO8" s="30"/>
      <c r="AFP8" s="31"/>
      <c r="AFQ8" s="31"/>
      <c r="AFR8" s="32"/>
      <c r="AFS8" s="32"/>
      <c r="AFT8" s="30"/>
      <c r="AFU8" s="30"/>
      <c r="AFV8" s="31"/>
      <c r="AFW8" s="31"/>
      <c r="AFX8" s="32"/>
      <c r="AFY8" s="32"/>
      <c r="AFZ8" s="30"/>
      <c r="AGA8" s="30"/>
      <c r="AGB8" s="31"/>
      <c r="AGC8" s="31"/>
      <c r="AGD8" s="32"/>
      <c r="AGE8" s="32"/>
      <c r="AGF8" s="30"/>
      <c r="AGG8" s="30"/>
      <c r="AGH8" s="31"/>
      <c r="AGI8" s="31"/>
      <c r="AGJ8" s="32"/>
      <c r="AGK8" s="32"/>
      <c r="AGL8" s="30"/>
      <c r="AGM8" s="30"/>
      <c r="AGN8" s="31"/>
      <c r="AGO8" s="31"/>
      <c r="AGP8" s="32"/>
      <c r="AGQ8" s="32"/>
      <c r="AGR8" s="30"/>
      <c r="AGS8" s="30" t="s">
        <v>271</v>
      </c>
      <c r="AGT8" s="31"/>
      <c r="AGU8" s="31" t="s">
        <v>46</v>
      </c>
      <c r="AGV8" s="32"/>
      <c r="AGW8" s="32"/>
      <c r="AGX8" s="30"/>
      <c r="AGY8" s="30"/>
      <c r="AGZ8" s="31"/>
      <c r="AHA8" s="31"/>
      <c r="AHB8" s="32"/>
      <c r="AHC8" s="32" t="s">
        <v>102</v>
      </c>
      <c r="AHD8" s="30"/>
      <c r="AHE8" s="30"/>
      <c r="AHF8" s="31" t="s">
        <v>86</v>
      </c>
      <c r="AHG8" s="31"/>
      <c r="AHH8" s="32" t="s">
        <v>327</v>
      </c>
      <c r="AHI8" s="32"/>
      <c r="AHJ8" s="30"/>
      <c r="AHK8" s="30"/>
      <c r="AHL8" s="31"/>
      <c r="AHM8" s="31"/>
      <c r="AHN8" s="32"/>
      <c r="AHO8" s="32"/>
      <c r="AHP8" s="30" t="s">
        <v>46</v>
      </c>
      <c r="AHQ8" s="30"/>
      <c r="AHR8" s="31" t="s">
        <v>59</v>
      </c>
      <c r="AHS8" s="31"/>
      <c r="AHT8" s="32" t="s">
        <v>271</v>
      </c>
      <c r="AHU8" s="32"/>
      <c r="AHV8" s="30"/>
      <c r="AHW8" s="30"/>
      <c r="AHX8" s="31"/>
      <c r="AHY8" s="31"/>
      <c r="AHZ8" s="32"/>
      <c r="AIA8" s="32"/>
      <c r="AIB8" s="30"/>
      <c r="AIC8" s="30"/>
      <c r="AID8" s="31"/>
      <c r="AIE8" s="31"/>
      <c r="AIF8" s="32"/>
      <c r="AIG8" s="32"/>
      <c r="AIH8" s="30"/>
      <c r="AII8" s="30"/>
      <c r="AIJ8" s="31"/>
      <c r="AIK8" s="31"/>
      <c r="AIL8" s="32"/>
      <c r="AIM8" s="32"/>
      <c r="AIN8" s="30"/>
      <c r="AIO8" s="30"/>
      <c r="AIP8" s="31"/>
      <c r="AIQ8" s="31"/>
      <c r="AIR8" s="32"/>
      <c r="AIS8" s="32"/>
      <c r="AIT8" s="30"/>
      <c r="AIU8" s="30"/>
      <c r="AIV8" s="31"/>
      <c r="AIW8" s="31"/>
      <c r="AIX8" s="39" t="s">
        <v>81</v>
      </c>
      <c r="AIY8" s="32"/>
      <c r="AIZ8" s="30"/>
      <c r="AJA8" s="30"/>
      <c r="AJB8" s="31"/>
      <c r="AJC8" s="31"/>
      <c r="AJD8" s="32"/>
      <c r="AJE8" s="32"/>
      <c r="AJF8" s="30"/>
      <c r="AJG8" s="30"/>
      <c r="AJH8" s="31"/>
      <c r="AJI8" s="31"/>
      <c r="AJJ8" s="32"/>
      <c r="AJK8" s="32"/>
      <c r="AJL8" s="30"/>
      <c r="AJM8" s="30"/>
      <c r="AJN8" s="31"/>
      <c r="AJO8" s="31"/>
      <c r="AJP8" s="32"/>
      <c r="AJQ8" s="32"/>
      <c r="AJR8" s="30"/>
      <c r="AJS8" s="30"/>
      <c r="AJT8" s="31"/>
      <c r="AJU8" s="31"/>
      <c r="AJV8" s="32"/>
      <c r="AJW8" s="32"/>
      <c r="AJX8" s="30"/>
      <c r="AJY8" s="30"/>
      <c r="AJZ8" s="33" t="s">
        <v>33</v>
      </c>
      <c r="AKA8" s="33" t="s">
        <v>28</v>
      </c>
      <c r="AKB8" s="32"/>
      <c r="AKC8" s="32"/>
      <c r="AKD8" s="30"/>
      <c r="AKE8" s="30"/>
      <c r="AKF8" s="31"/>
      <c r="AKG8" s="31"/>
      <c r="AKH8" s="32"/>
      <c r="AKI8" s="32"/>
      <c r="AKJ8" s="30"/>
      <c r="AKK8" s="30"/>
      <c r="AKL8" s="31"/>
      <c r="AKM8" s="31"/>
      <c r="AKN8" s="32"/>
      <c r="AKO8" s="32"/>
      <c r="AKP8" s="30" t="s">
        <v>79</v>
      </c>
      <c r="AKQ8" s="30"/>
      <c r="AKR8" s="31"/>
      <c r="AKS8" s="31"/>
      <c r="AKT8" s="32"/>
      <c r="AKU8" s="33" t="s">
        <v>319</v>
      </c>
      <c r="AKV8" s="30"/>
      <c r="AKW8" s="30" t="s">
        <v>79</v>
      </c>
      <c r="AKX8" s="31"/>
      <c r="AKY8" s="31" t="s">
        <v>185</v>
      </c>
      <c r="AKZ8" s="32"/>
      <c r="ALA8" s="32"/>
      <c r="ALB8" s="30" t="s">
        <v>319</v>
      </c>
      <c r="ALC8" s="30"/>
      <c r="ALD8" s="31" t="s">
        <v>601</v>
      </c>
      <c r="ALE8" s="31"/>
      <c r="ALF8" s="32"/>
      <c r="ALG8" s="32"/>
      <c r="ALH8" s="30"/>
      <c r="ALI8" s="30"/>
      <c r="ALJ8" s="31"/>
      <c r="ALK8" s="33" t="s">
        <v>176</v>
      </c>
      <c r="ALL8" s="32"/>
      <c r="ALM8" s="32"/>
      <c r="ALN8" s="30" t="s">
        <v>41</v>
      </c>
      <c r="ALO8" s="33" t="s">
        <v>327</v>
      </c>
      <c r="ALP8" s="31"/>
      <c r="ALQ8" s="31"/>
      <c r="ALR8" s="32" t="s">
        <v>448</v>
      </c>
      <c r="ALS8" s="32"/>
      <c r="ALT8" s="30"/>
      <c r="ALU8" s="30"/>
      <c r="ALV8" s="31"/>
      <c r="ALW8" s="31" t="s">
        <v>94</v>
      </c>
      <c r="ALX8" s="32"/>
      <c r="ALY8" s="33" t="s">
        <v>583</v>
      </c>
      <c r="ALZ8" s="30"/>
      <c r="AMA8" s="30"/>
      <c r="AMB8" s="33" t="s">
        <v>64</v>
      </c>
      <c r="AMC8" s="31"/>
      <c r="AMD8" s="33" t="s">
        <v>176</v>
      </c>
      <c r="AME8" s="32"/>
      <c r="AMF8" s="30" t="s">
        <v>41</v>
      </c>
      <c r="AMG8" s="33" t="s">
        <v>583</v>
      </c>
      <c r="AMH8" s="31"/>
      <c r="AMI8" s="31"/>
      <c r="AMJ8" s="32"/>
      <c r="AMK8" s="32"/>
      <c r="AML8" s="30"/>
      <c r="AMM8" s="30" t="s">
        <v>185</v>
      </c>
      <c r="AMN8" s="33" t="s">
        <v>36</v>
      </c>
      <c r="AMO8" s="33" t="s">
        <v>124</v>
      </c>
      <c r="AMP8" s="33" t="s">
        <v>86</v>
      </c>
      <c r="AMQ8" s="33" t="s">
        <v>74</v>
      </c>
      <c r="AMR8" s="30"/>
      <c r="AMS8" s="30"/>
      <c r="AMT8" s="31" t="s">
        <v>124</v>
      </c>
      <c r="AMU8" s="31"/>
      <c r="AMV8" s="32"/>
      <c r="AMW8" s="32"/>
      <c r="AMX8" s="30"/>
      <c r="AMY8" s="33" t="s">
        <v>94</v>
      </c>
      <c r="AMZ8" s="31"/>
      <c r="ANA8" s="31" t="s">
        <v>601</v>
      </c>
      <c r="ANB8" s="32"/>
      <c r="ANC8" s="32"/>
      <c r="AND8" s="33" t="s">
        <v>448</v>
      </c>
      <c r="ANE8" s="30" t="s">
        <v>227</v>
      </c>
      <c r="ANF8" s="31" t="s">
        <v>176</v>
      </c>
      <c r="ANG8" s="31" t="s">
        <v>606</v>
      </c>
      <c r="ANH8" s="33" t="s">
        <v>601</v>
      </c>
      <c r="ANI8" s="33" t="s">
        <v>33</v>
      </c>
      <c r="ANJ8" s="30"/>
      <c r="ANK8" s="30" t="s">
        <v>69</v>
      </c>
      <c r="ANL8" s="31"/>
      <c r="ANM8" s="33" t="s">
        <v>583</v>
      </c>
      <c r="ANN8" s="32"/>
      <c r="ANO8" s="33" t="s">
        <v>314</v>
      </c>
      <c r="ANP8" s="30"/>
      <c r="ANQ8" s="30"/>
      <c r="ANR8" s="31" t="s">
        <v>124</v>
      </c>
      <c r="ANS8" s="33" t="s">
        <v>451</v>
      </c>
      <c r="ANT8" s="32" t="s">
        <v>238</v>
      </c>
      <c r="ANU8" s="33" t="s">
        <v>173</v>
      </c>
      <c r="ANV8" s="30" t="s">
        <v>102</v>
      </c>
      <c r="ANW8" s="30"/>
      <c r="ANX8" s="31"/>
      <c r="ANY8" s="31"/>
      <c r="ANZ8" s="32"/>
      <c r="AOA8" s="32"/>
      <c r="AOB8" s="30"/>
      <c r="AOC8" s="30" t="s">
        <v>289</v>
      </c>
      <c r="AOD8" s="33" t="s">
        <v>451</v>
      </c>
      <c r="AOE8" s="33" t="s">
        <v>94</v>
      </c>
      <c r="AOF8" s="33" t="s">
        <v>300</v>
      </c>
      <c r="AOG8" s="33" t="s">
        <v>54</v>
      </c>
      <c r="AOH8" s="33" t="s">
        <v>28</v>
      </c>
      <c r="AOI8" s="30"/>
      <c r="AOJ8" s="31"/>
      <c r="AOK8" s="31"/>
      <c r="AOL8" s="32"/>
      <c r="AOM8" s="32"/>
      <c r="AON8" s="30"/>
      <c r="AOO8" s="33" t="s">
        <v>46</v>
      </c>
      <c r="AOP8" s="31"/>
      <c r="AOQ8" s="31" t="s">
        <v>596</v>
      </c>
      <c r="AOR8" s="32"/>
      <c r="AOS8" s="32" t="s">
        <v>583</v>
      </c>
      <c r="AOT8" s="30" t="s">
        <v>300</v>
      </c>
      <c r="AOU8" s="30" t="s">
        <v>64</v>
      </c>
      <c r="AOV8" s="31" t="s">
        <v>587</v>
      </c>
      <c r="AOW8" s="31"/>
      <c r="AOX8" s="32" t="s">
        <v>164</v>
      </c>
      <c r="AOY8" s="32"/>
      <c r="AOZ8" s="30"/>
      <c r="APA8" s="30"/>
      <c r="APB8" s="31"/>
      <c r="APC8" s="31" t="s">
        <v>173</v>
      </c>
      <c r="APD8" s="32"/>
      <c r="APE8" s="33" t="s">
        <v>54</v>
      </c>
      <c r="APF8" s="30"/>
      <c r="APG8" s="30" t="s">
        <v>596</v>
      </c>
      <c r="APH8" s="52" t="s">
        <v>592</v>
      </c>
      <c r="API8" s="32" t="s">
        <v>319</v>
      </c>
      <c r="APJ8" s="31" t="s">
        <v>48</v>
      </c>
      <c r="APK8" s="31"/>
      <c r="APL8" s="30" t="s">
        <v>54</v>
      </c>
      <c r="APM8" s="30"/>
      <c r="APN8" s="32" t="s">
        <v>583</v>
      </c>
      <c r="APO8" s="32"/>
      <c r="APP8" s="40" t="s">
        <v>102</v>
      </c>
      <c r="APQ8" s="33" t="s">
        <v>124</v>
      </c>
      <c r="APR8" s="30"/>
      <c r="APS8" s="30" t="s">
        <v>36</v>
      </c>
      <c r="APT8" s="32"/>
      <c r="APU8" s="32"/>
      <c r="APV8" s="31"/>
      <c r="APW8" s="31"/>
      <c r="APX8" s="33" t="s">
        <v>69</v>
      </c>
      <c r="APY8" s="30"/>
      <c r="APZ8" s="32" t="s">
        <v>271</v>
      </c>
      <c r="AQA8" s="32"/>
      <c r="AQB8" s="31"/>
      <c r="AQC8" s="31"/>
      <c r="AQD8" s="30"/>
      <c r="AQE8" s="30" t="s">
        <v>205</v>
      </c>
      <c r="AQF8" s="32"/>
      <c r="AQG8" s="32" t="s">
        <v>271</v>
      </c>
      <c r="AQH8" s="31"/>
      <c r="AQI8" s="31"/>
      <c r="AQJ8" s="30"/>
      <c r="AQK8" s="30"/>
      <c r="AQL8" s="32" t="s">
        <v>271</v>
      </c>
      <c r="AQM8" s="32"/>
      <c r="AQN8" s="31"/>
      <c r="AQO8" s="31"/>
      <c r="AQP8" s="30"/>
      <c r="AQQ8" s="30"/>
      <c r="AQR8" s="32"/>
      <c r="AQS8" s="32"/>
      <c r="AQT8" s="31"/>
      <c r="AQU8" s="31"/>
      <c r="AQV8" s="30"/>
      <c r="AQW8" s="30"/>
      <c r="AQX8" s="32"/>
      <c r="AQY8" s="32"/>
      <c r="AQZ8" s="31"/>
      <c r="ARA8" s="31"/>
      <c r="ARB8" s="30"/>
      <c r="ARC8" s="30"/>
      <c r="ARD8" s="32"/>
      <c r="ARE8" s="32"/>
      <c r="ARF8" s="31"/>
      <c r="ARG8" s="31"/>
      <c r="ARH8" s="30"/>
      <c r="ARI8" s="30"/>
      <c r="ARJ8" s="32"/>
      <c r="ARK8" s="32"/>
      <c r="ARL8" s="31"/>
      <c r="ARM8" s="31"/>
      <c r="ARN8" s="30" t="s">
        <v>164</v>
      </c>
      <c r="ARO8" s="30"/>
      <c r="ARP8" s="32"/>
      <c r="ARQ8" s="32"/>
      <c r="ARR8" s="31"/>
      <c r="ARS8" s="31"/>
      <c r="ART8" s="30"/>
      <c r="ARU8" s="30"/>
      <c r="ARV8" s="32"/>
      <c r="ARW8" s="32"/>
      <c r="ARX8" s="31"/>
      <c r="ARY8" s="31"/>
      <c r="ARZ8" s="30"/>
      <c r="ASA8" s="30"/>
      <c r="ASB8" s="32"/>
      <c r="ASC8" s="32"/>
      <c r="ASD8" s="31"/>
      <c r="ASE8" s="31"/>
      <c r="ASF8" s="30"/>
      <c r="ASG8" s="30"/>
      <c r="ASH8" s="32"/>
      <c r="ASI8" s="32"/>
      <c r="ASJ8" s="31"/>
      <c r="ASK8" s="31" t="s">
        <v>389</v>
      </c>
      <c r="ASL8" s="30"/>
      <c r="ASM8" s="30" t="s">
        <v>64</v>
      </c>
      <c r="ASN8" s="32"/>
      <c r="ASO8" s="32" t="s">
        <v>227</v>
      </c>
      <c r="ASP8" s="31"/>
      <c r="ASQ8" s="31"/>
      <c r="ASR8" s="30" t="s">
        <v>259</v>
      </c>
      <c r="ASS8" s="30"/>
      <c r="AST8" s="32" t="s">
        <v>601</v>
      </c>
      <c r="ASU8" s="32"/>
      <c r="ASV8" s="31"/>
      <c r="ASW8" s="31" t="s">
        <v>64</v>
      </c>
      <c r="ASX8" s="30"/>
      <c r="ASY8" s="30"/>
      <c r="ASZ8" s="32"/>
      <c r="ATA8" s="32"/>
      <c r="ATB8" s="31"/>
      <c r="ATC8" s="31"/>
      <c r="ATD8" s="30"/>
      <c r="ATE8" s="30"/>
      <c r="ATF8" s="32"/>
      <c r="ATG8" s="32"/>
      <c r="ATH8" s="31"/>
      <c r="ATI8" s="31"/>
      <c r="ATJ8" s="30"/>
      <c r="ATK8" s="30"/>
      <c r="ATL8" s="32"/>
      <c r="ATM8" s="32"/>
      <c r="ATN8" s="31"/>
      <c r="ATO8" s="31"/>
      <c r="ATP8" s="30"/>
      <c r="ATQ8" s="30"/>
      <c r="ATR8" s="32" t="s">
        <v>593</v>
      </c>
      <c r="ATS8" s="32"/>
      <c r="ATT8" s="31" t="s">
        <v>164</v>
      </c>
      <c r="ATU8" s="31"/>
      <c r="ATV8" s="30"/>
      <c r="ATW8" s="30"/>
      <c r="ATX8" s="32"/>
      <c r="ATY8" s="32"/>
      <c r="ATZ8" s="31"/>
      <c r="AUA8" s="31"/>
      <c r="AUB8" s="30"/>
      <c r="AUC8" s="30" t="s">
        <v>36</v>
      </c>
      <c r="AUD8" s="32"/>
      <c r="AUE8" s="32"/>
      <c r="AUF8" s="31"/>
      <c r="AUG8" s="31"/>
      <c r="AUH8" s="30" t="s">
        <v>185</v>
      </c>
      <c r="AUI8" s="30"/>
      <c r="AUJ8" s="32"/>
      <c r="AUK8" s="32"/>
      <c r="AUL8" s="31"/>
      <c r="AUM8" s="31"/>
      <c r="AUN8" s="30"/>
      <c r="AUO8" s="30" t="s">
        <v>238</v>
      </c>
      <c r="AUP8" s="32"/>
      <c r="AUQ8" s="32"/>
      <c r="AUR8" s="31"/>
      <c r="AUS8" s="31"/>
      <c r="AUT8" s="30" t="s">
        <v>164</v>
      </c>
      <c r="AUU8" s="30"/>
      <c r="AUV8" s="32"/>
      <c r="AUW8" s="32"/>
      <c r="AUX8" s="31"/>
      <c r="AUY8" s="31"/>
      <c r="AUZ8" s="30"/>
      <c r="AVA8" s="30"/>
      <c r="AVB8" s="32"/>
      <c r="AVC8" s="33" t="s">
        <v>36</v>
      </c>
      <c r="AVD8" s="31"/>
      <c r="AVE8" s="31" t="s">
        <v>314</v>
      </c>
      <c r="AVF8" s="30"/>
      <c r="AVG8" s="30"/>
      <c r="AVH8" s="33" t="s">
        <v>94</v>
      </c>
      <c r="AVI8" s="33" t="s">
        <v>238</v>
      </c>
      <c r="AVJ8" s="31" t="s">
        <v>36</v>
      </c>
      <c r="AVK8" s="31"/>
      <c r="AVL8" s="30"/>
      <c r="AVM8" s="30"/>
      <c r="AVN8" s="32"/>
      <c r="AVO8" s="32"/>
      <c r="AVP8" s="31"/>
      <c r="AVQ8" s="31" t="s">
        <v>314</v>
      </c>
      <c r="AVR8" s="30"/>
      <c r="AVS8" s="30" t="s">
        <v>601</v>
      </c>
      <c r="AVT8" s="32"/>
      <c r="AVU8" s="32"/>
      <c r="AVV8" s="31" t="s">
        <v>314</v>
      </c>
      <c r="AVW8" s="31"/>
      <c r="AVX8" s="30" t="s">
        <v>259</v>
      </c>
      <c r="AVY8" s="30"/>
      <c r="AVZ8" s="32"/>
      <c r="AWA8" s="32"/>
      <c r="AWB8" s="31"/>
      <c r="AWC8" s="31"/>
      <c r="AWD8" s="30"/>
      <c r="AWE8" s="33" t="s">
        <v>46</v>
      </c>
      <c r="AWF8" s="32"/>
      <c r="AWG8" s="32"/>
      <c r="AWH8" s="31"/>
      <c r="AWI8" s="31"/>
      <c r="AWJ8" s="30"/>
      <c r="AWK8" s="30"/>
      <c r="AWL8" s="32" t="s">
        <v>606</v>
      </c>
      <c r="AWM8" s="32"/>
      <c r="AWN8" s="31"/>
      <c r="AWO8" s="31"/>
      <c r="AWP8" s="30"/>
      <c r="AWQ8" s="30"/>
      <c r="AWR8" s="32"/>
      <c r="AWS8" s="32" t="s">
        <v>451</v>
      </c>
      <c r="AWT8" s="31"/>
      <c r="AWU8" s="31"/>
      <c r="AWV8" s="30" t="s">
        <v>94</v>
      </c>
      <c r="AWW8" s="30"/>
      <c r="AWX8" s="32"/>
      <c r="AWY8" s="32"/>
      <c r="AWZ8" s="33" t="s">
        <v>596</v>
      </c>
      <c r="AXA8" s="31"/>
      <c r="AXB8" s="30"/>
      <c r="AXC8" s="30"/>
      <c r="AXD8" s="32"/>
      <c r="AXE8" s="32"/>
      <c r="AXF8" s="31"/>
      <c r="AXG8" s="31" t="s">
        <v>164</v>
      </c>
      <c r="AXH8" s="30"/>
      <c r="AXI8" s="33" t="s">
        <v>74</v>
      </c>
      <c r="AXJ8" s="32"/>
      <c r="AXK8" s="32"/>
      <c r="AXL8" s="31" t="s">
        <v>59</v>
      </c>
      <c r="AXM8" s="31"/>
      <c r="AXN8" s="30" t="s">
        <v>314</v>
      </c>
      <c r="AXO8" s="30"/>
      <c r="AXP8" s="32"/>
      <c r="AXQ8" s="32"/>
      <c r="AXR8" s="31"/>
      <c r="AXS8" s="31"/>
      <c r="AXT8" s="30"/>
      <c r="AXU8" s="30" t="s">
        <v>86</v>
      </c>
      <c r="AXV8" s="32"/>
      <c r="AXW8" s="32"/>
      <c r="AXX8" s="31"/>
      <c r="AXY8" s="31"/>
      <c r="AXZ8" s="30"/>
      <c r="AYA8" s="30"/>
      <c r="AYB8" s="32"/>
      <c r="AYC8" s="32"/>
      <c r="AYD8" s="31"/>
      <c r="AYE8" s="31"/>
      <c r="AYF8" s="30"/>
      <c r="AYG8" s="30"/>
      <c r="AYH8" s="32"/>
      <c r="AYI8" s="32"/>
      <c r="AYJ8" s="31"/>
      <c r="AYK8" s="31"/>
      <c r="AYL8" s="30"/>
      <c r="AYM8" s="30"/>
      <c r="AYN8" s="32"/>
      <c r="AYO8" s="32"/>
      <c r="AYP8" s="31"/>
      <c r="AYQ8" s="31"/>
      <c r="AYR8" s="30"/>
      <c r="AYS8" s="30"/>
      <c r="AYT8" s="32"/>
      <c r="AYU8" s="32"/>
      <c r="AYV8" s="31"/>
      <c r="AYW8" s="31"/>
      <c r="AYX8" s="30"/>
      <c r="AYY8" s="30"/>
      <c r="AYZ8" s="32"/>
      <c r="AZA8" s="32"/>
      <c r="AZB8" s="31"/>
      <c r="AZC8" s="31"/>
      <c r="AZD8" s="30"/>
      <c r="AZE8" s="30"/>
      <c r="AZF8" s="32"/>
      <c r="AZG8" s="32"/>
      <c r="AZH8" s="31"/>
      <c r="AZI8" s="31"/>
      <c r="AZJ8" s="30"/>
      <c r="AZK8" s="30"/>
      <c r="AZL8" s="32"/>
      <c r="AZM8" s="32"/>
      <c r="AZN8" s="31"/>
      <c r="AZO8" s="31"/>
      <c r="AZP8" s="30"/>
      <c r="AZQ8" s="30"/>
      <c r="AZR8" s="32"/>
      <c r="AZS8" s="32"/>
      <c r="AZT8" s="31"/>
      <c r="AZU8" s="31"/>
      <c r="AZV8" s="30"/>
      <c r="AZW8" s="30"/>
      <c r="AZX8" s="32"/>
      <c r="AZY8" s="32"/>
      <c r="AZZ8" s="31"/>
      <c r="BAA8" s="31" t="s">
        <v>86</v>
      </c>
      <c r="BAB8" s="30"/>
      <c r="BAC8" s="30"/>
      <c r="BAD8" s="32"/>
      <c r="BAE8" s="32"/>
      <c r="BAF8" s="31"/>
      <c r="BAG8" s="31"/>
      <c r="BAH8" s="30"/>
      <c r="BAI8" s="30"/>
      <c r="BAJ8" s="32"/>
      <c r="BAK8" s="32"/>
      <c r="BAL8" s="31"/>
      <c r="BAM8" s="31"/>
      <c r="BAN8" s="30"/>
      <c r="BAO8" s="30"/>
      <c r="BAP8" s="32"/>
      <c r="BAQ8" s="32"/>
      <c r="BAR8" s="31"/>
      <c r="BAS8" s="31"/>
      <c r="BAT8" s="30"/>
      <c r="BAU8" s="30"/>
      <c r="BAV8" s="32"/>
      <c r="BAW8" s="32"/>
      <c r="BAX8" s="31"/>
      <c r="BAY8" s="31"/>
      <c r="BAZ8" s="30"/>
      <c r="BBA8" s="30"/>
      <c r="BBB8" s="32"/>
      <c r="BBC8" s="32"/>
      <c r="BBD8" s="31"/>
      <c r="BBE8" s="31"/>
      <c r="BBF8" s="30"/>
      <c r="BBG8" s="30"/>
      <c r="BBH8" s="32"/>
      <c r="BBI8" s="32"/>
      <c r="BBJ8" s="31"/>
      <c r="BBK8" s="31"/>
      <c r="BBL8" s="30"/>
      <c r="BBM8" s="30"/>
      <c r="BBN8" s="32"/>
      <c r="BBO8" s="32"/>
      <c r="BBP8" s="31"/>
      <c r="BBQ8" s="31"/>
      <c r="BBR8" s="30"/>
      <c r="BBS8" s="30"/>
      <c r="BBT8" s="32"/>
      <c r="BBU8" s="32"/>
      <c r="BBV8" s="31"/>
      <c r="BBW8" s="31"/>
      <c r="BBX8" s="30"/>
      <c r="BBY8" s="30"/>
      <c r="BBZ8" s="32"/>
      <c r="BCA8" s="32"/>
      <c r="BCB8" s="31"/>
      <c r="BCC8" s="31"/>
      <c r="BCD8" s="30"/>
      <c r="BCE8" s="30"/>
      <c r="BCF8" s="32"/>
      <c r="BCG8" s="32"/>
      <c r="BCH8" s="31"/>
      <c r="BCI8" s="31"/>
      <c r="BCJ8" s="30"/>
      <c r="BCK8" s="30"/>
      <c r="BCL8" s="32"/>
      <c r="BCM8" s="32"/>
      <c r="BCN8" s="31"/>
      <c r="BCO8" s="31"/>
      <c r="BCP8" s="30"/>
      <c r="BCQ8" s="30"/>
    </row>
    <row r="9" spans="1:1447">
      <c r="A9" s="30"/>
      <c r="B9" s="30"/>
      <c r="C9" s="31"/>
      <c r="D9" s="31"/>
      <c r="E9" s="32"/>
      <c r="F9" s="32"/>
      <c r="G9" s="30"/>
      <c r="H9" s="30"/>
      <c r="I9" s="31"/>
      <c r="J9" s="31"/>
      <c r="K9" s="32"/>
      <c r="L9" s="32"/>
      <c r="M9" s="30"/>
      <c r="N9" s="30"/>
      <c r="O9" s="31"/>
      <c r="P9" s="31"/>
      <c r="Q9" s="32"/>
      <c r="R9" s="32"/>
      <c r="S9" s="30"/>
      <c r="T9" s="30"/>
      <c r="U9" s="31"/>
      <c r="V9" s="31"/>
      <c r="W9" s="32"/>
      <c r="X9" s="32"/>
      <c r="Y9" s="30"/>
      <c r="Z9" s="30"/>
      <c r="AA9" s="31"/>
      <c r="AB9" s="31"/>
      <c r="AC9" s="32"/>
      <c r="AD9" s="32"/>
      <c r="AE9" s="30"/>
      <c r="AF9" s="30"/>
      <c r="AG9" s="31"/>
      <c r="AH9" s="31"/>
      <c r="AI9" s="32"/>
      <c r="AJ9" s="32"/>
      <c r="AK9" s="30"/>
      <c r="AL9" s="30"/>
      <c r="AM9" s="31"/>
      <c r="AN9" s="31"/>
      <c r="AO9" s="32"/>
      <c r="AP9" s="32"/>
      <c r="AQ9" s="30"/>
      <c r="AR9" s="30"/>
      <c r="AS9" s="31"/>
      <c r="AT9" s="31"/>
      <c r="AU9" s="32"/>
      <c r="AV9" s="32"/>
      <c r="AW9" s="30"/>
      <c r="AX9" s="30"/>
      <c r="AY9" s="31"/>
      <c r="AZ9" s="31"/>
      <c r="BA9" s="32"/>
      <c r="BB9" s="32"/>
      <c r="BC9" s="30"/>
      <c r="BD9" s="30"/>
      <c r="BE9" s="31"/>
      <c r="BF9" s="31"/>
      <c r="BG9" s="32"/>
      <c r="BH9" s="32"/>
      <c r="BI9" s="30"/>
      <c r="BJ9" s="30"/>
      <c r="BK9" s="31"/>
      <c r="BL9" s="31"/>
      <c r="BM9" s="32"/>
      <c r="BN9" s="32"/>
      <c r="BO9" s="30"/>
      <c r="BP9" s="30"/>
      <c r="BQ9" s="31"/>
      <c r="BR9" s="31"/>
      <c r="BS9" s="32"/>
      <c r="BT9" s="32"/>
      <c r="BU9" s="30"/>
      <c r="BV9" s="30"/>
      <c r="BW9" s="31"/>
      <c r="BX9" s="31"/>
      <c r="BY9" s="32"/>
      <c r="BZ9" s="32"/>
      <c r="CA9" s="30"/>
      <c r="CB9" s="30"/>
      <c r="CC9" s="31"/>
      <c r="CD9" s="31"/>
      <c r="CE9" s="32"/>
      <c r="CF9" s="32"/>
      <c r="CG9" s="30"/>
      <c r="CH9" s="30"/>
      <c r="CI9" s="31"/>
      <c r="CJ9" s="31" t="s">
        <v>79</v>
      </c>
      <c r="CK9" s="32"/>
      <c r="CL9" s="32"/>
      <c r="CM9" s="30"/>
      <c r="CN9" s="30"/>
      <c r="CO9" s="31"/>
      <c r="CP9" s="31"/>
      <c r="CQ9" s="32" t="s">
        <v>584</v>
      </c>
      <c r="CR9" s="32"/>
      <c r="CS9" s="30"/>
      <c r="CT9" s="30"/>
      <c r="CU9" s="31"/>
      <c r="CV9" s="31"/>
      <c r="CW9" s="32"/>
      <c r="CX9" s="32"/>
      <c r="CY9" s="30"/>
      <c r="CZ9" s="30"/>
      <c r="DA9" s="31"/>
      <c r="DB9" s="31"/>
      <c r="DC9" s="32"/>
      <c r="DD9" s="32"/>
      <c r="DE9" s="30"/>
      <c r="DF9" s="30"/>
      <c r="DG9" s="31"/>
      <c r="DH9" s="31"/>
      <c r="DI9" s="32"/>
      <c r="DJ9" s="32"/>
      <c r="DK9" s="30"/>
      <c r="DL9" s="30"/>
      <c r="DM9" s="31"/>
      <c r="DN9" s="31"/>
      <c r="DO9" s="32"/>
      <c r="DP9" s="32"/>
      <c r="DQ9" s="30"/>
      <c r="DR9" s="30"/>
      <c r="DS9" s="31"/>
      <c r="DT9" s="31"/>
      <c r="DU9" s="32"/>
      <c r="DV9" s="32"/>
      <c r="DW9" s="30"/>
      <c r="DX9" s="30"/>
      <c r="DY9" s="31"/>
      <c r="DZ9" s="31"/>
      <c r="EA9" s="32"/>
      <c r="EB9" s="32"/>
      <c r="EC9" s="30"/>
      <c r="ED9" s="30"/>
      <c r="EE9" s="31"/>
      <c r="EF9" s="31"/>
      <c r="EG9" s="32"/>
      <c r="EH9" s="32"/>
      <c r="EI9" s="30"/>
      <c r="EJ9" s="30"/>
      <c r="EK9" s="31"/>
      <c r="EL9" s="31"/>
      <c r="EM9" s="32"/>
      <c r="EN9" s="32"/>
      <c r="EO9" s="30"/>
      <c r="EP9" s="30"/>
      <c r="EQ9" s="31"/>
      <c r="ER9" s="31" t="s">
        <v>593</v>
      </c>
      <c r="ES9" s="32"/>
      <c r="ET9" s="32"/>
      <c r="EU9" s="30"/>
      <c r="EV9" s="30"/>
      <c r="EW9" s="31"/>
      <c r="EX9" s="31"/>
      <c r="EY9" s="32"/>
      <c r="EZ9" s="53" t="s">
        <v>598</v>
      </c>
      <c r="FA9" s="30"/>
      <c r="FB9" s="30"/>
      <c r="FC9" s="31"/>
      <c r="FD9" s="31"/>
      <c r="FE9" s="32"/>
      <c r="FF9" s="33" t="s">
        <v>448</v>
      </c>
      <c r="FG9" s="30"/>
      <c r="FH9" s="30"/>
      <c r="FI9" s="32" t="s">
        <v>587</v>
      </c>
      <c r="FJ9" s="32"/>
      <c r="FK9" s="30" t="s">
        <v>368</v>
      </c>
      <c r="FL9" s="30"/>
      <c r="FM9" s="31" t="s">
        <v>585</v>
      </c>
      <c r="FN9" s="31"/>
      <c r="FO9" s="32"/>
      <c r="FP9" s="32"/>
      <c r="FQ9" s="30"/>
      <c r="FR9" s="30"/>
      <c r="FS9" s="31"/>
      <c r="FT9" s="31"/>
      <c r="FU9" s="32"/>
      <c r="FV9" s="32"/>
      <c r="FW9" s="30"/>
      <c r="FX9" s="30"/>
      <c r="FY9" s="31"/>
      <c r="FZ9" s="31"/>
      <c r="GA9" s="32"/>
      <c r="GB9" s="32"/>
      <c r="GC9" s="30"/>
      <c r="GD9" s="30"/>
      <c r="GE9" s="31"/>
      <c r="GF9" s="31"/>
      <c r="GG9" s="32"/>
      <c r="GH9" s="32"/>
      <c r="GI9" s="30"/>
      <c r="GJ9" s="30"/>
      <c r="GK9" s="31"/>
      <c r="GL9" s="31"/>
      <c r="GM9" s="32"/>
      <c r="GN9" s="32"/>
      <c r="GO9" s="30"/>
      <c r="GP9" s="30"/>
      <c r="GQ9" s="31"/>
      <c r="GR9" s="31"/>
      <c r="GS9" s="32"/>
      <c r="GT9" s="32"/>
      <c r="GU9" s="30"/>
      <c r="GV9" s="30"/>
      <c r="GW9" s="31"/>
      <c r="GX9" s="31"/>
      <c r="GY9" s="32"/>
      <c r="GZ9" s="32"/>
      <c r="HA9" s="30"/>
      <c r="HB9" s="30"/>
      <c r="HC9" s="31"/>
      <c r="HD9" s="31"/>
      <c r="HE9" s="32"/>
      <c r="HF9" s="32"/>
      <c r="HG9" s="30"/>
      <c r="HH9" s="30"/>
      <c r="HI9" s="31"/>
      <c r="HJ9" s="31"/>
      <c r="HK9" s="32"/>
      <c r="HL9" s="32"/>
      <c r="HM9" s="30" t="s">
        <v>59</v>
      </c>
      <c r="HN9" s="30"/>
      <c r="HO9" s="31"/>
      <c r="HP9" s="31"/>
      <c r="HQ9" s="32"/>
      <c r="HR9" s="32"/>
      <c r="HS9" s="30"/>
      <c r="HT9" s="30" t="s">
        <v>300</v>
      </c>
      <c r="HU9" s="31"/>
      <c r="HV9" s="31"/>
      <c r="HW9" s="32"/>
      <c r="HX9" s="32"/>
      <c r="HY9" s="30"/>
      <c r="HZ9" s="30"/>
      <c r="IA9" s="31"/>
      <c r="IB9" s="31"/>
      <c r="IC9" s="32"/>
      <c r="ID9" s="32"/>
      <c r="IE9" s="30"/>
      <c r="IF9" s="30"/>
      <c r="IG9" s="31"/>
      <c r="IH9" s="31"/>
      <c r="II9" s="32"/>
      <c r="IJ9" s="32"/>
      <c r="IK9" s="30"/>
      <c r="IL9" s="30"/>
      <c r="IM9" s="31"/>
      <c r="IN9" s="31"/>
      <c r="IO9" s="32" t="s">
        <v>617</v>
      </c>
      <c r="IP9" s="32"/>
      <c r="IQ9" s="30"/>
      <c r="IR9" s="30"/>
      <c r="IS9" s="31"/>
      <c r="IT9" s="31"/>
      <c r="IU9" s="32"/>
      <c r="IV9" s="32"/>
      <c r="IW9" s="30"/>
      <c r="IX9" s="30"/>
      <c r="IY9" s="31"/>
      <c r="IZ9" s="33" t="s">
        <v>33</v>
      </c>
      <c r="JA9" s="33" t="s">
        <v>319</v>
      </c>
      <c r="JB9" s="32"/>
      <c r="JC9" s="30"/>
      <c r="JD9" s="30"/>
      <c r="JE9" s="31"/>
      <c r="JF9" s="31"/>
      <c r="JG9" s="32"/>
      <c r="JH9" s="32"/>
      <c r="JI9" s="30"/>
      <c r="JJ9" s="30"/>
      <c r="JK9" s="31"/>
      <c r="JL9" s="31"/>
      <c r="JM9" s="32" t="s">
        <v>46</v>
      </c>
      <c r="JN9" s="32"/>
      <c r="JO9" s="30" t="s">
        <v>593</v>
      </c>
      <c r="JP9" s="30"/>
      <c r="JQ9" s="31" t="s">
        <v>102</v>
      </c>
      <c r="JR9" s="31"/>
      <c r="JS9" s="32"/>
      <c r="JT9" s="32"/>
      <c r="JU9" s="30"/>
      <c r="JV9" s="30"/>
      <c r="JW9" s="31" t="s">
        <v>587</v>
      </c>
      <c r="JX9" s="31" t="s">
        <v>597</v>
      </c>
      <c r="JY9" s="32"/>
      <c r="JZ9" s="33" t="s">
        <v>583</v>
      </c>
      <c r="KA9" s="30"/>
      <c r="KB9" s="30"/>
      <c r="KC9" s="31" t="s">
        <v>54</v>
      </c>
      <c r="KD9" s="31"/>
      <c r="KE9" s="32" t="s">
        <v>593</v>
      </c>
      <c r="KF9" s="32"/>
      <c r="KG9" s="30"/>
      <c r="KH9" s="30"/>
      <c r="KI9" s="31"/>
      <c r="KJ9" s="31"/>
      <c r="KK9" s="32"/>
      <c r="KL9" s="33" t="s">
        <v>595</v>
      </c>
      <c r="KM9" s="30"/>
      <c r="KN9" s="30"/>
      <c r="KO9" s="31"/>
      <c r="KP9" s="31"/>
      <c r="KQ9" s="32" t="s">
        <v>601</v>
      </c>
      <c r="KR9" s="32"/>
      <c r="KS9" s="30" t="s">
        <v>94</v>
      </c>
      <c r="KT9" s="30" t="s">
        <v>46</v>
      </c>
      <c r="KU9" s="31"/>
      <c r="KV9" s="31"/>
      <c r="KW9" s="32"/>
      <c r="KX9" s="33" t="s">
        <v>586</v>
      </c>
      <c r="KY9" s="30"/>
      <c r="KZ9" s="30" t="s">
        <v>592</v>
      </c>
      <c r="LA9" s="31"/>
      <c r="LB9" s="31"/>
      <c r="LC9" s="33" t="s">
        <v>46</v>
      </c>
      <c r="LD9" s="33" t="s">
        <v>36</v>
      </c>
      <c r="LE9" s="30" t="s">
        <v>584</v>
      </c>
      <c r="LF9" s="30"/>
      <c r="LG9" s="31" t="s">
        <v>598</v>
      </c>
      <c r="LH9" s="31"/>
      <c r="LI9" s="32"/>
      <c r="LJ9" s="32"/>
      <c r="LK9" s="30"/>
      <c r="LL9" s="30"/>
      <c r="LM9" s="31"/>
      <c r="LN9" s="31" t="s">
        <v>94</v>
      </c>
      <c r="LO9" s="32"/>
      <c r="LP9" s="32"/>
      <c r="LQ9" s="33" t="s">
        <v>36</v>
      </c>
      <c r="LR9" s="30" t="s">
        <v>368</v>
      </c>
      <c r="LS9" s="33" t="s">
        <v>451</v>
      </c>
      <c r="LT9" s="33" t="s">
        <v>74</v>
      </c>
      <c r="LU9" s="33" t="s">
        <v>28</v>
      </c>
      <c r="LV9" s="32"/>
      <c r="LW9" s="30"/>
      <c r="LX9" s="30"/>
      <c r="LY9" s="31"/>
      <c r="LZ9" s="31"/>
      <c r="MA9" s="32"/>
      <c r="MB9" s="32"/>
      <c r="MC9" s="33" t="s">
        <v>173</v>
      </c>
      <c r="MD9" s="30" t="s">
        <v>595</v>
      </c>
      <c r="ME9" s="31" t="s">
        <v>36</v>
      </c>
      <c r="MF9" s="33" t="s">
        <v>176</v>
      </c>
      <c r="MG9" s="32" t="s">
        <v>41</v>
      </c>
      <c r="MH9" s="32"/>
      <c r="MI9" s="30" t="s">
        <v>28</v>
      </c>
      <c r="MJ9" s="30" t="s">
        <v>41</v>
      </c>
      <c r="MK9" s="31"/>
      <c r="ML9" s="31"/>
      <c r="MM9" s="32"/>
      <c r="MN9" s="32"/>
      <c r="MO9" s="30"/>
      <c r="MP9" s="30" t="s">
        <v>94</v>
      </c>
      <c r="MQ9" s="31" t="s">
        <v>54</v>
      </c>
      <c r="MR9" s="31"/>
      <c r="MS9" s="32"/>
      <c r="MT9" s="32"/>
      <c r="MU9" s="30" t="s">
        <v>164</v>
      </c>
      <c r="MV9" s="30"/>
      <c r="MW9" s="31"/>
      <c r="MX9" s="31"/>
      <c r="MY9" s="32"/>
      <c r="MZ9" s="32"/>
      <c r="NA9" s="30"/>
      <c r="NB9" s="30"/>
      <c r="NC9" s="31"/>
      <c r="ND9" s="31" t="s">
        <v>54</v>
      </c>
      <c r="NE9" s="32"/>
      <c r="NF9" s="32"/>
      <c r="NG9" s="30"/>
      <c r="NH9" s="30"/>
      <c r="NI9" s="31"/>
      <c r="NJ9" s="31"/>
      <c r="NK9" s="32"/>
      <c r="NL9" s="32"/>
      <c r="NM9" s="30"/>
      <c r="NN9" s="30"/>
      <c r="NO9" s="31"/>
      <c r="NP9" s="31"/>
      <c r="NQ9" s="32"/>
      <c r="NR9" s="32"/>
      <c r="NS9" s="30"/>
      <c r="NT9" s="30"/>
      <c r="NU9" s="31"/>
      <c r="NV9" s="31"/>
      <c r="NW9" s="32"/>
      <c r="NX9" s="32"/>
      <c r="NY9" s="30"/>
      <c r="NZ9" s="30"/>
      <c r="OA9" s="31"/>
      <c r="OB9" s="31"/>
      <c r="OC9" s="32"/>
      <c r="OD9" s="32"/>
      <c r="OE9" s="30"/>
      <c r="OF9" s="30" t="s">
        <v>54</v>
      </c>
      <c r="OG9" s="31"/>
      <c r="OH9" s="31"/>
      <c r="OI9" s="32"/>
      <c r="OJ9" s="32"/>
      <c r="OK9" s="30" t="s">
        <v>22</v>
      </c>
      <c r="OL9" s="30"/>
      <c r="OM9" s="31"/>
      <c r="ON9" s="31"/>
      <c r="OO9" s="32"/>
      <c r="OP9" s="32"/>
      <c r="OQ9" s="30"/>
      <c r="OR9" s="30"/>
      <c r="OS9" s="31"/>
      <c r="OT9" s="31" t="s">
        <v>583</v>
      </c>
      <c r="OU9" s="32"/>
      <c r="OV9" s="32"/>
      <c r="OW9" s="30"/>
      <c r="OX9" s="30"/>
      <c r="OY9" s="31"/>
      <c r="OZ9" s="31"/>
      <c r="PA9" s="32"/>
      <c r="PB9" s="32"/>
      <c r="PC9" s="30"/>
      <c r="PD9" s="30"/>
      <c r="PE9" s="31"/>
      <c r="PF9" s="31"/>
      <c r="PG9" s="32"/>
      <c r="PH9" s="32"/>
      <c r="PI9" s="30"/>
      <c r="PJ9" s="30"/>
      <c r="PK9" s="31"/>
      <c r="PL9" s="31"/>
      <c r="PM9" s="32"/>
      <c r="PN9" s="32"/>
      <c r="PO9" s="30"/>
      <c r="PP9" s="30"/>
      <c r="PQ9" s="31"/>
      <c r="PR9" s="31"/>
      <c r="PS9" s="32"/>
      <c r="PT9" s="32"/>
      <c r="PU9" s="30"/>
      <c r="PV9" s="30"/>
      <c r="PW9" s="31"/>
      <c r="PX9" s="31"/>
      <c r="PY9" s="32"/>
      <c r="PZ9" s="32"/>
      <c r="QA9" s="30"/>
      <c r="QB9" s="30"/>
      <c r="QC9" s="31"/>
      <c r="QD9" s="31"/>
      <c r="QE9" s="32"/>
      <c r="QF9" s="32"/>
      <c r="QG9" s="30"/>
      <c r="QH9" s="30"/>
      <c r="QI9" s="31"/>
      <c r="QJ9" s="31"/>
      <c r="QK9" s="32"/>
      <c r="QL9" s="32" t="s">
        <v>74</v>
      </c>
      <c r="QM9" s="30"/>
      <c r="QN9" s="30" t="s">
        <v>79</v>
      </c>
      <c r="QO9" s="31"/>
      <c r="QP9" s="31"/>
      <c r="QQ9" s="32" t="s">
        <v>451</v>
      </c>
      <c r="QR9" s="32"/>
      <c r="QS9" s="30"/>
      <c r="QT9" s="30"/>
      <c r="QU9" s="31"/>
      <c r="QV9" s="31"/>
      <c r="QW9" s="32"/>
      <c r="QX9" s="32"/>
      <c r="QY9" s="30"/>
      <c r="QZ9" s="30" t="s">
        <v>185</v>
      </c>
      <c r="RA9" s="31"/>
      <c r="RB9" s="31"/>
      <c r="RC9" s="32"/>
      <c r="RD9" s="32"/>
      <c r="RE9" s="30"/>
      <c r="RF9" s="30"/>
      <c r="RG9" s="31"/>
      <c r="RH9" s="31"/>
      <c r="RI9" s="32"/>
      <c r="RJ9" s="32"/>
      <c r="RK9" s="30"/>
      <c r="RL9" s="30"/>
      <c r="RM9" s="31"/>
      <c r="RN9" s="31"/>
      <c r="RO9" s="32"/>
      <c r="RP9" s="32"/>
      <c r="RQ9" s="30"/>
      <c r="RR9" s="30"/>
      <c r="RS9" s="31"/>
      <c r="RT9" s="31"/>
      <c r="RU9" s="32"/>
      <c r="RV9" s="32"/>
      <c r="RW9" s="30"/>
      <c r="RX9" s="30"/>
      <c r="RY9" s="31"/>
      <c r="RZ9" s="31"/>
      <c r="SA9" s="32"/>
      <c r="SB9" s="32"/>
      <c r="SC9" s="30"/>
      <c r="SD9" s="30"/>
      <c r="SE9" s="31"/>
      <c r="SF9" s="31"/>
      <c r="SG9" s="32"/>
      <c r="SH9" s="32"/>
      <c r="SI9" s="30"/>
      <c r="SJ9" s="30"/>
      <c r="SK9" s="30"/>
      <c r="SL9" s="31"/>
      <c r="SM9" s="31"/>
      <c r="SN9" s="32"/>
      <c r="SO9" s="32"/>
      <c r="SP9" s="30"/>
      <c r="SQ9" s="30" t="s">
        <v>448</v>
      </c>
      <c r="SR9" s="31"/>
      <c r="SS9" s="31"/>
      <c r="ST9" s="32" t="s">
        <v>164</v>
      </c>
      <c r="SU9" s="32"/>
      <c r="SV9" s="30"/>
      <c r="SW9" s="30"/>
      <c r="SX9" s="31"/>
      <c r="SY9" s="31"/>
      <c r="SZ9" s="32"/>
      <c r="TA9" s="32"/>
      <c r="TB9" s="30"/>
      <c r="TC9" s="30" t="s">
        <v>22</v>
      </c>
      <c r="TD9" s="31"/>
      <c r="TE9" s="31"/>
      <c r="TF9" s="32"/>
      <c r="TG9" s="32" t="s">
        <v>185</v>
      </c>
      <c r="TH9" s="30" t="s">
        <v>64</v>
      </c>
      <c r="TI9" s="30"/>
      <c r="TJ9" s="31"/>
      <c r="TK9" s="31"/>
      <c r="TL9" s="32"/>
      <c r="TM9" s="32"/>
      <c r="TN9" s="30"/>
      <c r="TO9" s="33" t="s">
        <v>451</v>
      </c>
      <c r="TP9" s="31"/>
      <c r="TQ9" s="31" t="s">
        <v>368</v>
      </c>
      <c r="TR9" s="32"/>
      <c r="TS9" s="32"/>
      <c r="TT9" s="33" t="s">
        <v>185</v>
      </c>
      <c r="TU9" s="30"/>
      <c r="TV9" s="31" t="s">
        <v>368</v>
      </c>
      <c r="TW9" s="31"/>
      <c r="TX9" s="32"/>
      <c r="TY9" s="32"/>
      <c r="TZ9" s="30"/>
      <c r="UA9" s="30"/>
      <c r="UB9" s="31"/>
      <c r="UC9" s="31"/>
      <c r="UD9" s="32"/>
      <c r="UE9" s="32" t="s">
        <v>94</v>
      </c>
      <c r="UF9" s="30"/>
      <c r="UG9" s="30"/>
      <c r="UH9" s="31"/>
      <c r="UI9" s="31"/>
      <c r="UJ9" s="32" t="s">
        <v>614</v>
      </c>
      <c r="UK9" s="32"/>
      <c r="UL9" s="30"/>
      <c r="UM9" s="30"/>
      <c r="UN9" s="31"/>
      <c r="UO9" s="31"/>
      <c r="UP9" s="32"/>
      <c r="UQ9" s="32"/>
      <c r="UR9" s="30"/>
      <c r="US9" s="30"/>
      <c r="UT9" s="31"/>
      <c r="UU9" s="31"/>
      <c r="UV9" s="39" t="s">
        <v>28</v>
      </c>
      <c r="UW9" s="32"/>
      <c r="UX9" s="30"/>
      <c r="UY9" s="30"/>
      <c r="UZ9" s="31" t="s">
        <v>584</v>
      </c>
      <c r="VA9" s="31"/>
      <c r="VB9" s="32"/>
      <c r="VC9" s="32"/>
      <c r="VD9" s="30"/>
      <c r="VE9" s="30"/>
      <c r="VF9" s="31"/>
      <c r="VG9" s="31" t="s">
        <v>33</v>
      </c>
      <c r="VH9" s="32"/>
      <c r="VI9" s="33" t="s">
        <v>185</v>
      </c>
      <c r="VJ9" s="30"/>
      <c r="VK9" s="30"/>
      <c r="VL9" s="40" t="s">
        <v>586</v>
      </c>
      <c r="VM9" s="31"/>
      <c r="VN9" s="32" t="s">
        <v>54</v>
      </c>
      <c r="VO9" s="32"/>
      <c r="VP9" s="30"/>
      <c r="VQ9" s="30"/>
      <c r="VR9" s="31"/>
      <c r="VS9" s="31"/>
      <c r="VT9" s="32"/>
      <c r="VU9" s="32"/>
      <c r="VV9" s="30"/>
      <c r="VW9" s="30"/>
      <c r="VX9" s="31"/>
      <c r="VY9" s="31"/>
      <c r="VZ9" s="32" t="s">
        <v>602</v>
      </c>
      <c r="WA9" s="32"/>
      <c r="WB9" s="30"/>
      <c r="WC9" s="30"/>
      <c r="WD9" s="31"/>
      <c r="WE9" s="31"/>
      <c r="WF9" s="32"/>
      <c r="WG9" s="32"/>
      <c r="WH9" s="30"/>
      <c r="WI9" s="30"/>
      <c r="WJ9" s="31"/>
      <c r="WK9" s="31"/>
      <c r="WL9" s="32"/>
      <c r="WM9" s="32"/>
      <c r="WN9" s="30"/>
      <c r="WO9" s="30"/>
      <c r="WP9" s="31"/>
      <c r="WQ9" s="31"/>
      <c r="WR9" s="32"/>
      <c r="WS9" s="32"/>
      <c r="WT9" s="30"/>
      <c r="WU9" s="30"/>
      <c r="WV9" s="31"/>
      <c r="WW9" s="31"/>
      <c r="WX9" s="32"/>
      <c r="WY9" s="32"/>
      <c r="WZ9" s="30"/>
      <c r="XA9" s="30"/>
      <c r="XB9" s="31"/>
      <c r="XC9" s="31"/>
      <c r="XD9" s="32"/>
      <c r="XE9" s="32"/>
      <c r="XF9" s="30"/>
      <c r="XG9" s="30"/>
      <c r="XH9" s="31"/>
      <c r="XI9" s="31"/>
      <c r="XJ9" s="32"/>
      <c r="XK9" s="32"/>
      <c r="XL9" s="30"/>
      <c r="XM9" s="30"/>
      <c r="XN9" s="31"/>
      <c r="XO9" s="31"/>
      <c r="XP9" s="32"/>
      <c r="XQ9" s="32"/>
      <c r="XR9" s="30"/>
      <c r="XS9" s="30"/>
      <c r="XT9" s="31"/>
      <c r="XU9" s="31"/>
      <c r="XV9" s="32"/>
      <c r="XW9" s="32"/>
      <c r="XX9" s="30"/>
      <c r="XY9" s="30"/>
      <c r="XZ9" s="31"/>
      <c r="YA9" s="31" t="s">
        <v>389</v>
      </c>
      <c r="YB9" s="32"/>
      <c r="YC9" s="32"/>
      <c r="YD9" s="30"/>
      <c r="YE9" s="30"/>
      <c r="YF9" s="31" t="s">
        <v>164</v>
      </c>
      <c r="YG9" s="31"/>
      <c r="YH9" s="32"/>
      <c r="YI9" s="32"/>
      <c r="YJ9" s="30"/>
      <c r="YK9" s="30"/>
      <c r="YL9" s="31"/>
      <c r="YM9" s="31"/>
      <c r="YN9" s="32"/>
      <c r="YO9" s="32"/>
      <c r="YP9" s="30"/>
      <c r="YQ9" s="30"/>
      <c r="YR9" s="31"/>
      <c r="YS9" s="31"/>
      <c r="YT9" s="32"/>
      <c r="YU9" s="32"/>
      <c r="YV9" s="30"/>
      <c r="YW9" s="30"/>
      <c r="YX9" s="31"/>
      <c r="YY9" s="31"/>
      <c r="YZ9" s="32"/>
      <c r="ZA9" s="32"/>
      <c r="ZB9" s="30"/>
      <c r="ZC9" s="30"/>
      <c r="ZD9" s="31"/>
      <c r="ZE9" s="31"/>
      <c r="ZF9" s="32"/>
      <c r="ZG9" s="32"/>
      <c r="ZH9" s="30"/>
      <c r="ZI9" s="30"/>
      <c r="ZJ9" s="31"/>
      <c r="ZK9" s="31"/>
      <c r="ZL9" s="32"/>
      <c r="ZM9" s="32"/>
      <c r="ZN9" s="30"/>
      <c r="ZO9" s="30"/>
      <c r="ZP9" s="31"/>
      <c r="ZQ9" s="31"/>
      <c r="ZR9" s="32"/>
      <c r="ZS9" s="32"/>
      <c r="ZT9" s="30"/>
      <c r="ZU9" s="30"/>
      <c r="ZV9" s="31"/>
      <c r="ZW9" s="31"/>
      <c r="ZX9" s="32"/>
      <c r="ZY9" s="32"/>
      <c r="ZZ9" s="30"/>
      <c r="AAA9" s="30"/>
      <c r="AAB9" s="31"/>
      <c r="AAC9" s="31"/>
      <c r="AAD9" s="32"/>
      <c r="AAE9" s="32" t="s">
        <v>46</v>
      </c>
      <c r="AAF9" s="30"/>
      <c r="AAG9" s="30"/>
      <c r="AAH9" s="31"/>
      <c r="AAI9" s="31"/>
      <c r="AAJ9" s="32"/>
      <c r="AAK9" s="32"/>
      <c r="AAL9" s="30"/>
      <c r="AAM9" s="30"/>
      <c r="AAN9" s="31"/>
      <c r="AAO9" s="31"/>
      <c r="AAP9" s="32"/>
      <c r="AAQ9" s="32"/>
      <c r="AAR9" s="30"/>
      <c r="AAS9" s="30"/>
      <c r="AAT9" s="31"/>
      <c r="AAU9" s="31"/>
      <c r="AAV9" s="32"/>
      <c r="AAW9" s="32"/>
      <c r="AAX9" s="30"/>
      <c r="AAY9" s="30"/>
      <c r="AAZ9" s="31"/>
      <c r="ABA9" s="31"/>
      <c r="ABB9" s="32"/>
      <c r="ABC9" s="32"/>
      <c r="ABD9" s="30"/>
      <c r="ABE9" s="30"/>
      <c r="ABF9" s="31"/>
      <c r="ABG9" s="31"/>
      <c r="ABH9" s="32"/>
      <c r="ABI9" s="32"/>
      <c r="ABJ9" s="30"/>
      <c r="ABK9" s="30"/>
      <c r="ABL9" s="31"/>
      <c r="ABM9" s="31"/>
      <c r="ABN9" s="32"/>
      <c r="ABO9" s="32"/>
      <c r="ABP9" s="30"/>
      <c r="ABQ9" s="30"/>
      <c r="ABR9" s="31"/>
      <c r="ABS9" s="31"/>
      <c r="ABT9" s="32"/>
      <c r="ABU9" s="32"/>
      <c r="ABV9" s="30"/>
      <c r="ABW9" s="30"/>
      <c r="ABX9" s="31"/>
      <c r="ABY9" s="31"/>
      <c r="ABZ9" s="32"/>
      <c r="ACA9" s="32"/>
      <c r="ACB9" s="30"/>
      <c r="ACC9" s="30"/>
      <c r="ACD9" s="31"/>
      <c r="ACE9" s="31"/>
      <c r="ACF9" s="32"/>
      <c r="ACG9" s="32"/>
      <c r="ACH9" s="30"/>
      <c r="ACI9" s="30"/>
      <c r="ACJ9" s="31"/>
      <c r="ACK9" s="31"/>
      <c r="ACL9" s="32"/>
      <c r="ACM9" s="32"/>
      <c r="ACN9" s="30"/>
      <c r="ACO9" s="30"/>
      <c r="ACP9" s="31"/>
      <c r="ACQ9" s="31"/>
      <c r="ACR9" s="32"/>
      <c r="ACS9" s="32"/>
      <c r="ACT9" s="30"/>
      <c r="ACU9" s="30"/>
      <c r="ACV9" s="31"/>
      <c r="ACW9" s="31"/>
      <c r="ACX9" s="32"/>
      <c r="ACY9" s="32"/>
      <c r="ACZ9" s="30"/>
      <c r="ADA9" s="30"/>
      <c r="ADB9" s="31"/>
      <c r="ADC9" s="31"/>
      <c r="ADD9" s="32"/>
      <c r="ADE9" s="32"/>
      <c r="ADF9" s="30"/>
      <c r="ADG9" s="30"/>
      <c r="ADH9" s="31"/>
      <c r="ADI9" s="31"/>
      <c r="ADJ9" s="32"/>
      <c r="ADK9" s="32"/>
      <c r="ADL9" s="30"/>
      <c r="ADM9" s="30"/>
      <c r="ADN9" s="31"/>
      <c r="ADO9" s="31"/>
      <c r="ADP9" s="32"/>
      <c r="ADQ9" s="32"/>
      <c r="ADR9" s="30"/>
      <c r="ADS9" s="30"/>
      <c r="ADT9" s="31"/>
      <c r="ADU9" s="31"/>
      <c r="ADV9" s="32"/>
      <c r="ADW9" s="32"/>
      <c r="ADX9" s="30"/>
      <c r="ADY9" s="30"/>
      <c r="ADZ9" s="31"/>
      <c r="AEA9" s="31"/>
      <c r="AEB9" s="32"/>
      <c r="AEC9" s="32"/>
      <c r="AED9" s="30"/>
      <c r="AEE9" s="30"/>
      <c r="AEF9" s="31"/>
      <c r="AEG9" s="31"/>
      <c r="AEH9" s="32"/>
      <c r="AEI9" s="32"/>
      <c r="AEJ9" s="30"/>
      <c r="AEK9" s="30"/>
      <c r="AEL9" s="31"/>
      <c r="AEM9" s="31"/>
      <c r="AEN9" s="32"/>
      <c r="AEO9" s="32"/>
      <c r="AEP9" s="30"/>
      <c r="AEQ9" s="30"/>
      <c r="AER9" s="31"/>
      <c r="AES9" s="31"/>
      <c r="AET9" s="32"/>
      <c r="AEU9" s="32"/>
      <c r="AEV9" s="30"/>
      <c r="AEW9" s="30" t="s">
        <v>86</v>
      </c>
      <c r="AEX9" s="31"/>
      <c r="AEY9" s="31"/>
      <c r="AEZ9" s="32"/>
      <c r="AFA9" s="32"/>
      <c r="AFB9" s="30" t="s">
        <v>327</v>
      </c>
      <c r="AFC9" s="30"/>
      <c r="AFD9" s="31"/>
      <c r="AFE9" s="31"/>
      <c r="AFF9" s="32"/>
      <c r="AFG9" s="32"/>
      <c r="AFH9" s="30"/>
      <c r="AFI9" s="30"/>
      <c r="AFJ9" s="31"/>
      <c r="AFK9" s="31"/>
      <c r="AFL9" s="32"/>
      <c r="AFM9" s="32"/>
      <c r="AFN9" s="30"/>
      <c r="AFO9" s="30"/>
      <c r="AFP9" s="31"/>
      <c r="AFQ9" s="31"/>
      <c r="AFR9" s="32"/>
      <c r="AFS9" s="32"/>
      <c r="AFT9" s="30"/>
      <c r="AFU9" s="30"/>
      <c r="AFV9" s="31"/>
      <c r="AFW9" s="31"/>
      <c r="AFX9" s="32"/>
      <c r="AFY9" s="32"/>
      <c r="AFZ9" s="30"/>
      <c r="AGA9" s="30"/>
      <c r="AGB9" s="31"/>
      <c r="AGC9" s="31"/>
      <c r="AGD9" s="32"/>
      <c r="AGE9" s="32"/>
      <c r="AGF9" s="30"/>
      <c r="AGG9" s="30"/>
      <c r="AGH9" s="31"/>
      <c r="AGI9" s="31"/>
      <c r="AGJ9" s="32"/>
      <c r="AGK9" s="32"/>
      <c r="AGL9" s="30"/>
      <c r="AGM9" s="30"/>
      <c r="AGN9" s="31"/>
      <c r="AGO9" s="31"/>
      <c r="AGP9" s="32"/>
      <c r="AGQ9" s="32"/>
      <c r="AGR9" s="30"/>
      <c r="AGS9" s="30" t="s">
        <v>289</v>
      </c>
      <c r="AGT9" s="31"/>
      <c r="AGU9" s="31" t="s">
        <v>448</v>
      </c>
      <c r="AGV9" s="32"/>
      <c r="AGW9" s="32"/>
      <c r="AGX9" s="30"/>
      <c r="AGY9" s="30"/>
      <c r="AGZ9" s="31"/>
      <c r="AHA9" s="31"/>
      <c r="AHB9" s="32"/>
      <c r="AHC9" s="32" t="s">
        <v>319</v>
      </c>
      <c r="AHD9" s="30"/>
      <c r="AHE9" s="30"/>
      <c r="AHF9" s="31"/>
      <c r="AHG9" s="31"/>
      <c r="AHH9" s="32"/>
      <c r="AHI9" s="32"/>
      <c r="AHJ9" s="30"/>
      <c r="AHK9" s="30"/>
      <c r="AHL9" s="31"/>
      <c r="AHM9" s="31"/>
      <c r="AHN9" s="32"/>
      <c r="AHO9" s="32"/>
      <c r="AHP9" s="30"/>
      <c r="AHQ9" s="30"/>
      <c r="AHR9" s="31" t="s">
        <v>588</v>
      </c>
      <c r="AHS9" s="31"/>
      <c r="AHT9" s="32"/>
      <c r="AHU9" s="32"/>
      <c r="AHV9" s="30"/>
      <c r="AHW9" s="30"/>
      <c r="AHX9" s="31"/>
      <c r="AHY9" s="31"/>
      <c r="AHZ9" s="32"/>
      <c r="AIA9" s="32"/>
      <c r="AIB9" s="30"/>
      <c r="AIC9" s="30"/>
      <c r="AID9" s="31"/>
      <c r="AIE9" s="31"/>
      <c r="AIF9" s="32"/>
      <c r="AIG9" s="32"/>
      <c r="AIH9" s="30"/>
      <c r="AII9" s="30"/>
      <c r="AIJ9" s="31"/>
      <c r="AIK9" s="31"/>
      <c r="AIL9" s="32"/>
      <c r="AIM9" s="32"/>
      <c r="AIN9" s="30"/>
      <c r="AIO9" s="30"/>
      <c r="AIP9" s="31"/>
      <c r="AIQ9" s="31"/>
      <c r="AIR9" s="32"/>
      <c r="AIS9" s="32"/>
      <c r="AIT9" s="30"/>
      <c r="AIU9" s="30"/>
      <c r="AIV9" s="31"/>
      <c r="AIW9" s="31"/>
      <c r="AIX9" s="32"/>
      <c r="AIY9" s="32"/>
      <c r="AIZ9" s="30"/>
      <c r="AJA9" s="30"/>
      <c r="AJB9" s="31"/>
      <c r="AJC9" s="31"/>
      <c r="AJD9" s="32"/>
      <c r="AJE9" s="32"/>
      <c r="AJF9" s="30"/>
      <c r="AJG9" s="30"/>
      <c r="AJH9" s="31"/>
      <c r="AJI9" s="31"/>
      <c r="AJJ9" s="32"/>
      <c r="AJK9" s="32"/>
      <c r="AJL9" s="30"/>
      <c r="AJM9" s="30"/>
      <c r="AJN9" s="31"/>
      <c r="AJO9" s="31"/>
      <c r="AJP9" s="32"/>
      <c r="AJQ9" s="32"/>
      <c r="AJR9" s="30"/>
      <c r="AJS9" s="30"/>
      <c r="AJT9" s="31"/>
      <c r="AJU9" s="31"/>
      <c r="AJV9" s="32"/>
      <c r="AJW9" s="32"/>
      <c r="AJX9" s="30"/>
      <c r="AJY9" s="30"/>
      <c r="AJZ9" s="31"/>
      <c r="AKA9" s="31" t="s">
        <v>59</v>
      </c>
      <c r="AKB9" s="32"/>
      <c r="AKC9" s="32"/>
      <c r="AKD9" s="30"/>
      <c r="AKE9" s="30"/>
      <c r="AKF9" s="31"/>
      <c r="AKG9" s="31"/>
      <c r="AKH9" s="32"/>
      <c r="AKI9" s="32"/>
      <c r="AKJ9" s="30"/>
      <c r="AKK9" s="30"/>
      <c r="AKL9" s="31"/>
      <c r="AKM9" s="31"/>
      <c r="AKN9" s="32"/>
      <c r="AKO9" s="32"/>
      <c r="AKP9" s="30" t="s">
        <v>173</v>
      </c>
      <c r="AKQ9" s="30"/>
      <c r="AKR9" s="31"/>
      <c r="AKS9" s="31"/>
      <c r="AKT9" s="32"/>
      <c r="AKU9" s="33" t="s">
        <v>583</v>
      </c>
      <c r="AKV9" s="30"/>
      <c r="AKW9" s="30" t="s">
        <v>46</v>
      </c>
      <c r="AKX9" s="31"/>
      <c r="AKY9" s="31"/>
      <c r="AKZ9" s="32"/>
      <c r="ALA9" s="32"/>
      <c r="ALB9" s="30" t="s">
        <v>448</v>
      </c>
      <c r="ALC9" s="30"/>
      <c r="ALD9" s="31" t="s">
        <v>618</v>
      </c>
      <c r="ALE9" s="31"/>
      <c r="ALF9" s="32"/>
      <c r="ALG9" s="32"/>
      <c r="ALH9" s="30"/>
      <c r="ALI9" s="30"/>
      <c r="ALJ9" s="31"/>
      <c r="ALK9" s="33" t="s">
        <v>583</v>
      </c>
      <c r="ALL9" s="32"/>
      <c r="ALM9" s="32"/>
      <c r="ALN9" s="33" t="s">
        <v>327</v>
      </c>
      <c r="ALO9" s="33" t="s">
        <v>300</v>
      </c>
      <c r="ALP9" s="31"/>
      <c r="ALQ9" s="31"/>
      <c r="ALR9" s="32"/>
      <c r="ALS9" s="32"/>
      <c r="ALT9" s="30"/>
      <c r="ALU9" s="30"/>
      <c r="ALV9" s="31"/>
      <c r="ALW9" s="31"/>
      <c r="ALX9" s="32"/>
      <c r="ALY9" s="32" t="s">
        <v>227</v>
      </c>
      <c r="ALZ9" s="30"/>
      <c r="AMA9" s="30"/>
      <c r="AMB9" s="40" t="s">
        <v>36</v>
      </c>
      <c r="AMC9" s="31"/>
      <c r="AMD9" s="32" t="s">
        <v>81</v>
      </c>
      <c r="AME9" s="32"/>
      <c r="AMF9" s="33" t="s">
        <v>594</v>
      </c>
      <c r="AMG9" s="30"/>
      <c r="AMH9" s="31"/>
      <c r="AMI9" s="31"/>
      <c r="AMJ9" s="32"/>
      <c r="AMK9" s="32"/>
      <c r="AML9" s="30"/>
      <c r="AMM9" s="30" t="s">
        <v>271</v>
      </c>
      <c r="AMN9" s="31" t="s">
        <v>64</v>
      </c>
      <c r="AMO9" s="31" t="s">
        <v>81</v>
      </c>
      <c r="AMP9" s="33" t="s">
        <v>74</v>
      </c>
      <c r="AMQ9" s="33" t="s">
        <v>94</v>
      </c>
      <c r="AMR9" s="30"/>
      <c r="AMS9" s="30"/>
      <c r="AMT9" s="31" t="s">
        <v>81</v>
      </c>
      <c r="AMU9" s="31"/>
      <c r="AMV9" s="32"/>
      <c r="AMW9" s="32"/>
      <c r="AMX9" s="30"/>
      <c r="AMY9" s="33" t="s">
        <v>74</v>
      </c>
      <c r="AMZ9" s="31"/>
      <c r="ANA9" s="33" t="s">
        <v>33</v>
      </c>
      <c r="ANB9" s="32"/>
      <c r="ANC9" s="32"/>
      <c r="AND9" s="30"/>
      <c r="ANE9" s="30"/>
      <c r="ANF9" s="33" t="s">
        <v>583</v>
      </c>
      <c r="ANG9" s="33" t="s">
        <v>41</v>
      </c>
      <c r="ANH9" s="33" t="s">
        <v>33</v>
      </c>
      <c r="ANI9" s="32"/>
      <c r="ANJ9" s="30"/>
      <c r="ANK9" s="30"/>
      <c r="ANL9" s="31"/>
      <c r="ANM9" s="31" t="s">
        <v>389</v>
      </c>
      <c r="ANN9" s="32"/>
      <c r="ANO9" s="32"/>
      <c r="ANP9" s="30"/>
      <c r="ANQ9" s="30"/>
      <c r="ANR9" s="33" t="s">
        <v>64</v>
      </c>
      <c r="ANS9" s="33" t="s">
        <v>46</v>
      </c>
      <c r="ANT9" s="32" t="s">
        <v>176</v>
      </c>
      <c r="ANU9" s="32"/>
      <c r="ANV9" s="30"/>
      <c r="ANW9" s="30"/>
      <c r="ANX9" s="31"/>
      <c r="ANY9" s="31"/>
      <c r="ANZ9" s="32"/>
      <c r="AOA9" s="32"/>
      <c r="AOB9" s="30"/>
      <c r="AOC9" s="30"/>
      <c r="AOD9" s="31" t="s">
        <v>594</v>
      </c>
      <c r="AOE9" s="33" t="s">
        <v>86</v>
      </c>
      <c r="AOF9" s="33" t="s">
        <v>46</v>
      </c>
      <c r="AOG9" s="33" t="s">
        <v>81</v>
      </c>
      <c r="AOH9" s="30" t="s">
        <v>173</v>
      </c>
      <c r="AOI9" s="30"/>
      <c r="AOJ9" s="31"/>
      <c r="AOK9" s="31"/>
      <c r="AOL9" s="32"/>
      <c r="AOM9" s="32"/>
      <c r="AON9" s="30"/>
      <c r="AOO9" s="30" t="s">
        <v>271</v>
      </c>
      <c r="AOP9" s="31"/>
      <c r="AOQ9" s="31" t="s">
        <v>33</v>
      </c>
      <c r="AOR9" s="32"/>
      <c r="AOS9" s="32"/>
      <c r="AOT9" s="33" t="s">
        <v>94</v>
      </c>
      <c r="AOU9" s="30"/>
      <c r="AOV9" s="31" t="s">
        <v>46</v>
      </c>
      <c r="AOW9" s="31"/>
      <c r="AOX9" s="32" t="s">
        <v>606</v>
      </c>
      <c r="AOY9" s="32"/>
      <c r="AOZ9" s="30"/>
      <c r="APA9" s="30"/>
      <c r="APB9" s="31"/>
      <c r="APC9" s="31"/>
      <c r="APD9" s="32"/>
      <c r="APE9" s="32" t="s">
        <v>36</v>
      </c>
      <c r="APF9" s="30"/>
      <c r="APG9" s="36" t="s">
        <v>102</v>
      </c>
      <c r="APH9" s="32"/>
      <c r="API9" s="32" t="s">
        <v>314</v>
      </c>
      <c r="APJ9" s="33" t="s">
        <v>46</v>
      </c>
      <c r="APK9" s="31"/>
      <c r="APL9" s="30" t="s">
        <v>601</v>
      </c>
      <c r="APM9" s="30"/>
      <c r="APN9" s="32"/>
      <c r="APO9" s="32"/>
      <c r="APP9" s="54" t="s">
        <v>289</v>
      </c>
      <c r="APQ9" s="31" t="s">
        <v>54</v>
      </c>
      <c r="APR9" s="30"/>
      <c r="APS9" s="30"/>
      <c r="APT9" s="32"/>
      <c r="APU9" s="32"/>
      <c r="APV9" s="31"/>
      <c r="APW9" s="31"/>
      <c r="APX9" s="30" t="s">
        <v>448</v>
      </c>
      <c r="APY9" s="30"/>
      <c r="APZ9" s="32"/>
      <c r="AQA9" s="32"/>
      <c r="AQB9" s="31"/>
      <c r="AQC9" s="31"/>
      <c r="AQD9" s="30"/>
      <c r="AQE9" s="30"/>
      <c r="AQF9" s="32"/>
      <c r="AQG9" s="32" t="s">
        <v>389</v>
      </c>
      <c r="AQH9" s="31"/>
      <c r="AQI9" s="31"/>
      <c r="AQJ9" s="30"/>
      <c r="AQK9" s="30"/>
      <c r="AQL9" s="32" t="s">
        <v>607</v>
      </c>
      <c r="AQM9" s="32"/>
      <c r="AQN9" s="31"/>
      <c r="AQO9" s="31"/>
      <c r="AQP9" s="30"/>
      <c r="AQQ9" s="30"/>
      <c r="AQR9" s="32"/>
      <c r="AQS9" s="32"/>
      <c r="AQT9" s="31"/>
      <c r="AQU9" s="31"/>
      <c r="AQV9" s="30"/>
      <c r="AQW9" s="30"/>
      <c r="AQX9" s="32"/>
      <c r="AQY9" s="32"/>
      <c r="AQZ9" s="31"/>
      <c r="ARA9" s="31"/>
      <c r="ARB9" s="30"/>
      <c r="ARC9" s="30"/>
      <c r="ARD9" s="32"/>
      <c r="ARE9" s="32"/>
      <c r="ARF9" s="31"/>
      <c r="ARG9" s="31"/>
      <c r="ARH9" s="30"/>
      <c r="ARI9" s="30"/>
      <c r="ARJ9" s="32"/>
      <c r="ARK9" s="32"/>
      <c r="ARL9" s="31"/>
      <c r="ARM9" s="31"/>
      <c r="ARN9" s="30" t="s">
        <v>46</v>
      </c>
      <c r="ARO9" s="30"/>
      <c r="ARP9" s="32"/>
      <c r="ARQ9" s="32"/>
      <c r="ARR9" s="31"/>
      <c r="ARS9" s="31"/>
      <c r="ART9" s="30"/>
      <c r="ARU9" s="30"/>
      <c r="ARV9" s="32"/>
      <c r="ARW9" s="32"/>
      <c r="ARX9" s="31"/>
      <c r="ARY9" s="31"/>
      <c r="ARZ9" s="30"/>
      <c r="ASA9" s="30"/>
      <c r="ASB9" s="32"/>
      <c r="ASC9" s="32"/>
      <c r="ASD9" s="31"/>
      <c r="ASE9" s="31"/>
      <c r="ASF9" s="30"/>
      <c r="ASG9" s="30"/>
      <c r="ASH9" s="32"/>
      <c r="ASI9" s="32"/>
      <c r="ASJ9" s="31"/>
      <c r="ASK9" s="31" t="s">
        <v>33</v>
      </c>
      <c r="ASL9" s="30"/>
      <c r="ASM9" s="30" t="s">
        <v>79</v>
      </c>
      <c r="ASN9" s="32"/>
      <c r="ASO9" s="32" t="s">
        <v>59</v>
      </c>
      <c r="ASP9" s="31"/>
      <c r="ASQ9" s="31"/>
      <c r="ASR9" s="30" t="s">
        <v>124</v>
      </c>
      <c r="ASS9" s="30"/>
      <c r="AST9" s="39" t="s">
        <v>81</v>
      </c>
      <c r="ASU9" s="32"/>
      <c r="ASV9" s="31"/>
      <c r="ASW9" s="31"/>
      <c r="ASX9" s="30"/>
      <c r="ASY9" s="30"/>
      <c r="ASZ9" s="32"/>
      <c r="ATA9" s="32"/>
      <c r="ATB9" s="31"/>
      <c r="ATC9" s="31"/>
      <c r="ATD9" s="30"/>
      <c r="ATE9" s="30"/>
      <c r="ATF9" s="32"/>
      <c r="ATG9" s="32"/>
      <c r="ATH9" s="31"/>
      <c r="ATI9" s="31"/>
      <c r="ATJ9" s="30"/>
      <c r="ATK9" s="30"/>
      <c r="ATL9" s="32"/>
      <c r="ATM9" s="32"/>
      <c r="ATN9" s="31"/>
      <c r="ATO9" s="31"/>
      <c r="ATP9" s="30"/>
      <c r="ATQ9" s="30"/>
      <c r="ATR9" s="32" t="s">
        <v>94</v>
      </c>
      <c r="ATS9" s="32"/>
      <c r="ATT9" s="40" t="s">
        <v>48</v>
      </c>
      <c r="ATU9" s="31"/>
      <c r="ATV9" s="30"/>
      <c r="ATW9" s="30"/>
      <c r="ATX9" s="32"/>
      <c r="ATY9" s="32"/>
      <c r="ATZ9" s="31"/>
      <c r="AUA9" s="31"/>
      <c r="AUB9" s="30"/>
      <c r="AUC9" s="30" t="s">
        <v>41</v>
      </c>
      <c r="AUD9" s="32"/>
      <c r="AUE9" s="32"/>
      <c r="AUF9" s="31"/>
      <c r="AUG9" s="31"/>
      <c r="AUH9" s="30"/>
      <c r="AUI9" s="30"/>
      <c r="AUJ9" s="32"/>
      <c r="AUK9" s="32"/>
      <c r="AUL9" s="31"/>
      <c r="AUM9" s="31"/>
      <c r="AUN9" s="30"/>
      <c r="AUO9" s="30" t="s">
        <v>69</v>
      </c>
      <c r="AUP9" s="32"/>
      <c r="AUQ9" s="32"/>
      <c r="AUR9" s="31"/>
      <c r="AUS9" s="31"/>
      <c r="AUT9" s="30" t="s">
        <v>300</v>
      </c>
      <c r="AUU9" s="30"/>
      <c r="AUV9" s="32"/>
      <c r="AUW9" s="32"/>
      <c r="AUX9" s="31"/>
      <c r="AUY9" s="31"/>
      <c r="AUZ9" s="30"/>
      <c r="AVA9" s="30"/>
      <c r="AVB9" s="32"/>
      <c r="AVC9" s="32"/>
      <c r="AVD9" s="31"/>
      <c r="AVE9" s="33" t="s">
        <v>124</v>
      </c>
      <c r="AVF9" s="30"/>
      <c r="AVG9" s="30"/>
      <c r="AVH9" s="33" t="s">
        <v>238</v>
      </c>
      <c r="AVI9" s="32"/>
      <c r="AVJ9" s="31"/>
      <c r="AVK9" s="31"/>
      <c r="AVL9" s="30"/>
      <c r="AVM9" s="30"/>
      <c r="AVN9" s="32"/>
      <c r="AVO9" s="32"/>
      <c r="AVP9" s="31"/>
      <c r="AVQ9" s="31" t="s">
        <v>48</v>
      </c>
      <c r="AVR9" s="30"/>
      <c r="AVS9" s="30" t="s">
        <v>271</v>
      </c>
      <c r="AVT9" s="32"/>
      <c r="AVU9" s="32"/>
      <c r="AVV9" s="31" t="s">
        <v>173</v>
      </c>
      <c r="AVW9" s="31"/>
      <c r="AVX9" s="30" t="s">
        <v>164</v>
      </c>
      <c r="AVY9" s="30"/>
      <c r="AVZ9" s="32"/>
      <c r="AWA9" s="32"/>
      <c r="AWB9" s="31"/>
      <c r="AWC9" s="31"/>
      <c r="AWD9" s="30"/>
      <c r="AWE9" s="30" t="s">
        <v>36</v>
      </c>
      <c r="AWF9" s="32"/>
      <c r="AWG9" s="32"/>
      <c r="AWH9" s="31"/>
      <c r="AWI9" s="31"/>
      <c r="AWJ9" s="30"/>
      <c r="AWK9" s="30"/>
      <c r="AWL9" s="39" t="s">
        <v>259</v>
      </c>
      <c r="AWM9" s="32"/>
      <c r="AWN9" s="31"/>
      <c r="AWO9" s="31"/>
      <c r="AWP9" s="30"/>
      <c r="AWQ9" s="30"/>
      <c r="AWR9" s="32"/>
      <c r="AWS9" s="33" t="s">
        <v>86</v>
      </c>
      <c r="AWT9" s="31"/>
      <c r="AWU9" s="31"/>
      <c r="AWV9" s="30"/>
      <c r="AWW9" s="30"/>
      <c r="AWX9" s="32"/>
      <c r="AWY9" s="32"/>
      <c r="AWZ9" s="31" t="s">
        <v>81</v>
      </c>
      <c r="AXA9" s="31"/>
      <c r="AXB9" s="30"/>
      <c r="AXC9" s="30"/>
      <c r="AXD9" s="32"/>
      <c r="AXE9" s="32"/>
      <c r="AXF9" s="31"/>
      <c r="AXG9" s="31" t="s">
        <v>185</v>
      </c>
      <c r="AXH9" s="30"/>
      <c r="AXI9" s="30" t="s">
        <v>451</v>
      </c>
      <c r="AXJ9" s="32"/>
      <c r="AXK9" s="32"/>
      <c r="AXL9" s="31" t="s">
        <v>300</v>
      </c>
      <c r="AXM9" s="31"/>
      <c r="AXN9" s="30" t="s">
        <v>587</v>
      </c>
      <c r="AXO9" s="30"/>
      <c r="AXP9" s="32"/>
      <c r="AXQ9" s="32"/>
      <c r="AXR9" s="31"/>
      <c r="AXS9" s="31"/>
      <c r="AXT9" s="30"/>
      <c r="AXU9" s="30"/>
      <c r="AXV9" s="32"/>
      <c r="AXW9" s="32"/>
      <c r="AXX9" s="31"/>
      <c r="AXY9" s="31"/>
      <c r="AXZ9" s="30"/>
      <c r="AYA9" s="30"/>
      <c r="AYB9" s="32"/>
      <c r="AYC9" s="32"/>
      <c r="AYD9" s="31"/>
      <c r="AYE9" s="31"/>
      <c r="AYF9" s="30"/>
      <c r="AYG9" s="30"/>
      <c r="AYH9" s="32"/>
      <c r="AYI9" s="32"/>
      <c r="AYJ9" s="31"/>
      <c r="AYK9" s="31"/>
      <c r="AYL9" s="30"/>
      <c r="AYM9" s="30"/>
      <c r="AYN9" s="32"/>
      <c r="AYO9" s="32"/>
      <c r="AYP9" s="31"/>
      <c r="AYQ9" s="31"/>
      <c r="AYR9" s="30"/>
      <c r="AYS9" s="30"/>
      <c r="AYT9" s="32"/>
      <c r="AYU9" s="32"/>
      <c r="AYV9" s="31"/>
      <c r="AYW9" s="31"/>
      <c r="AYX9" s="30"/>
      <c r="AYY9" s="30"/>
      <c r="AYZ9" s="32"/>
      <c r="AZA9" s="32"/>
      <c r="AZB9" s="31"/>
      <c r="AZC9" s="31"/>
      <c r="AZD9" s="30"/>
      <c r="AZE9" s="30"/>
      <c r="AZF9" s="32"/>
      <c r="AZG9" s="32"/>
      <c r="AZH9" s="31"/>
      <c r="AZI9" s="31"/>
      <c r="AZJ9" s="30"/>
      <c r="AZK9" s="30"/>
      <c r="AZL9" s="32"/>
      <c r="AZM9" s="32"/>
      <c r="AZN9" s="31"/>
      <c r="AZO9" s="31"/>
      <c r="AZP9" s="30"/>
      <c r="AZQ9" s="30"/>
      <c r="AZR9" s="32"/>
      <c r="AZS9" s="32"/>
      <c r="AZT9" s="31"/>
      <c r="AZU9" s="31"/>
      <c r="AZV9" s="30"/>
      <c r="AZW9" s="30"/>
      <c r="AZX9" s="32"/>
      <c r="AZY9" s="32"/>
      <c r="AZZ9" s="31"/>
      <c r="BAA9" s="31"/>
      <c r="BAB9" s="30"/>
      <c r="BAC9" s="30"/>
      <c r="BAD9" s="32"/>
      <c r="BAE9" s="32"/>
      <c r="BAF9" s="31"/>
      <c r="BAG9" s="31"/>
      <c r="BAH9" s="30"/>
      <c r="BAI9" s="30"/>
      <c r="BAJ9" s="32"/>
      <c r="BAK9" s="32"/>
      <c r="BAL9" s="31"/>
      <c r="BAM9" s="31"/>
      <c r="BAN9" s="30"/>
      <c r="BAO9" s="30"/>
      <c r="BAP9" s="32"/>
      <c r="BAQ9" s="32"/>
      <c r="BAR9" s="31"/>
      <c r="BAS9" s="31"/>
      <c r="BAT9" s="30"/>
      <c r="BAU9" s="30"/>
      <c r="BAV9" s="32"/>
      <c r="BAW9" s="32"/>
      <c r="BAX9" s="31"/>
      <c r="BAY9" s="31"/>
      <c r="BAZ9" s="30"/>
      <c r="BBA9" s="30"/>
      <c r="BBB9" s="32"/>
      <c r="BBC9" s="32"/>
      <c r="BBD9" s="31"/>
      <c r="BBE9" s="31"/>
      <c r="BBF9" s="30"/>
      <c r="BBG9" s="30"/>
      <c r="BBH9" s="32"/>
      <c r="BBI9" s="32"/>
      <c r="BBJ9" s="31"/>
      <c r="BBK9" s="31"/>
      <c r="BBL9" s="30"/>
      <c r="BBM9" s="30"/>
      <c r="BBN9" s="32"/>
      <c r="BBO9" s="32"/>
      <c r="BBP9" s="31"/>
      <c r="BBQ9" s="31"/>
      <c r="BBR9" s="30"/>
      <c r="BBS9" s="30"/>
      <c r="BBT9" s="32"/>
      <c r="BBU9" s="32"/>
      <c r="BBV9" s="31"/>
      <c r="BBW9" s="31"/>
      <c r="BBX9" s="30"/>
      <c r="BBY9" s="30"/>
      <c r="BBZ9" s="32"/>
      <c r="BCA9" s="32"/>
      <c r="BCB9" s="31"/>
      <c r="BCC9" s="31"/>
      <c r="BCD9" s="30"/>
      <c r="BCE9" s="30"/>
      <c r="BCF9" s="32"/>
      <c r="BCG9" s="32"/>
      <c r="BCH9" s="31"/>
      <c r="BCI9" s="31"/>
      <c r="BCJ9" s="30"/>
      <c r="BCK9" s="30"/>
      <c r="BCL9" s="32"/>
      <c r="BCM9" s="32"/>
      <c r="BCN9" s="31"/>
      <c r="BCO9" s="31"/>
      <c r="BCP9" s="30"/>
      <c r="BCQ9" s="30"/>
    </row>
    <row r="10" spans="1:1447">
      <c r="A10" s="30"/>
      <c r="B10" s="30"/>
      <c r="C10" s="31"/>
      <c r="D10" s="31"/>
      <c r="E10" s="32"/>
      <c r="F10" s="32"/>
      <c r="G10" s="30"/>
      <c r="H10" s="30"/>
      <c r="I10" s="31"/>
      <c r="J10" s="31"/>
      <c r="K10" s="32"/>
      <c r="L10" s="32"/>
      <c r="M10" s="30"/>
      <c r="N10" s="30"/>
      <c r="O10" s="31"/>
      <c r="P10" s="31"/>
      <c r="Q10" s="32"/>
      <c r="R10" s="32"/>
      <c r="S10" s="30"/>
      <c r="T10" s="30"/>
      <c r="U10" s="31"/>
      <c r="V10" s="31"/>
      <c r="W10" s="32"/>
      <c r="X10" s="32"/>
      <c r="Y10" s="30"/>
      <c r="Z10" s="30"/>
      <c r="AA10" s="31"/>
      <c r="AB10" s="31"/>
      <c r="AC10" s="32"/>
      <c r="AD10" s="32"/>
      <c r="AE10" s="30"/>
      <c r="AF10" s="30"/>
      <c r="AG10" s="31"/>
      <c r="AH10" s="31"/>
      <c r="AI10" s="32"/>
      <c r="AJ10" s="32"/>
      <c r="AK10" s="30"/>
      <c r="AL10" s="30"/>
      <c r="AM10" s="31"/>
      <c r="AN10" s="31"/>
      <c r="AO10" s="32"/>
      <c r="AP10" s="32"/>
      <c r="AQ10" s="30"/>
      <c r="AR10" s="30"/>
      <c r="AS10" s="31"/>
      <c r="AT10" s="31"/>
      <c r="AU10" s="32"/>
      <c r="AV10" s="32"/>
      <c r="AW10" s="30"/>
      <c r="AX10" s="30"/>
      <c r="AY10" s="31"/>
      <c r="AZ10" s="31"/>
      <c r="BA10" s="32"/>
      <c r="BB10" s="32"/>
      <c r="BC10" s="30"/>
      <c r="BD10" s="30"/>
      <c r="BE10" s="31"/>
      <c r="BF10" s="31"/>
      <c r="BG10" s="32"/>
      <c r="BH10" s="32"/>
      <c r="BI10" s="30"/>
      <c r="BJ10" s="30"/>
      <c r="BK10" s="31"/>
      <c r="BL10" s="31"/>
      <c r="BM10" s="32"/>
      <c r="BN10" s="32"/>
      <c r="BO10" s="30"/>
      <c r="BP10" s="30"/>
      <c r="BQ10" s="31"/>
      <c r="BR10" s="31"/>
      <c r="BS10" s="32"/>
      <c r="BT10" s="32"/>
      <c r="BU10" s="30"/>
      <c r="BV10" s="30"/>
      <c r="BW10" s="31"/>
      <c r="BX10" s="31"/>
      <c r="BY10" s="32"/>
      <c r="BZ10" s="32"/>
      <c r="CA10" s="30"/>
      <c r="CB10" s="30"/>
      <c r="CC10" s="31"/>
      <c r="CD10" s="31"/>
      <c r="CE10" s="32"/>
      <c r="CF10" s="32"/>
      <c r="CG10" s="30"/>
      <c r="CH10" s="30"/>
      <c r="CI10" s="31"/>
      <c r="CJ10" s="33" t="s">
        <v>54</v>
      </c>
      <c r="CK10" s="32"/>
      <c r="CL10" s="32"/>
      <c r="CM10" s="30"/>
      <c r="CN10" s="30"/>
      <c r="CO10" s="31"/>
      <c r="CP10" s="31"/>
      <c r="CQ10" s="32" t="s">
        <v>581</v>
      </c>
      <c r="CR10" s="32"/>
      <c r="CS10" s="30"/>
      <c r="CT10" s="30"/>
      <c r="CU10" s="31"/>
      <c r="CV10" s="31"/>
      <c r="CW10" s="32"/>
      <c r="CX10" s="32"/>
      <c r="CY10" s="30"/>
      <c r="CZ10" s="30"/>
      <c r="DA10" s="31"/>
      <c r="DB10" s="31"/>
      <c r="DC10" s="32"/>
      <c r="DD10" s="32"/>
      <c r="DE10" s="30"/>
      <c r="DF10" s="30"/>
      <c r="DG10" s="31"/>
      <c r="DH10" s="31"/>
      <c r="DI10" s="32"/>
      <c r="DJ10" s="32"/>
      <c r="DK10" s="30"/>
      <c r="DL10" s="30"/>
      <c r="DM10" s="31"/>
      <c r="DN10" s="31"/>
      <c r="DO10" s="32"/>
      <c r="DP10" s="32"/>
      <c r="DQ10" s="30"/>
      <c r="DR10" s="30"/>
      <c r="DS10" s="31"/>
      <c r="DT10" s="31"/>
      <c r="DU10" s="32"/>
      <c r="DV10" s="32"/>
      <c r="DW10" s="30"/>
      <c r="DX10" s="30"/>
      <c r="DY10" s="31"/>
      <c r="DZ10" s="31"/>
      <c r="EA10" s="32"/>
      <c r="EB10" s="32"/>
      <c r="EC10" s="30"/>
      <c r="ED10" s="30"/>
      <c r="EE10" s="31"/>
      <c r="EF10" s="31"/>
      <c r="EG10" s="32"/>
      <c r="EH10" s="32"/>
      <c r="EI10" s="30"/>
      <c r="EJ10" s="30"/>
      <c r="EK10" s="31"/>
      <c r="EL10" s="31"/>
      <c r="EM10" s="32"/>
      <c r="EN10" s="32"/>
      <c r="EO10" s="30"/>
      <c r="EP10" s="30"/>
      <c r="EQ10" s="31"/>
      <c r="ER10" s="31"/>
      <c r="ES10" s="32"/>
      <c r="ET10" s="32"/>
      <c r="EU10" s="30"/>
      <c r="EV10" s="30"/>
      <c r="EW10" s="31"/>
      <c r="EX10" s="31"/>
      <c r="EY10" s="32"/>
      <c r="EZ10" s="32"/>
      <c r="FA10" s="30"/>
      <c r="FB10" s="30"/>
      <c r="FC10" s="31"/>
      <c r="FD10" s="31"/>
      <c r="FE10" s="32"/>
      <c r="FF10" s="32"/>
      <c r="FG10" s="30"/>
      <c r="FH10" s="30"/>
      <c r="FI10" s="33" t="s">
        <v>448</v>
      </c>
      <c r="FJ10" s="32"/>
      <c r="FK10" s="30" t="s">
        <v>363</v>
      </c>
      <c r="FL10" s="30"/>
      <c r="FM10" s="31"/>
      <c r="FN10" s="31"/>
      <c r="FO10" s="32"/>
      <c r="FP10" s="32"/>
      <c r="FQ10" s="30"/>
      <c r="FR10" s="30"/>
      <c r="FS10" s="31"/>
      <c r="FT10" s="31"/>
      <c r="FU10" s="32"/>
      <c r="FV10" s="32"/>
      <c r="FW10" s="30"/>
      <c r="FX10" s="30"/>
      <c r="FY10" s="31"/>
      <c r="FZ10" s="31"/>
      <c r="GA10" s="32"/>
      <c r="GB10" s="32"/>
      <c r="GC10" s="30"/>
      <c r="GD10" s="30"/>
      <c r="GE10" s="31"/>
      <c r="GF10" s="31"/>
      <c r="GG10" s="32"/>
      <c r="GH10" s="32"/>
      <c r="GI10" s="30"/>
      <c r="GJ10" s="30"/>
      <c r="GK10" s="31"/>
      <c r="GL10" s="31"/>
      <c r="GM10" s="32"/>
      <c r="GN10" s="32"/>
      <c r="GO10" s="30"/>
      <c r="GP10" s="30"/>
      <c r="GQ10" s="31"/>
      <c r="GR10" s="31"/>
      <c r="GS10" s="32"/>
      <c r="GT10" s="32"/>
      <c r="GU10" s="30"/>
      <c r="GV10" s="30"/>
      <c r="GW10" s="31"/>
      <c r="GX10" s="31"/>
      <c r="GY10" s="32"/>
      <c r="GZ10" s="32"/>
      <c r="HA10" s="30"/>
      <c r="HB10" s="30"/>
      <c r="HC10" s="31"/>
      <c r="HD10" s="31"/>
      <c r="HE10" s="32"/>
      <c r="HF10" s="32"/>
      <c r="HG10" s="30"/>
      <c r="HH10" s="30"/>
      <c r="HI10" s="31"/>
      <c r="HJ10" s="31"/>
      <c r="HK10" s="32"/>
      <c r="HL10" s="32"/>
      <c r="HM10" s="30" t="s">
        <v>74</v>
      </c>
      <c r="HN10" s="30"/>
      <c r="HO10" s="31"/>
      <c r="HP10" s="31"/>
      <c r="HQ10" s="32"/>
      <c r="HR10" s="32"/>
      <c r="HS10" s="30"/>
      <c r="HT10" s="30" t="s">
        <v>588</v>
      </c>
      <c r="HU10" s="31"/>
      <c r="HV10" s="31"/>
      <c r="HW10" s="32"/>
      <c r="HX10" s="32"/>
      <c r="HY10" s="30"/>
      <c r="HZ10" s="30"/>
      <c r="IA10" s="31"/>
      <c r="IB10" s="31"/>
      <c r="IC10" s="32"/>
      <c r="ID10" s="32"/>
      <c r="IE10" s="30"/>
      <c r="IF10" s="30"/>
      <c r="IG10" s="31"/>
      <c r="IH10" s="31"/>
      <c r="II10" s="32"/>
      <c r="IJ10" s="32"/>
      <c r="IK10" s="30"/>
      <c r="IL10" s="30"/>
      <c r="IM10" s="31"/>
      <c r="IN10" s="31"/>
      <c r="IO10" s="32"/>
      <c r="IP10" s="32"/>
      <c r="IQ10" s="30"/>
      <c r="IR10" s="30"/>
      <c r="IS10" s="31"/>
      <c r="IT10" s="31"/>
      <c r="IU10" s="32"/>
      <c r="IV10" s="32"/>
      <c r="IW10" s="30"/>
      <c r="IX10" s="30"/>
      <c r="IY10" s="31"/>
      <c r="IZ10" s="31"/>
      <c r="JA10" s="33" t="s">
        <v>46</v>
      </c>
      <c r="JB10" s="32"/>
      <c r="JC10" s="30"/>
      <c r="JD10" s="30"/>
      <c r="JE10" s="31"/>
      <c r="JF10" s="31"/>
      <c r="JG10" s="32"/>
      <c r="JH10" s="32"/>
      <c r="JI10" s="30"/>
      <c r="JJ10" s="30"/>
      <c r="JK10" s="31"/>
      <c r="JL10" s="31"/>
      <c r="JM10" s="32"/>
      <c r="JN10" s="32"/>
      <c r="JO10" s="30" t="s">
        <v>319</v>
      </c>
      <c r="JP10" s="30"/>
      <c r="JQ10" s="33" t="s">
        <v>595</v>
      </c>
      <c r="JR10" s="31"/>
      <c r="JS10" s="32"/>
      <c r="JT10" s="32"/>
      <c r="JU10" s="30"/>
      <c r="JV10" s="30"/>
      <c r="JW10" s="31" t="s">
        <v>448</v>
      </c>
      <c r="JX10" s="31" t="s">
        <v>594</v>
      </c>
      <c r="JY10" s="32"/>
      <c r="JZ10" s="32" t="s">
        <v>164</v>
      </c>
      <c r="KA10" s="30"/>
      <c r="KB10" s="30"/>
      <c r="KC10" s="31"/>
      <c r="KD10" s="31"/>
      <c r="KE10" s="32" t="s">
        <v>590</v>
      </c>
      <c r="KF10" s="32"/>
      <c r="KG10" s="30"/>
      <c r="KH10" s="30"/>
      <c r="KI10" s="31"/>
      <c r="KJ10" s="31"/>
      <c r="KK10" s="32"/>
      <c r="KL10" s="32" t="s">
        <v>81</v>
      </c>
      <c r="KM10" s="30"/>
      <c r="KN10" s="30"/>
      <c r="KO10" s="31"/>
      <c r="KP10" s="31"/>
      <c r="KQ10" s="33" t="s">
        <v>600</v>
      </c>
      <c r="KR10" s="32"/>
      <c r="KS10" s="30" t="s">
        <v>589</v>
      </c>
      <c r="KT10" s="30"/>
      <c r="KU10" s="31"/>
      <c r="KV10" s="31"/>
      <c r="KW10" s="32"/>
      <c r="KX10" s="32"/>
      <c r="KY10" s="30"/>
      <c r="KZ10" s="30" t="s">
        <v>124</v>
      </c>
      <c r="LA10" s="31"/>
      <c r="LB10" s="31"/>
      <c r="LC10" s="32"/>
      <c r="LD10" s="33" t="s">
        <v>588</v>
      </c>
      <c r="LE10" s="41" t="s">
        <v>593</v>
      </c>
      <c r="LF10" s="30"/>
      <c r="LG10" s="31" t="s">
        <v>590</v>
      </c>
      <c r="LH10" s="31"/>
      <c r="LI10" s="32"/>
      <c r="LJ10" s="32"/>
      <c r="LK10" s="30"/>
      <c r="LL10" s="30"/>
      <c r="LM10" s="31"/>
      <c r="LN10" s="31" t="s">
        <v>164</v>
      </c>
      <c r="LO10" s="32"/>
      <c r="LP10" s="32"/>
      <c r="LQ10" s="30"/>
      <c r="LR10" s="30" t="s">
        <v>598</v>
      </c>
      <c r="LS10" s="33" t="s">
        <v>590</v>
      </c>
      <c r="LT10" s="33" t="s">
        <v>588</v>
      </c>
      <c r="LU10" s="32" t="s">
        <v>300</v>
      </c>
      <c r="LV10" s="32"/>
      <c r="LW10" s="30"/>
      <c r="LX10" s="30"/>
      <c r="LY10" s="31"/>
      <c r="LZ10" s="31"/>
      <c r="MA10" s="32"/>
      <c r="MB10" s="32"/>
      <c r="MC10" s="33" t="s">
        <v>54</v>
      </c>
      <c r="MD10" s="33" t="s">
        <v>587</v>
      </c>
      <c r="ME10" s="33" t="s">
        <v>588</v>
      </c>
      <c r="MF10" s="33" t="s">
        <v>451</v>
      </c>
      <c r="MG10" s="32" t="s">
        <v>59</v>
      </c>
      <c r="MH10" s="32"/>
      <c r="MI10" s="30" t="s">
        <v>594</v>
      </c>
      <c r="MJ10" s="30" t="s">
        <v>300</v>
      </c>
      <c r="MK10" s="31"/>
      <c r="ML10" s="31"/>
      <c r="MM10" s="32"/>
      <c r="MN10" s="32"/>
      <c r="MO10" s="30"/>
      <c r="MP10" s="30" t="s">
        <v>319</v>
      </c>
      <c r="MQ10" s="31" t="s">
        <v>592</v>
      </c>
      <c r="MR10" s="31"/>
      <c r="MS10" s="32"/>
      <c r="MT10" s="32"/>
      <c r="MU10" s="30" t="s">
        <v>598</v>
      </c>
      <c r="MV10" s="30"/>
      <c r="MW10" s="31"/>
      <c r="MX10" s="31"/>
      <c r="MY10" s="32"/>
      <c r="MZ10" s="32"/>
      <c r="NA10" s="30"/>
      <c r="NB10" s="30"/>
      <c r="NC10" s="31"/>
      <c r="ND10" s="31" t="s">
        <v>597</v>
      </c>
      <c r="NE10" s="32"/>
      <c r="NF10" s="32"/>
      <c r="NG10" s="30"/>
      <c r="NH10" s="30"/>
      <c r="NI10" s="31"/>
      <c r="NJ10" s="31"/>
      <c r="NK10" s="32"/>
      <c r="NL10" s="32"/>
      <c r="NM10" s="30"/>
      <c r="NN10" s="30"/>
      <c r="NO10" s="31"/>
      <c r="NP10" s="31"/>
      <c r="NQ10" s="32"/>
      <c r="NR10" s="32"/>
      <c r="NS10" s="30"/>
      <c r="NT10" s="30"/>
      <c r="NU10" s="31"/>
      <c r="NV10" s="31"/>
      <c r="NW10" s="32"/>
      <c r="NX10" s="32"/>
      <c r="NY10" s="30"/>
      <c r="NZ10" s="30"/>
      <c r="OA10" s="31"/>
      <c r="OB10" s="31"/>
      <c r="OC10" s="32"/>
      <c r="OD10" s="32"/>
      <c r="OE10" s="30"/>
      <c r="OF10" s="30"/>
      <c r="OG10" s="31"/>
      <c r="OH10" s="31"/>
      <c r="OI10" s="32"/>
      <c r="OJ10" s="32"/>
      <c r="OK10" s="30" t="s">
        <v>590</v>
      </c>
      <c r="OL10" s="30"/>
      <c r="OM10" s="31"/>
      <c r="ON10" s="31"/>
      <c r="OO10" s="32"/>
      <c r="OP10" s="32"/>
      <c r="OQ10" s="30"/>
      <c r="OR10" s="30"/>
      <c r="OS10" s="31"/>
      <c r="OT10" s="31"/>
      <c r="OU10" s="32"/>
      <c r="OV10" s="32"/>
      <c r="OW10" s="30"/>
      <c r="OX10" s="30"/>
      <c r="OY10" s="31"/>
      <c r="OZ10" s="31"/>
      <c r="PA10" s="32"/>
      <c r="PB10" s="32"/>
      <c r="PC10" s="30"/>
      <c r="PD10" s="30"/>
      <c r="PE10" s="31"/>
      <c r="PF10" s="31"/>
      <c r="PG10" s="32"/>
      <c r="PH10" s="32"/>
      <c r="PI10" s="30"/>
      <c r="PJ10" s="30"/>
      <c r="PK10" s="31"/>
      <c r="PL10" s="31"/>
      <c r="PM10" s="32"/>
      <c r="PN10" s="32"/>
      <c r="PO10" s="30"/>
      <c r="PP10" s="30"/>
      <c r="PQ10" s="31"/>
      <c r="PR10" s="31"/>
      <c r="PS10" s="32"/>
      <c r="PT10" s="32"/>
      <c r="PU10" s="30"/>
      <c r="PV10" s="30"/>
      <c r="PW10" s="31"/>
      <c r="PX10" s="31"/>
      <c r="PY10" s="32"/>
      <c r="PZ10" s="32"/>
      <c r="QA10" s="30"/>
      <c r="QB10" s="30"/>
      <c r="QC10" s="31"/>
      <c r="QD10" s="31"/>
      <c r="QE10" s="32"/>
      <c r="QF10" s="32"/>
      <c r="QG10" s="30"/>
      <c r="QH10" s="30"/>
      <c r="QI10" s="31"/>
      <c r="QJ10" s="31"/>
      <c r="QK10" s="32"/>
      <c r="QL10" s="32" t="s">
        <v>54</v>
      </c>
      <c r="QM10" s="30"/>
      <c r="QN10" s="30"/>
      <c r="QO10" s="31"/>
      <c r="QP10" s="31"/>
      <c r="QQ10" s="32" t="s">
        <v>389</v>
      </c>
      <c r="QR10" s="32"/>
      <c r="QS10" s="30"/>
      <c r="QT10" s="30"/>
      <c r="QU10" s="31"/>
      <c r="QV10" s="31"/>
      <c r="QW10" s="32"/>
      <c r="QX10" s="32"/>
      <c r="QY10" s="30"/>
      <c r="QZ10" s="30"/>
      <c r="RA10" s="31"/>
      <c r="RB10" s="31"/>
      <c r="RC10" s="32"/>
      <c r="RD10" s="32"/>
      <c r="RE10" s="30"/>
      <c r="RF10" s="30"/>
      <c r="RG10" s="31"/>
      <c r="RH10" s="31"/>
      <c r="RI10" s="32"/>
      <c r="RJ10" s="32"/>
      <c r="RK10" s="30"/>
      <c r="RL10" s="30"/>
      <c r="RM10" s="31"/>
      <c r="RN10" s="31"/>
      <c r="RO10" s="32"/>
      <c r="RP10" s="32"/>
      <c r="RQ10" s="30"/>
      <c r="RR10" s="30"/>
      <c r="RS10" s="31"/>
      <c r="RT10" s="31"/>
      <c r="RU10" s="32"/>
      <c r="RV10" s="32"/>
      <c r="RW10" s="30"/>
      <c r="RX10" s="30"/>
      <c r="RY10" s="31"/>
      <c r="RZ10" s="31"/>
      <c r="SA10" s="32"/>
      <c r="SB10" s="32"/>
      <c r="SC10" s="30"/>
      <c r="SD10" s="30"/>
      <c r="SE10" s="31"/>
      <c r="SF10" s="31"/>
      <c r="SG10" s="32"/>
      <c r="SH10" s="32"/>
      <c r="SI10" s="30"/>
      <c r="SJ10" s="30"/>
      <c r="SK10" s="30"/>
      <c r="SL10" s="31"/>
      <c r="SM10" s="31"/>
      <c r="SN10" s="32"/>
      <c r="SO10" s="32"/>
      <c r="SP10" s="30"/>
      <c r="SQ10" s="30"/>
      <c r="SR10" s="31"/>
      <c r="SS10" s="31"/>
      <c r="ST10" s="32" t="s">
        <v>271</v>
      </c>
      <c r="SU10" s="32"/>
      <c r="SV10" s="30"/>
      <c r="SW10" s="30"/>
      <c r="SX10" s="31"/>
      <c r="SY10" s="31"/>
      <c r="SZ10" s="32"/>
      <c r="TA10" s="32"/>
      <c r="TB10" s="30"/>
      <c r="TC10" s="30" t="s">
        <v>81</v>
      </c>
      <c r="TD10" s="31"/>
      <c r="TE10" s="31"/>
      <c r="TF10" s="32"/>
      <c r="TG10" s="32"/>
      <c r="TH10" s="30" t="s">
        <v>363</v>
      </c>
      <c r="TI10" s="30"/>
      <c r="TJ10" s="31"/>
      <c r="TK10" s="31"/>
      <c r="TL10" s="32"/>
      <c r="TM10" s="32"/>
      <c r="TN10" s="30"/>
      <c r="TO10" s="30" t="s">
        <v>36</v>
      </c>
      <c r="TP10" s="31"/>
      <c r="TQ10" s="33" t="s">
        <v>319</v>
      </c>
      <c r="TR10" s="32"/>
      <c r="TS10" s="32"/>
      <c r="TT10" s="30" t="s">
        <v>54</v>
      </c>
      <c r="TU10" s="30"/>
      <c r="TV10" s="31" t="s">
        <v>319</v>
      </c>
      <c r="TW10" s="31"/>
      <c r="TX10" s="32"/>
      <c r="TY10" s="32"/>
      <c r="TZ10" s="30"/>
      <c r="UA10" s="30"/>
      <c r="UB10" s="31"/>
      <c r="UC10" s="31"/>
      <c r="UD10" s="32"/>
      <c r="UE10" s="32" t="s">
        <v>164</v>
      </c>
      <c r="UF10" s="30"/>
      <c r="UG10" s="30"/>
      <c r="UH10" s="31"/>
      <c r="UI10" s="31"/>
      <c r="UJ10" s="32" t="s">
        <v>603</v>
      </c>
      <c r="UK10" s="32"/>
      <c r="UL10" s="30"/>
      <c r="UM10" s="30"/>
      <c r="UN10" s="31"/>
      <c r="UO10" s="31"/>
      <c r="UP10" s="32"/>
      <c r="UQ10" s="32"/>
      <c r="UR10" s="30"/>
      <c r="US10" s="30"/>
      <c r="UT10" s="31"/>
      <c r="UU10" s="31"/>
      <c r="UV10" s="32"/>
      <c r="UW10" s="32"/>
      <c r="UX10" s="30"/>
      <c r="UY10" s="30"/>
      <c r="UZ10" s="31" t="s">
        <v>79</v>
      </c>
      <c r="VA10" s="31"/>
      <c r="VB10" s="32"/>
      <c r="VC10" s="32"/>
      <c r="VD10" s="30"/>
      <c r="VE10" s="30"/>
      <c r="VF10" s="31"/>
      <c r="VG10" s="31"/>
      <c r="VH10" s="32"/>
      <c r="VI10" s="32" t="s">
        <v>36</v>
      </c>
      <c r="VJ10" s="30"/>
      <c r="VK10" s="30"/>
      <c r="VL10" s="31"/>
      <c r="VM10" s="31"/>
      <c r="VN10" s="32" t="s">
        <v>176</v>
      </c>
      <c r="VO10" s="32"/>
      <c r="VP10" s="30"/>
      <c r="VQ10" s="30"/>
      <c r="VR10" s="31"/>
      <c r="VS10" s="31"/>
      <c r="VT10" s="32"/>
      <c r="VU10" s="32"/>
      <c r="VV10" s="30"/>
      <c r="VW10" s="30"/>
      <c r="VX10" s="31"/>
      <c r="VY10" s="31"/>
      <c r="VZ10" s="32"/>
      <c r="WA10" s="32"/>
      <c r="WB10" s="30"/>
      <c r="WC10" s="30"/>
      <c r="WD10" s="31"/>
      <c r="WE10" s="31"/>
      <c r="WF10" s="32"/>
      <c r="WG10" s="32"/>
      <c r="WH10" s="30"/>
      <c r="WI10" s="30"/>
      <c r="WJ10" s="31"/>
      <c r="WK10" s="31"/>
      <c r="WL10" s="32"/>
      <c r="WM10" s="32"/>
      <c r="WN10" s="30"/>
      <c r="WO10" s="30"/>
      <c r="WP10" s="31"/>
      <c r="WQ10" s="31"/>
      <c r="WR10" s="32"/>
      <c r="WS10" s="32"/>
      <c r="WT10" s="30"/>
      <c r="WU10" s="30"/>
      <c r="WV10" s="31"/>
      <c r="WW10" s="31"/>
      <c r="WX10" s="32"/>
      <c r="WY10" s="32"/>
      <c r="WZ10" s="30"/>
      <c r="XA10" s="30"/>
      <c r="XB10" s="31"/>
      <c r="XC10" s="31"/>
      <c r="XD10" s="32"/>
      <c r="XE10" s="32"/>
      <c r="XF10" s="30"/>
      <c r="XG10" s="30"/>
      <c r="XH10" s="31"/>
      <c r="XI10" s="31"/>
      <c r="XJ10" s="32"/>
      <c r="XK10" s="32"/>
      <c r="XL10" s="30"/>
      <c r="XM10" s="30"/>
      <c r="XN10" s="31"/>
      <c r="XO10" s="31"/>
      <c r="XP10" s="32"/>
      <c r="XQ10" s="32"/>
      <c r="XR10" s="30"/>
      <c r="XS10" s="30"/>
      <c r="XT10" s="31"/>
      <c r="XU10" s="31"/>
      <c r="XV10" s="32"/>
      <c r="XW10" s="32"/>
      <c r="XX10" s="30"/>
      <c r="XY10" s="30"/>
      <c r="XZ10" s="31"/>
      <c r="YA10" s="31" t="s">
        <v>79</v>
      </c>
      <c r="YB10" s="32"/>
      <c r="YC10" s="32"/>
      <c r="YD10" s="30"/>
      <c r="YE10" s="30"/>
      <c r="YF10" s="31" t="s">
        <v>368</v>
      </c>
      <c r="YG10" s="31"/>
      <c r="YH10" s="32"/>
      <c r="YI10" s="32"/>
      <c r="YJ10" s="30"/>
      <c r="YK10" s="30"/>
      <c r="YL10" s="31"/>
      <c r="YM10" s="31"/>
      <c r="YN10" s="32"/>
      <c r="YO10" s="32"/>
      <c r="YP10" s="30"/>
      <c r="YQ10" s="30"/>
      <c r="YR10" s="31"/>
      <c r="YS10" s="31"/>
      <c r="YT10" s="32"/>
      <c r="YU10" s="32"/>
      <c r="YV10" s="30"/>
      <c r="YW10" s="30"/>
      <c r="YX10" s="31"/>
      <c r="YY10" s="31"/>
      <c r="YZ10" s="32"/>
      <c r="ZA10" s="32"/>
      <c r="ZB10" s="30"/>
      <c r="ZC10" s="30"/>
      <c r="ZD10" s="31"/>
      <c r="ZE10" s="31"/>
      <c r="ZF10" s="32"/>
      <c r="ZG10" s="32"/>
      <c r="ZH10" s="30"/>
      <c r="ZI10" s="30"/>
      <c r="ZJ10" s="31"/>
      <c r="ZK10" s="31"/>
      <c r="ZL10" s="32"/>
      <c r="ZM10" s="32"/>
      <c r="ZN10" s="30"/>
      <c r="ZO10" s="30"/>
      <c r="ZP10" s="31"/>
      <c r="ZQ10" s="31"/>
      <c r="ZR10" s="32"/>
      <c r="ZS10" s="32"/>
      <c r="ZT10" s="30"/>
      <c r="ZU10" s="30"/>
      <c r="ZV10" s="31"/>
      <c r="ZW10" s="31"/>
      <c r="ZX10" s="32"/>
      <c r="ZY10" s="32"/>
      <c r="ZZ10" s="30"/>
      <c r="AAA10" s="30"/>
      <c r="AAB10" s="31"/>
      <c r="AAC10" s="31"/>
      <c r="AAD10" s="32"/>
      <c r="AAE10" s="32" t="s">
        <v>59</v>
      </c>
      <c r="AAF10" s="30"/>
      <c r="AAG10" s="30"/>
      <c r="AAH10" s="31"/>
      <c r="AAI10" s="31"/>
      <c r="AAJ10" s="32"/>
      <c r="AAK10" s="32"/>
      <c r="AAL10" s="30"/>
      <c r="AAM10" s="30"/>
      <c r="AAN10" s="31"/>
      <c r="AAO10" s="31"/>
      <c r="AAP10" s="32"/>
      <c r="AAQ10" s="32"/>
      <c r="AAR10" s="30"/>
      <c r="AAS10" s="30"/>
      <c r="AAT10" s="31"/>
      <c r="AAU10" s="31"/>
      <c r="AAV10" s="32"/>
      <c r="AAW10" s="32"/>
      <c r="AAX10" s="30"/>
      <c r="AAY10" s="30"/>
      <c r="AAZ10" s="31"/>
      <c r="ABA10" s="31"/>
      <c r="ABB10" s="32"/>
      <c r="ABC10" s="32"/>
      <c r="ABD10" s="30"/>
      <c r="ABE10" s="30"/>
      <c r="ABF10" s="31"/>
      <c r="ABG10" s="31"/>
      <c r="ABH10" s="32"/>
      <c r="ABI10" s="32"/>
      <c r="ABJ10" s="30"/>
      <c r="ABK10" s="30"/>
      <c r="ABL10" s="31"/>
      <c r="ABM10" s="31"/>
      <c r="ABN10" s="32"/>
      <c r="ABO10" s="32"/>
      <c r="ABP10" s="30"/>
      <c r="ABQ10" s="30"/>
      <c r="ABR10" s="31"/>
      <c r="ABS10" s="31"/>
      <c r="ABT10" s="32"/>
      <c r="ABU10" s="32"/>
      <c r="ABV10" s="30"/>
      <c r="ABW10" s="30"/>
      <c r="ABX10" s="31"/>
      <c r="ABY10" s="31"/>
      <c r="ABZ10" s="32"/>
      <c r="ACA10" s="32"/>
      <c r="ACB10" s="30"/>
      <c r="ACC10" s="30"/>
      <c r="ACD10" s="31"/>
      <c r="ACE10" s="31"/>
      <c r="ACF10" s="32"/>
      <c r="ACG10" s="32"/>
      <c r="ACH10" s="30"/>
      <c r="ACI10" s="30"/>
      <c r="ACJ10" s="31"/>
      <c r="ACK10" s="31"/>
      <c r="ACL10" s="32"/>
      <c r="ACM10" s="32"/>
      <c r="ACN10" s="30"/>
      <c r="ACO10" s="30"/>
      <c r="ACP10" s="31"/>
      <c r="ACQ10" s="31"/>
      <c r="ACR10" s="32"/>
      <c r="ACS10" s="32"/>
      <c r="ACT10" s="30"/>
      <c r="ACU10" s="30"/>
      <c r="ACV10" s="31"/>
      <c r="ACW10" s="31"/>
      <c r="ACX10" s="32"/>
      <c r="ACY10" s="32"/>
      <c r="ACZ10" s="30"/>
      <c r="ADA10" s="30"/>
      <c r="ADB10" s="31"/>
      <c r="ADC10" s="31"/>
      <c r="ADD10" s="32"/>
      <c r="ADE10" s="32"/>
      <c r="ADF10" s="30"/>
      <c r="ADG10" s="30"/>
      <c r="ADH10" s="31"/>
      <c r="ADI10" s="31"/>
      <c r="ADJ10" s="32"/>
      <c r="ADK10" s="32"/>
      <c r="ADL10" s="30"/>
      <c r="ADM10" s="30"/>
      <c r="ADN10" s="31"/>
      <c r="ADO10" s="31"/>
      <c r="ADP10" s="32"/>
      <c r="ADQ10" s="32"/>
      <c r="ADR10" s="30"/>
      <c r="ADS10" s="30"/>
      <c r="ADT10" s="31"/>
      <c r="ADU10" s="31"/>
      <c r="ADV10" s="32"/>
      <c r="ADW10" s="32"/>
      <c r="ADX10" s="30"/>
      <c r="ADY10" s="30"/>
      <c r="ADZ10" s="31"/>
      <c r="AEA10" s="31"/>
      <c r="AEB10" s="32"/>
      <c r="AEC10" s="32"/>
      <c r="AED10" s="30"/>
      <c r="AEE10" s="30"/>
      <c r="AEF10" s="31"/>
      <c r="AEG10" s="31"/>
      <c r="AEH10" s="32"/>
      <c r="AEI10" s="32"/>
      <c r="AEJ10" s="30"/>
      <c r="AEK10" s="30"/>
      <c r="AEL10" s="31"/>
      <c r="AEM10" s="31"/>
      <c r="AEN10" s="32"/>
      <c r="AEO10" s="32"/>
      <c r="AEP10" s="30"/>
      <c r="AEQ10" s="30"/>
      <c r="AER10" s="31"/>
      <c r="AES10" s="31"/>
      <c r="AET10" s="32"/>
      <c r="AEU10" s="32"/>
      <c r="AEV10" s="30"/>
      <c r="AEW10" s="30" t="s">
        <v>46</v>
      </c>
      <c r="AEX10" s="31"/>
      <c r="AEY10" s="31"/>
      <c r="AEZ10" s="32"/>
      <c r="AFA10" s="32"/>
      <c r="AFB10" s="30" t="s">
        <v>81</v>
      </c>
      <c r="AFC10" s="30"/>
      <c r="AFD10" s="31"/>
      <c r="AFE10" s="31"/>
      <c r="AFF10" s="32"/>
      <c r="AFG10" s="32"/>
      <c r="AFH10" s="30"/>
      <c r="AFI10" s="30"/>
      <c r="AFJ10" s="31"/>
      <c r="AFK10" s="31"/>
      <c r="AFL10" s="32"/>
      <c r="AFM10" s="32"/>
      <c r="AFN10" s="30"/>
      <c r="AFO10" s="30"/>
      <c r="AFP10" s="31"/>
      <c r="AFQ10" s="31"/>
      <c r="AFR10" s="32"/>
      <c r="AFS10" s="32"/>
      <c r="AFT10" s="30"/>
      <c r="AFU10" s="30"/>
      <c r="AFV10" s="31"/>
      <c r="AFW10" s="31"/>
      <c r="AFX10" s="32"/>
      <c r="AFY10" s="32"/>
      <c r="AFZ10" s="30"/>
      <c r="AGA10" s="30"/>
      <c r="AGB10" s="31"/>
      <c r="AGC10" s="31"/>
      <c r="AGD10" s="32"/>
      <c r="AGE10" s="32"/>
      <c r="AGF10" s="30"/>
      <c r="AGG10" s="30"/>
      <c r="AGH10" s="31"/>
      <c r="AGI10" s="31"/>
      <c r="AGJ10" s="32"/>
      <c r="AGK10" s="32"/>
      <c r="AGL10" s="30"/>
      <c r="AGM10" s="30"/>
      <c r="AGN10" s="31"/>
      <c r="AGO10" s="31"/>
      <c r="AGP10" s="32"/>
      <c r="AGQ10" s="32"/>
      <c r="AGR10" s="30"/>
      <c r="AGS10" s="33" t="s">
        <v>227</v>
      </c>
      <c r="AGT10" s="31"/>
      <c r="AGU10" s="31" t="s">
        <v>238</v>
      </c>
      <c r="AGV10" s="32"/>
      <c r="AGW10" s="32"/>
      <c r="AGX10" s="30"/>
      <c r="AGY10" s="30"/>
      <c r="AGZ10" s="31"/>
      <c r="AHA10" s="31"/>
      <c r="AHB10" s="32"/>
      <c r="AHC10" s="32"/>
      <c r="AHD10" s="30"/>
      <c r="AHE10" s="30"/>
      <c r="AHF10" s="31"/>
      <c r="AHG10" s="31"/>
      <c r="AHH10" s="32"/>
      <c r="AHI10" s="32"/>
      <c r="AHJ10" s="30"/>
      <c r="AHK10" s="30"/>
      <c r="AHL10" s="31"/>
      <c r="AHM10" s="31"/>
      <c r="AHN10" s="32"/>
      <c r="AHO10" s="32"/>
      <c r="AHP10" s="30"/>
      <c r="AHQ10" s="30"/>
      <c r="AHR10" s="31" t="s">
        <v>227</v>
      </c>
      <c r="AHS10" s="31"/>
      <c r="AHT10" s="32"/>
      <c r="AHU10" s="32"/>
      <c r="AHV10" s="30"/>
      <c r="AHW10" s="30"/>
      <c r="AHX10" s="31"/>
      <c r="AHY10" s="31"/>
      <c r="AHZ10" s="32"/>
      <c r="AIA10" s="32"/>
      <c r="AIB10" s="30"/>
      <c r="AIC10" s="30"/>
      <c r="AID10" s="31"/>
      <c r="AIE10" s="31"/>
      <c r="AIF10" s="32"/>
      <c r="AIG10" s="32"/>
      <c r="AIH10" s="30"/>
      <c r="AII10" s="30"/>
      <c r="AIJ10" s="31"/>
      <c r="AIK10" s="31"/>
      <c r="AIL10" s="32"/>
      <c r="AIM10" s="32"/>
      <c r="AIN10" s="30"/>
      <c r="AIO10" s="30"/>
      <c r="AIP10" s="31"/>
      <c r="AIQ10" s="31"/>
      <c r="AIR10" s="32"/>
      <c r="AIS10" s="32"/>
      <c r="AIT10" s="30"/>
      <c r="AIU10" s="30"/>
      <c r="AIV10" s="31"/>
      <c r="AIW10" s="31"/>
      <c r="AIX10" s="32"/>
      <c r="AIY10" s="32"/>
      <c r="AIZ10" s="30"/>
      <c r="AJA10" s="30"/>
      <c r="AJB10" s="31"/>
      <c r="AJC10" s="31"/>
      <c r="AJD10" s="32"/>
      <c r="AJE10" s="32"/>
      <c r="AJF10" s="30"/>
      <c r="AJG10" s="30"/>
      <c r="AJH10" s="31"/>
      <c r="AJI10" s="31"/>
      <c r="AJJ10" s="32"/>
      <c r="AJK10" s="32"/>
      <c r="AJL10" s="30"/>
      <c r="AJM10" s="30"/>
      <c r="AJN10" s="31"/>
      <c r="AJO10" s="31"/>
      <c r="AJP10" s="32"/>
      <c r="AJQ10" s="32"/>
      <c r="AJR10" s="30"/>
      <c r="AJS10" s="30"/>
      <c r="AJT10" s="31"/>
      <c r="AJU10" s="31"/>
      <c r="AJV10" s="32"/>
      <c r="AJW10" s="32"/>
      <c r="AJX10" s="30"/>
      <c r="AJY10" s="30"/>
      <c r="AJZ10" s="31"/>
      <c r="AKA10" s="31"/>
      <c r="AKB10" s="32"/>
      <c r="AKC10" s="32"/>
      <c r="AKD10" s="30"/>
      <c r="AKE10" s="30"/>
      <c r="AKF10" s="31"/>
      <c r="AKG10" s="31"/>
      <c r="AKH10" s="32"/>
      <c r="AKI10" s="32"/>
      <c r="AKJ10" s="30"/>
      <c r="AKK10" s="30"/>
      <c r="AKL10" s="31"/>
      <c r="AKM10" s="31"/>
      <c r="AKN10" s="32"/>
      <c r="AKO10" s="32"/>
      <c r="AKP10" s="30"/>
      <c r="AKQ10" s="30"/>
      <c r="AKR10" s="31"/>
      <c r="AKS10" s="31"/>
      <c r="AKT10" s="32"/>
      <c r="AKU10" s="32" t="s">
        <v>227</v>
      </c>
      <c r="AKV10" s="30"/>
      <c r="AKW10" s="30"/>
      <c r="AKX10" s="31"/>
      <c r="AKY10" s="31"/>
      <c r="AKZ10" s="32"/>
      <c r="ALA10" s="32"/>
      <c r="ALB10" s="30" t="s">
        <v>583</v>
      </c>
      <c r="ALC10" s="30"/>
      <c r="ALD10" s="31"/>
      <c r="ALE10" s="31"/>
      <c r="ALF10" s="32"/>
      <c r="ALG10" s="32"/>
      <c r="ALH10" s="30"/>
      <c r="ALI10" s="30"/>
      <c r="ALJ10" s="31"/>
      <c r="ALK10" s="33" t="s">
        <v>164</v>
      </c>
      <c r="ALL10" s="32"/>
      <c r="ALM10" s="32"/>
      <c r="ALN10" s="30" t="s">
        <v>606</v>
      </c>
      <c r="ALO10" s="30"/>
      <c r="ALP10" s="31"/>
      <c r="ALQ10" s="31"/>
      <c r="ALR10" s="32"/>
      <c r="ALS10" s="32"/>
      <c r="ALT10" s="30"/>
      <c r="ALU10" s="30"/>
      <c r="ALV10" s="31"/>
      <c r="ALW10" s="31"/>
      <c r="ALX10" s="32"/>
      <c r="ALY10" s="32" t="s">
        <v>173</v>
      </c>
      <c r="ALZ10" s="30"/>
      <c r="AMA10" s="30"/>
      <c r="AMB10" s="31"/>
      <c r="AMC10" s="31"/>
      <c r="AMD10" s="32"/>
      <c r="AME10" s="32"/>
      <c r="AMF10" s="30" t="s">
        <v>173</v>
      </c>
      <c r="AMG10" s="30"/>
      <c r="AMH10" s="31"/>
      <c r="AMI10" s="31"/>
      <c r="AMJ10" s="32"/>
      <c r="AMK10" s="32"/>
      <c r="AML10" s="30"/>
      <c r="AMM10" s="30"/>
      <c r="AMN10" s="33" t="s">
        <v>124</v>
      </c>
      <c r="AMO10" s="33" t="s">
        <v>594</v>
      </c>
      <c r="AMP10" s="32"/>
      <c r="AMQ10" s="32" t="s">
        <v>606</v>
      </c>
      <c r="AMR10" s="30"/>
      <c r="AMS10" s="30"/>
      <c r="AMT10" s="31"/>
      <c r="AMU10" s="31"/>
      <c r="AMV10" s="32"/>
      <c r="AMW10" s="32"/>
      <c r="AMX10" s="30"/>
      <c r="AMY10" s="30"/>
      <c r="AMZ10" s="31"/>
      <c r="ANA10" s="31" t="s">
        <v>54</v>
      </c>
      <c r="ANB10" s="32"/>
      <c r="ANC10" s="32"/>
      <c r="AND10" s="30"/>
      <c r="ANE10" s="30"/>
      <c r="ANF10" s="33" t="s">
        <v>594</v>
      </c>
      <c r="ANG10" s="31"/>
      <c r="ANH10" s="32" t="s">
        <v>54</v>
      </c>
      <c r="ANI10" s="32"/>
      <c r="ANJ10" s="30"/>
      <c r="ANK10" s="30"/>
      <c r="ANL10" s="31"/>
      <c r="ANM10" s="31"/>
      <c r="ANN10" s="32"/>
      <c r="ANO10" s="32"/>
      <c r="ANP10" s="30"/>
      <c r="ANQ10" s="30"/>
      <c r="ANR10" s="33" t="s">
        <v>227</v>
      </c>
      <c r="ANS10" s="33" t="s">
        <v>64</v>
      </c>
      <c r="ANT10" s="32" t="s">
        <v>606</v>
      </c>
      <c r="ANU10" s="32"/>
      <c r="ANV10" s="30"/>
      <c r="ANW10" s="30"/>
      <c r="ANX10" s="31"/>
      <c r="ANY10" s="31"/>
      <c r="ANZ10" s="32"/>
      <c r="AOA10" s="32"/>
      <c r="AOB10" s="30"/>
      <c r="AOC10" s="30"/>
      <c r="AOD10" s="31"/>
      <c r="AOE10" s="31"/>
      <c r="AOF10" s="32" t="s">
        <v>64</v>
      </c>
      <c r="AOG10" s="33" t="s">
        <v>164</v>
      </c>
      <c r="AOH10" s="30" t="s">
        <v>327</v>
      </c>
      <c r="AOI10" s="30"/>
      <c r="AOJ10" s="31"/>
      <c r="AOK10" s="31"/>
      <c r="AOL10" s="32"/>
      <c r="AOM10" s="32"/>
      <c r="AON10" s="30"/>
      <c r="AOO10" s="30" t="s">
        <v>59</v>
      </c>
      <c r="AOP10" s="31"/>
      <c r="AOQ10" s="31"/>
      <c r="AOR10" s="32"/>
      <c r="AOS10" s="32"/>
      <c r="AOT10" s="33" t="s">
        <v>86</v>
      </c>
      <c r="AOU10" s="30"/>
      <c r="AOV10" s="31" t="s">
        <v>271</v>
      </c>
      <c r="AOW10" s="31"/>
      <c r="AOX10" s="33" t="s">
        <v>594</v>
      </c>
      <c r="AOY10" s="32"/>
      <c r="AOZ10" s="30"/>
      <c r="APA10" s="30"/>
      <c r="APB10" s="31"/>
      <c r="APC10" s="31"/>
      <c r="APD10" s="32"/>
      <c r="APE10" s="32" t="s">
        <v>33</v>
      </c>
      <c r="APF10" s="30"/>
      <c r="APG10" s="52" t="s">
        <v>289</v>
      </c>
      <c r="APH10" s="32"/>
      <c r="API10" s="33" t="s">
        <v>592</v>
      </c>
      <c r="APJ10" s="31" t="s">
        <v>59</v>
      </c>
      <c r="APK10" s="31"/>
      <c r="APL10" s="30"/>
      <c r="APM10" s="30"/>
      <c r="APN10" s="32"/>
      <c r="APO10" s="32"/>
      <c r="APP10" s="31"/>
      <c r="APQ10" s="31" t="s">
        <v>28</v>
      </c>
      <c r="APR10" s="30"/>
      <c r="APS10" s="30"/>
      <c r="APT10" s="32"/>
      <c r="APU10" s="32"/>
      <c r="APV10" s="31"/>
      <c r="APW10" s="31"/>
      <c r="APX10" s="30" t="s">
        <v>185</v>
      </c>
      <c r="APY10" s="30"/>
      <c r="APZ10" s="32"/>
      <c r="AQA10" s="32"/>
      <c r="AQB10" s="31"/>
      <c r="AQC10" s="31"/>
      <c r="AQD10" s="30"/>
      <c r="AQE10" s="30"/>
      <c r="AQF10" s="32"/>
      <c r="AQG10" s="32" t="s">
        <v>64</v>
      </c>
      <c r="AQH10" s="31"/>
      <c r="AQI10" s="31"/>
      <c r="AQJ10" s="30"/>
      <c r="AQK10" s="30"/>
      <c r="AQL10" s="32" t="s">
        <v>33</v>
      </c>
      <c r="AQM10" s="32"/>
      <c r="AQN10" s="31"/>
      <c r="AQO10" s="31"/>
      <c r="AQP10" s="30"/>
      <c r="AQQ10" s="30"/>
      <c r="AQR10" s="32"/>
      <c r="AQS10" s="32"/>
      <c r="AQT10" s="31"/>
      <c r="AQU10" s="31"/>
      <c r="AQV10" s="30"/>
      <c r="AQW10" s="30"/>
      <c r="AQX10" s="32"/>
      <c r="AQY10" s="32"/>
      <c r="AQZ10" s="31"/>
      <c r="ARA10" s="31"/>
      <c r="ARB10" s="30"/>
      <c r="ARC10" s="30"/>
      <c r="ARD10" s="32"/>
      <c r="ARE10" s="32"/>
      <c r="ARF10" s="31"/>
      <c r="ARG10" s="31"/>
      <c r="ARH10" s="30"/>
      <c r="ARI10" s="30"/>
      <c r="ARJ10" s="32"/>
      <c r="ARK10" s="32"/>
      <c r="ARL10" s="31"/>
      <c r="ARM10" s="31"/>
      <c r="ARN10" s="30"/>
      <c r="ARO10" s="30"/>
      <c r="ARP10" s="32"/>
      <c r="ARQ10" s="32"/>
      <c r="ARR10" s="31"/>
      <c r="ARS10" s="31"/>
      <c r="ART10" s="30"/>
      <c r="ARU10" s="30"/>
      <c r="ARV10" s="32"/>
      <c r="ARW10" s="32"/>
      <c r="ARX10" s="31"/>
      <c r="ARY10" s="31"/>
      <c r="ARZ10" s="30"/>
      <c r="ASA10" s="30"/>
      <c r="ASB10" s="32"/>
      <c r="ASC10" s="32"/>
      <c r="ASD10" s="31"/>
      <c r="ASE10" s="31"/>
      <c r="ASF10" s="30"/>
      <c r="ASG10" s="30"/>
      <c r="ASH10" s="32"/>
      <c r="ASI10" s="32"/>
      <c r="ASJ10" s="31"/>
      <c r="ASK10" s="31" t="s">
        <v>28</v>
      </c>
      <c r="ASL10" s="30"/>
      <c r="ASM10" s="30" t="s">
        <v>69</v>
      </c>
      <c r="ASN10" s="32"/>
      <c r="ASO10" s="32"/>
      <c r="ASP10" s="31"/>
      <c r="ASQ10" s="31"/>
      <c r="ASR10" s="30" t="s">
        <v>300</v>
      </c>
      <c r="ASS10" s="30"/>
      <c r="AST10" s="32"/>
      <c r="ASU10" s="32"/>
      <c r="ASV10" s="31"/>
      <c r="ASW10" s="31"/>
      <c r="ASX10" s="30"/>
      <c r="ASY10" s="30"/>
      <c r="ASZ10" s="32"/>
      <c r="ATA10" s="32"/>
      <c r="ATB10" s="31"/>
      <c r="ATC10" s="31"/>
      <c r="ATD10" s="30"/>
      <c r="ATE10" s="30"/>
      <c r="ATF10" s="32"/>
      <c r="ATG10" s="32"/>
      <c r="ATH10" s="31"/>
      <c r="ATI10" s="31"/>
      <c r="ATJ10" s="30"/>
      <c r="ATK10" s="30"/>
      <c r="ATL10" s="32"/>
      <c r="ATM10" s="32"/>
      <c r="ATN10" s="31"/>
      <c r="ATO10" s="31"/>
      <c r="ATP10" s="30"/>
      <c r="ATQ10" s="30"/>
      <c r="ATR10" s="32" t="s">
        <v>41</v>
      </c>
      <c r="ATS10" s="32"/>
      <c r="ATT10" s="31"/>
      <c r="ATU10" s="31"/>
      <c r="ATV10" s="30"/>
      <c r="ATW10" s="30"/>
      <c r="ATX10" s="32"/>
      <c r="ATY10" s="32"/>
      <c r="ATZ10" s="31"/>
      <c r="AUA10" s="31"/>
      <c r="AUB10" s="30"/>
      <c r="AUC10" s="30" t="s">
        <v>64</v>
      </c>
      <c r="AUD10" s="32"/>
      <c r="AUE10" s="32"/>
      <c r="AUF10" s="31"/>
      <c r="AUG10" s="31"/>
      <c r="AUH10" s="30"/>
      <c r="AUI10" s="30"/>
      <c r="AUJ10" s="32"/>
      <c r="AUK10" s="32"/>
      <c r="AUL10" s="31"/>
      <c r="AUM10" s="31"/>
      <c r="AUN10" s="30"/>
      <c r="AUO10" s="30"/>
      <c r="AUP10" s="32"/>
      <c r="AUQ10" s="32"/>
      <c r="AUR10" s="31"/>
      <c r="AUS10" s="31"/>
      <c r="AUT10" s="30" t="s">
        <v>259</v>
      </c>
      <c r="AUU10" s="30"/>
      <c r="AUV10" s="32"/>
      <c r="AUW10" s="32"/>
      <c r="AUX10" s="31"/>
      <c r="AUY10" s="31"/>
      <c r="AUZ10" s="30"/>
      <c r="AVA10" s="30"/>
      <c r="AVB10" s="32"/>
      <c r="AVC10" s="32"/>
      <c r="AVD10" s="31"/>
      <c r="AVE10" s="31"/>
      <c r="AVF10" s="30"/>
      <c r="AVG10" s="30"/>
      <c r="AVH10" s="33" t="s">
        <v>164</v>
      </c>
      <c r="AVI10" s="32"/>
      <c r="AVJ10" s="31"/>
      <c r="AVK10" s="31"/>
      <c r="AVL10" s="30"/>
      <c r="AVM10" s="30"/>
      <c r="AVN10" s="32"/>
      <c r="AVO10" s="32"/>
      <c r="AVP10" s="31"/>
      <c r="AVQ10" s="31" t="s">
        <v>607</v>
      </c>
      <c r="AVR10" s="30"/>
      <c r="AVS10" s="33" t="s">
        <v>79</v>
      </c>
      <c r="AVT10" s="32"/>
      <c r="AVU10" s="32"/>
      <c r="AVV10" s="31" t="s">
        <v>319</v>
      </c>
      <c r="AVW10" s="31"/>
      <c r="AVX10" s="30" t="s">
        <v>593</v>
      </c>
      <c r="AVY10" s="30"/>
      <c r="AVZ10" s="32"/>
      <c r="AWA10" s="32"/>
      <c r="AWB10" s="31"/>
      <c r="AWC10" s="31"/>
      <c r="AWD10" s="30"/>
      <c r="AWE10" s="30" t="s">
        <v>94</v>
      </c>
      <c r="AWF10" s="32"/>
      <c r="AWG10" s="32"/>
      <c r="AWH10" s="31"/>
      <c r="AWI10" s="31"/>
      <c r="AWJ10" s="30"/>
      <c r="AWK10" s="30"/>
      <c r="AWL10" s="32"/>
      <c r="AWM10" s="32"/>
      <c r="AWN10" s="31"/>
      <c r="AWO10" s="31"/>
      <c r="AWP10" s="30"/>
      <c r="AWQ10" s="30"/>
      <c r="AWR10" s="32"/>
      <c r="AWS10" s="39" t="s">
        <v>48</v>
      </c>
      <c r="AWT10" s="31"/>
      <c r="AWU10" s="31"/>
      <c r="AWV10" s="30"/>
      <c r="AWW10" s="30"/>
      <c r="AWX10" s="32"/>
      <c r="AWY10" s="32"/>
      <c r="AWZ10" s="31" t="s">
        <v>36</v>
      </c>
      <c r="AXA10" s="31"/>
      <c r="AXB10" s="30"/>
      <c r="AXC10" s="30"/>
      <c r="AXD10" s="32"/>
      <c r="AXE10" s="32"/>
      <c r="AXF10" s="31"/>
      <c r="AXG10" s="31" t="s">
        <v>314</v>
      </c>
      <c r="AXH10" s="30"/>
      <c r="AXI10" s="30"/>
      <c r="AXJ10" s="32"/>
      <c r="AXK10" s="32"/>
      <c r="AXL10" s="31" t="s">
        <v>41</v>
      </c>
      <c r="AXM10" s="31"/>
      <c r="AXN10" s="30" t="s">
        <v>277</v>
      </c>
      <c r="AXO10" s="30"/>
      <c r="AXP10" s="32"/>
      <c r="AXQ10" s="32"/>
      <c r="AXR10" s="31"/>
      <c r="AXS10" s="31"/>
      <c r="AXT10" s="30"/>
      <c r="AXU10" s="30"/>
      <c r="AXV10" s="32"/>
      <c r="AXW10" s="32"/>
      <c r="AXX10" s="31"/>
      <c r="AXY10" s="31"/>
      <c r="AXZ10" s="30"/>
      <c r="AYA10" s="30"/>
      <c r="AYB10" s="32"/>
      <c r="AYC10" s="32"/>
      <c r="AYD10" s="31"/>
      <c r="AYE10" s="31"/>
      <c r="AYF10" s="30"/>
      <c r="AYG10" s="30"/>
      <c r="AYH10" s="32"/>
      <c r="AYI10" s="32"/>
      <c r="AYJ10" s="31"/>
      <c r="AYK10" s="31"/>
      <c r="AYL10" s="30"/>
      <c r="AYM10" s="30"/>
      <c r="AYN10" s="32"/>
      <c r="AYO10" s="32"/>
      <c r="AYP10" s="31"/>
      <c r="AYQ10" s="31"/>
      <c r="AYR10" s="30"/>
      <c r="AYS10" s="30"/>
      <c r="AYT10" s="32"/>
      <c r="AYU10" s="32"/>
      <c r="AYV10" s="31"/>
      <c r="AYW10" s="31"/>
      <c r="AYX10" s="30"/>
      <c r="AYY10" s="30"/>
      <c r="AYZ10" s="32"/>
      <c r="AZA10" s="32"/>
      <c r="AZB10" s="31"/>
      <c r="AZC10" s="31"/>
      <c r="AZD10" s="30"/>
      <c r="AZE10" s="30"/>
      <c r="AZF10" s="32"/>
      <c r="AZG10" s="32"/>
      <c r="AZH10" s="31"/>
      <c r="AZI10" s="31"/>
      <c r="AZJ10" s="30"/>
      <c r="AZK10" s="30"/>
      <c r="AZL10" s="32"/>
      <c r="AZM10" s="32"/>
      <c r="AZN10" s="31"/>
      <c r="AZO10" s="31"/>
      <c r="AZP10" s="30"/>
      <c r="AZQ10" s="30"/>
      <c r="AZR10" s="32"/>
      <c r="AZS10" s="32"/>
      <c r="AZT10" s="31"/>
      <c r="AZU10" s="31"/>
      <c r="AZV10" s="30"/>
      <c r="AZW10" s="30"/>
      <c r="AZX10" s="32"/>
      <c r="AZY10" s="32"/>
      <c r="AZZ10" s="31"/>
      <c r="BAA10" s="31"/>
      <c r="BAB10" s="30"/>
      <c r="BAC10" s="30"/>
      <c r="BAD10" s="32"/>
      <c r="BAE10" s="32"/>
      <c r="BAF10" s="31"/>
      <c r="BAG10" s="31"/>
      <c r="BAH10" s="30"/>
      <c r="BAI10" s="30"/>
      <c r="BAJ10" s="32"/>
      <c r="BAK10" s="32"/>
      <c r="BAL10" s="31"/>
      <c r="BAM10" s="31"/>
      <c r="BAN10" s="30"/>
      <c r="BAO10" s="30"/>
      <c r="BAP10" s="32"/>
      <c r="BAQ10" s="32"/>
      <c r="BAR10" s="31"/>
      <c r="BAS10" s="31"/>
      <c r="BAT10" s="30"/>
      <c r="BAU10" s="30"/>
      <c r="BAV10" s="32"/>
      <c r="BAW10" s="32"/>
      <c r="BAX10" s="31"/>
      <c r="BAY10" s="31"/>
      <c r="BAZ10" s="30"/>
      <c r="BBA10" s="30"/>
      <c r="BBB10" s="32"/>
      <c r="BBC10" s="32"/>
      <c r="BBD10" s="31"/>
      <c r="BBE10" s="31"/>
      <c r="BBF10" s="30"/>
      <c r="BBG10" s="30"/>
      <c r="BBH10" s="32"/>
      <c r="BBI10" s="32"/>
      <c r="BBJ10" s="31"/>
      <c r="BBK10" s="31"/>
      <c r="BBL10" s="30"/>
      <c r="BBM10" s="30"/>
      <c r="BBN10" s="32"/>
      <c r="BBO10" s="32"/>
      <c r="BBP10" s="31"/>
      <c r="BBQ10" s="31"/>
      <c r="BBR10" s="30"/>
      <c r="BBS10" s="30"/>
      <c r="BBT10" s="32"/>
      <c r="BBU10" s="32"/>
      <c r="BBV10" s="31"/>
      <c r="BBW10" s="31"/>
      <c r="BBX10" s="30"/>
      <c r="BBY10" s="30"/>
      <c r="BBZ10" s="32"/>
      <c r="BCA10" s="32"/>
      <c r="BCB10" s="31"/>
      <c r="BCC10" s="31"/>
      <c r="BCD10" s="30"/>
      <c r="BCE10" s="30"/>
      <c r="BCF10" s="32"/>
      <c r="BCG10" s="32"/>
      <c r="BCH10" s="31"/>
      <c r="BCI10" s="31"/>
      <c r="BCJ10" s="30"/>
      <c r="BCK10" s="30"/>
      <c r="BCL10" s="32"/>
      <c r="BCM10" s="32"/>
      <c r="BCN10" s="31"/>
      <c r="BCO10" s="31"/>
      <c r="BCP10" s="30"/>
      <c r="BCQ10" s="30"/>
    </row>
    <row r="11" spans="1:1447">
      <c r="A11" s="30"/>
      <c r="B11" s="30"/>
      <c r="C11" s="31"/>
      <c r="D11" s="31"/>
      <c r="E11" s="32"/>
      <c r="F11" s="32"/>
      <c r="G11" s="30"/>
      <c r="H11" s="30"/>
      <c r="I11" s="31"/>
      <c r="J11" s="31"/>
      <c r="K11" s="32"/>
      <c r="L11" s="32"/>
      <c r="M11" s="30"/>
      <c r="N11" s="30"/>
      <c r="O11" s="31"/>
      <c r="P11" s="31"/>
      <c r="Q11" s="32"/>
      <c r="R11" s="32"/>
      <c r="S11" s="30"/>
      <c r="T11" s="30"/>
      <c r="U11" s="31"/>
      <c r="V11" s="31"/>
      <c r="W11" s="32"/>
      <c r="X11" s="32"/>
      <c r="Y11" s="30"/>
      <c r="Z11" s="30"/>
      <c r="AA11" s="31"/>
      <c r="AB11" s="31"/>
      <c r="AC11" s="32"/>
      <c r="AD11" s="32"/>
      <c r="AE11" s="30"/>
      <c r="AF11" s="30"/>
      <c r="AG11" s="31"/>
      <c r="AH11" s="31"/>
      <c r="AI11" s="32"/>
      <c r="AJ11" s="32"/>
      <c r="AK11" s="30"/>
      <c r="AL11" s="30"/>
      <c r="AM11" s="31"/>
      <c r="AN11" s="31"/>
      <c r="AO11" s="32"/>
      <c r="AP11" s="32"/>
      <c r="AQ11" s="30"/>
      <c r="AR11" s="30"/>
      <c r="AS11" s="31"/>
      <c r="AT11" s="31"/>
      <c r="AU11" s="32"/>
      <c r="AV11" s="32"/>
      <c r="AW11" s="30"/>
      <c r="AX11" s="30"/>
      <c r="AY11" s="31"/>
      <c r="AZ11" s="31"/>
      <c r="BA11" s="32"/>
      <c r="BB11" s="32"/>
      <c r="BC11" s="30"/>
      <c r="BD11" s="30"/>
      <c r="BE11" s="31"/>
      <c r="BF11" s="31"/>
      <c r="BG11" s="32"/>
      <c r="BH11" s="32"/>
      <c r="BI11" s="30"/>
      <c r="BJ11" s="30"/>
      <c r="BK11" s="31"/>
      <c r="BL11" s="31"/>
      <c r="BM11" s="32"/>
      <c r="BN11" s="32"/>
      <c r="BO11" s="30"/>
      <c r="BP11" s="30"/>
      <c r="BQ11" s="31"/>
      <c r="BR11" s="31"/>
      <c r="BS11" s="32"/>
      <c r="BT11" s="32"/>
      <c r="BU11" s="30"/>
      <c r="BV11" s="30"/>
      <c r="BW11" s="31"/>
      <c r="BX11" s="31"/>
      <c r="BY11" s="32"/>
      <c r="BZ11" s="32"/>
      <c r="CA11" s="30"/>
      <c r="CB11" s="30"/>
      <c r="CC11" s="31"/>
      <c r="CD11" s="31"/>
      <c r="CE11" s="32"/>
      <c r="CF11" s="32"/>
      <c r="CG11" s="30"/>
      <c r="CH11" s="30"/>
      <c r="CI11" s="31"/>
      <c r="CJ11" s="31"/>
      <c r="CK11" s="32"/>
      <c r="CL11" s="32"/>
      <c r="CM11" s="30"/>
      <c r="CN11" s="30"/>
      <c r="CO11" s="31"/>
      <c r="CP11" s="31"/>
      <c r="CQ11" s="32"/>
      <c r="CR11" s="32"/>
      <c r="CS11" s="30"/>
      <c r="CT11" s="30"/>
      <c r="CU11" s="31"/>
      <c r="CV11" s="31"/>
      <c r="CW11" s="32"/>
      <c r="CX11" s="32"/>
      <c r="CY11" s="30"/>
      <c r="CZ11" s="30"/>
      <c r="DA11" s="31"/>
      <c r="DB11" s="31"/>
      <c r="DC11" s="32"/>
      <c r="DD11" s="32"/>
      <c r="DE11" s="30"/>
      <c r="DF11" s="30"/>
      <c r="DG11" s="31"/>
      <c r="DH11" s="31"/>
      <c r="DI11" s="32"/>
      <c r="DJ11" s="32"/>
      <c r="DK11" s="30"/>
      <c r="DL11" s="30"/>
      <c r="DM11" s="31"/>
      <c r="DN11" s="31"/>
      <c r="DO11" s="32"/>
      <c r="DP11" s="32"/>
      <c r="DQ11" s="30"/>
      <c r="DR11" s="30"/>
      <c r="DS11" s="31"/>
      <c r="DT11" s="31"/>
      <c r="DU11" s="32"/>
      <c r="DV11" s="32"/>
      <c r="DW11" s="30"/>
      <c r="DX11" s="30"/>
      <c r="DY11" s="31"/>
      <c r="DZ11" s="31"/>
      <c r="EA11" s="32"/>
      <c r="EB11" s="32"/>
      <c r="EC11" s="30"/>
      <c r="ED11" s="30"/>
      <c r="EE11" s="31"/>
      <c r="EF11" s="31"/>
      <c r="EG11" s="32"/>
      <c r="EH11" s="32"/>
      <c r="EI11" s="30"/>
      <c r="EJ11" s="30"/>
      <c r="EK11" s="31"/>
      <c r="EL11" s="31"/>
      <c r="EM11" s="32"/>
      <c r="EN11" s="32"/>
      <c r="EO11" s="30"/>
      <c r="EP11" s="30"/>
      <c r="EQ11" s="31"/>
      <c r="ER11" s="31"/>
      <c r="ES11" s="32"/>
      <c r="ET11" s="32"/>
      <c r="EU11" s="30"/>
      <c r="EV11" s="30"/>
      <c r="EW11" s="31"/>
      <c r="EX11" s="31"/>
      <c r="EY11" s="32"/>
      <c r="EZ11" s="32"/>
      <c r="FA11" s="30"/>
      <c r="FB11" s="30"/>
      <c r="FC11" s="31"/>
      <c r="FD11" s="31"/>
      <c r="FE11" s="32"/>
      <c r="FF11" s="32"/>
      <c r="FG11" s="30"/>
      <c r="FH11" s="30"/>
      <c r="FI11" s="33" t="s">
        <v>74</v>
      </c>
      <c r="FJ11" s="32"/>
      <c r="FK11" s="33" t="s">
        <v>79</v>
      </c>
      <c r="FL11" s="30"/>
      <c r="FM11" s="31"/>
      <c r="FN11" s="31"/>
      <c r="FO11" s="32"/>
      <c r="FP11" s="32"/>
      <c r="FQ11" s="30"/>
      <c r="FR11" s="30"/>
      <c r="FS11" s="31"/>
      <c r="FT11" s="31"/>
      <c r="FU11" s="32"/>
      <c r="FV11" s="32"/>
      <c r="FW11" s="30"/>
      <c r="FX11" s="30"/>
      <c r="FY11" s="31"/>
      <c r="FZ11" s="31"/>
      <c r="GA11" s="32"/>
      <c r="GB11" s="32"/>
      <c r="GC11" s="30"/>
      <c r="GD11" s="30"/>
      <c r="GE11" s="31"/>
      <c r="GF11" s="31"/>
      <c r="GG11" s="32"/>
      <c r="GH11" s="32"/>
      <c r="GI11" s="30"/>
      <c r="GJ11" s="30"/>
      <c r="GK11" s="31"/>
      <c r="GL11" s="31"/>
      <c r="GM11" s="32"/>
      <c r="GN11" s="32"/>
      <c r="GO11" s="30"/>
      <c r="GP11" s="30"/>
      <c r="GQ11" s="31"/>
      <c r="GR11" s="31"/>
      <c r="GS11" s="32"/>
      <c r="GT11" s="32"/>
      <c r="GU11" s="30"/>
      <c r="GV11" s="30"/>
      <c r="GW11" s="31"/>
      <c r="GX11" s="31"/>
      <c r="GY11" s="32"/>
      <c r="GZ11" s="32"/>
      <c r="HA11" s="30"/>
      <c r="HB11" s="30"/>
      <c r="HC11" s="31"/>
      <c r="HD11" s="31"/>
      <c r="HE11" s="32"/>
      <c r="HF11" s="32"/>
      <c r="HG11" s="30"/>
      <c r="HH11" s="30"/>
      <c r="HI11" s="31"/>
      <c r="HJ11" s="31"/>
      <c r="HK11" s="32"/>
      <c r="HL11" s="32"/>
      <c r="HM11" s="30" t="s">
        <v>22</v>
      </c>
      <c r="HN11" s="30"/>
      <c r="HO11" s="31"/>
      <c r="HP11" s="31"/>
      <c r="HQ11" s="32"/>
      <c r="HR11" s="32"/>
      <c r="HS11" s="30"/>
      <c r="HT11" s="30" t="s">
        <v>583</v>
      </c>
      <c r="HU11" s="31"/>
      <c r="HV11" s="31"/>
      <c r="HW11" s="32"/>
      <c r="HX11" s="32"/>
      <c r="HY11" s="30"/>
      <c r="HZ11" s="30"/>
      <c r="IA11" s="31"/>
      <c r="IB11" s="31"/>
      <c r="IC11" s="32"/>
      <c r="ID11" s="32"/>
      <c r="IE11" s="30"/>
      <c r="IF11" s="30"/>
      <c r="IG11" s="31"/>
      <c r="IH11" s="31"/>
      <c r="II11" s="32"/>
      <c r="IJ11" s="32"/>
      <c r="IK11" s="30"/>
      <c r="IL11" s="30"/>
      <c r="IM11" s="31"/>
      <c r="IN11" s="31"/>
      <c r="IO11" s="32"/>
      <c r="IP11" s="32"/>
      <c r="IQ11" s="30"/>
      <c r="IR11" s="30"/>
      <c r="IS11" s="31"/>
      <c r="IT11" s="31"/>
      <c r="IU11" s="32"/>
      <c r="IV11" s="32"/>
      <c r="IW11" s="30"/>
      <c r="IX11" s="30"/>
      <c r="IY11" s="31"/>
      <c r="IZ11" s="31"/>
      <c r="JA11" s="32" t="s">
        <v>28</v>
      </c>
      <c r="JB11" s="32"/>
      <c r="JC11" s="30"/>
      <c r="JD11" s="30"/>
      <c r="JE11" s="31"/>
      <c r="JF11" s="31"/>
      <c r="JG11" s="32"/>
      <c r="JH11" s="32"/>
      <c r="JI11" s="30"/>
      <c r="JJ11" s="30"/>
      <c r="JK11" s="31"/>
      <c r="JL11" s="31"/>
      <c r="JM11" s="32"/>
      <c r="JN11" s="32"/>
      <c r="JO11" s="30" t="s">
        <v>590</v>
      </c>
      <c r="JP11" s="30"/>
      <c r="JQ11" s="31"/>
      <c r="JR11" s="31"/>
      <c r="JS11" s="32"/>
      <c r="JT11" s="32"/>
      <c r="JU11" s="30"/>
      <c r="JV11" s="30"/>
      <c r="JW11" s="33" t="s">
        <v>22</v>
      </c>
      <c r="JX11" s="31" t="s">
        <v>590</v>
      </c>
      <c r="JY11" s="32"/>
      <c r="JZ11" s="33" t="s">
        <v>588</v>
      </c>
      <c r="KA11" s="30"/>
      <c r="KB11" s="30"/>
      <c r="KC11" s="31"/>
      <c r="KD11" s="31"/>
      <c r="KE11" s="32" t="s">
        <v>102</v>
      </c>
      <c r="KF11" s="32"/>
      <c r="KG11" s="30"/>
      <c r="KH11" s="30"/>
      <c r="KI11" s="31"/>
      <c r="KJ11" s="31"/>
      <c r="KK11" s="32"/>
      <c r="KL11" s="32" t="s">
        <v>368</v>
      </c>
      <c r="KM11" s="30"/>
      <c r="KN11" s="30"/>
      <c r="KO11" s="31"/>
      <c r="KP11" s="31"/>
      <c r="KQ11" s="33" t="s">
        <v>581</v>
      </c>
      <c r="KR11" s="32"/>
      <c r="KS11" s="30" t="s">
        <v>102</v>
      </c>
      <c r="KT11" s="30"/>
      <c r="KU11" s="31"/>
      <c r="KV11" s="31"/>
      <c r="KW11" s="32"/>
      <c r="KX11" s="32"/>
      <c r="KY11" s="30"/>
      <c r="KZ11" s="30" t="s">
        <v>164</v>
      </c>
      <c r="LA11" s="31"/>
      <c r="LB11" s="31"/>
      <c r="LC11" s="32"/>
      <c r="LD11" s="32"/>
      <c r="LE11" s="30"/>
      <c r="LF11" s="30"/>
      <c r="LG11" s="31"/>
      <c r="LH11" s="31"/>
      <c r="LI11" s="32"/>
      <c r="LJ11" s="32"/>
      <c r="LK11" s="30"/>
      <c r="LL11" s="30"/>
      <c r="LM11" s="31"/>
      <c r="LN11" s="31" t="s">
        <v>595</v>
      </c>
      <c r="LO11" s="32"/>
      <c r="LP11" s="32"/>
      <c r="LQ11" s="30"/>
      <c r="LR11" s="30" t="s">
        <v>185</v>
      </c>
      <c r="LS11" s="31"/>
      <c r="LT11" s="33" t="s">
        <v>589</v>
      </c>
      <c r="LU11" s="32" t="s">
        <v>79</v>
      </c>
      <c r="LV11" s="32"/>
      <c r="LW11" s="30"/>
      <c r="LX11" s="30"/>
      <c r="LY11" s="31"/>
      <c r="LZ11" s="31"/>
      <c r="MA11" s="32"/>
      <c r="MB11" s="32"/>
      <c r="MC11" s="30" t="s">
        <v>46</v>
      </c>
      <c r="MD11" s="33" t="s">
        <v>54</v>
      </c>
      <c r="ME11" s="33" t="s">
        <v>589</v>
      </c>
      <c r="MF11" s="31" t="s">
        <v>238</v>
      </c>
      <c r="MG11" s="32" t="s">
        <v>590</v>
      </c>
      <c r="MH11" s="32"/>
      <c r="MI11" s="30"/>
      <c r="MJ11" s="30" t="s">
        <v>585</v>
      </c>
      <c r="MK11" s="31"/>
      <c r="ML11" s="31"/>
      <c r="MM11" s="32"/>
      <c r="MN11" s="32"/>
      <c r="MO11" s="30"/>
      <c r="MP11" s="30" t="s">
        <v>33</v>
      </c>
      <c r="MQ11" s="31"/>
      <c r="MR11" s="31"/>
      <c r="MS11" s="32"/>
      <c r="MT11" s="32"/>
      <c r="MU11" s="30" t="s">
        <v>389</v>
      </c>
      <c r="MV11" s="30"/>
      <c r="MW11" s="31"/>
      <c r="MX11" s="31"/>
      <c r="MY11" s="32"/>
      <c r="MZ11" s="32"/>
      <c r="NA11" s="30"/>
      <c r="NB11" s="30"/>
      <c r="NC11" s="31"/>
      <c r="ND11" s="31"/>
      <c r="NE11" s="32"/>
      <c r="NF11" s="32"/>
      <c r="NG11" s="30"/>
      <c r="NH11" s="30"/>
      <c r="NI11" s="31"/>
      <c r="NJ11" s="31"/>
      <c r="NK11" s="32"/>
      <c r="NL11" s="32"/>
      <c r="NM11" s="30"/>
      <c r="NN11" s="30"/>
      <c r="NO11" s="31"/>
      <c r="NP11" s="31"/>
      <c r="NQ11" s="32"/>
      <c r="NR11" s="32"/>
      <c r="NS11" s="30"/>
      <c r="NT11" s="30"/>
      <c r="NU11" s="31"/>
      <c r="NV11" s="31"/>
      <c r="NW11" s="32"/>
      <c r="NX11" s="32"/>
      <c r="NY11" s="30"/>
      <c r="NZ11" s="30"/>
      <c r="OA11" s="31"/>
      <c r="OB11" s="31"/>
      <c r="OC11" s="32"/>
      <c r="OD11" s="32"/>
      <c r="OE11" s="30"/>
      <c r="OF11" s="30"/>
      <c r="OG11" s="31"/>
      <c r="OH11" s="31"/>
      <c r="OI11" s="32"/>
      <c r="OJ11" s="32"/>
      <c r="OK11" s="41" t="s">
        <v>28</v>
      </c>
      <c r="OL11" s="30"/>
      <c r="OM11" s="31"/>
      <c r="ON11" s="31"/>
      <c r="OO11" s="32"/>
      <c r="OP11" s="32"/>
      <c r="OQ11" s="30"/>
      <c r="OR11" s="30"/>
      <c r="OS11" s="31"/>
      <c r="OT11" s="31"/>
      <c r="OU11" s="32"/>
      <c r="OV11" s="32"/>
      <c r="OW11" s="30"/>
      <c r="OX11" s="30"/>
      <c r="OY11" s="31"/>
      <c r="OZ11" s="31"/>
      <c r="PA11" s="32"/>
      <c r="PB11" s="32"/>
      <c r="PC11" s="30"/>
      <c r="PD11" s="30"/>
      <c r="PE11" s="31"/>
      <c r="PF11" s="31"/>
      <c r="PG11" s="32"/>
      <c r="PH11" s="32"/>
      <c r="PI11" s="30"/>
      <c r="PJ11" s="30"/>
      <c r="PK11" s="31"/>
      <c r="PL11" s="31"/>
      <c r="PM11" s="32"/>
      <c r="PN11" s="32"/>
      <c r="PO11" s="30"/>
      <c r="PP11" s="30"/>
      <c r="PQ11" s="31"/>
      <c r="PR11" s="31"/>
      <c r="PS11" s="32"/>
      <c r="PT11" s="32"/>
      <c r="PU11" s="30"/>
      <c r="PV11" s="30"/>
      <c r="PW11" s="31"/>
      <c r="PX11" s="31"/>
      <c r="PY11" s="32"/>
      <c r="PZ11" s="32"/>
      <c r="QA11" s="30"/>
      <c r="QB11" s="30"/>
      <c r="QC11" s="31"/>
      <c r="QD11" s="31"/>
      <c r="QE11" s="32"/>
      <c r="QF11" s="32"/>
      <c r="QG11" s="30"/>
      <c r="QH11" s="30"/>
      <c r="QI11" s="31"/>
      <c r="QJ11" s="31"/>
      <c r="QK11" s="32"/>
      <c r="QL11" s="32" t="s">
        <v>124</v>
      </c>
      <c r="QM11" s="30"/>
      <c r="QN11" s="30"/>
      <c r="QO11" s="31"/>
      <c r="QP11" s="31"/>
      <c r="QQ11" s="32" t="s">
        <v>185</v>
      </c>
      <c r="QR11" s="32"/>
      <c r="QS11" s="30"/>
      <c r="QT11" s="30"/>
      <c r="QU11" s="31"/>
      <c r="QV11" s="31"/>
      <c r="QW11" s="32"/>
      <c r="QX11" s="32"/>
      <c r="QY11" s="30"/>
      <c r="QZ11" s="30"/>
      <c r="RA11" s="31"/>
      <c r="RB11" s="31"/>
      <c r="RC11" s="32"/>
      <c r="RD11" s="32"/>
      <c r="RE11" s="30"/>
      <c r="RF11" s="30"/>
      <c r="RG11" s="31"/>
      <c r="RH11" s="31"/>
      <c r="RI11" s="32"/>
      <c r="RJ11" s="32"/>
      <c r="RK11" s="30"/>
      <c r="RL11" s="30"/>
      <c r="RM11" s="31"/>
      <c r="RN11" s="31"/>
      <c r="RO11" s="32"/>
      <c r="RP11" s="32"/>
      <c r="RQ11" s="30"/>
      <c r="RR11" s="30"/>
      <c r="RS11" s="31"/>
      <c r="RT11" s="31"/>
      <c r="RU11" s="32"/>
      <c r="RV11" s="32"/>
      <c r="RW11" s="30"/>
      <c r="RX11" s="30"/>
      <c r="RY11" s="31"/>
      <c r="RZ11" s="31"/>
      <c r="SA11" s="32"/>
      <c r="SB11" s="32"/>
      <c r="SC11" s="30"/>
      <c r="SD11" s="30"/>
      <c r="SE11" s="31"/>
      <c r="SF11" s="31"/>
      <c r="SG11" s="32"/>
      <c r="SH11" s="32"/>
      <c r="SI11" s="30"/>
      <c r="SJ11" s="30"/>
      <c r="SK11" s="30"/>
      <c r="SL11" s="31"/>
      <c r="SM11" s="31"/>
      <c r="SN11" s="32"/>
      <c r="SO11" s="32"/>
      <c r="SP11" s="30"/>
      <c r="SQ11" s="30"/>
      <c r="SR11" s="31"/>
      <c r="SS11" s="31"/>
      <c r="ST11" s="32" t="s">
        <v>185</v>
      </c>
      <c r="SU11" s="32"/>
      <c r="SV11" s="30"/>
      <c r="SW11" s="30"/>
      <c r="SX11" s="31"/>
      <c r="SY11" s="31"/>
      <c r="SZ11" s="32"/>
      <c r="TA11" s="32"/>
      <c r="TB11" s="30"/>
      <c r="TC11" s="30" t="s">
        <v>124</v>
      </c>
      <c r="TD11" s="31"/>
      <c r="TE11" s="31"/>
      <c r="TF11" s="32"/>
      <c r="TG11" s="32"/>
      <c r="TH11" s="33" t="s">
        <v>389</v>
      </c>
      <c r="TI11" s="30"/>
      <c r="TJ11" s="31"/>
      <c r="TK11" s="31"/>
      <c r="TL11" s="32"/>
      <c r="TM11" s="32"/>
      <c r="TN11" s="30"/>
      <c r="TO11" s="41" t="s">
        <v>314</v>
      </c>
      <c r="TP11" s="31"/>
      <c r="TQ11" s="31" t="s">
        <v>22</v>
      </c>
      <c r="TR11" s="32"/>
      <c r="TS11" s="32"/>
      <c r="TT11" s="30" t="s">
        <v>300</v>
      </c>
      <c r="TU11" s="30"/>
      <c r="TV11" s="31" t="s">
        <v>41</v>
      </c>
      <c r="TW11" s="31"/>
      <c r="TX11" s="32"/>
      <c r="TY11" s="32"/>
      <c r="TZ11" s="30"/>
      <c r="UA11" s="30"/>
      <c r="UB11" s="31"/>
      <c r="UC11" s="31"/>
      <c r="UD11" s="32"/>
      <c r="UE11" s="32"/>
      <c r="UF11" s="30"/>
      <c r="UG11" s="30"/>
      <c r="UH11" s="31"/>
      <c r="UI11" s="31"/>
      <c r="UJ11" s="32" t="s">
        <v>271</v>
      </c>
      <c r="UK11" s="32"/>
      <c r="UL11" s="30"/>
      <c r="UM11" s="30"/>
      <c r="UN11" s="31"/>
      <c r="UO11" s="31"/>
      <c r="UP11" s="32"/>
      <c r="UQ11" s="32"/>
      <c r="UR11" s="30"/>
      <c r="US11" s="30"/>
      <c r="UT11" s="31"/>
      <c r="UU11" s="31"/>
      <c r="UV11" s="32"/>
      <c r="UW11" s="32"/>
      <c r="UX11" s="30"/>
      <c r="UY11" s="30"/>
      <c r="UZ11" s="31"/>
      <c r="VA11" s="31"/>
      <c r="VB11" s="32"/>
      <c r="VC11" s="32"/>
      <c r="VD11" s="30"/>
      <c r="VE11" s="30"/>
      <c r="VF11" s="31"/>
      <c r="VG11" s="31"/>
      <c r="VH11" s="32"/>
      <c r="VI11" s="32" t="s">
        <v>389</v>
      </c>
      <c r="VJ11" s="30"/>
      <c r="VK11" s="30"/>
      <c r="VL11" s="31"/>
      <c r="VM11" s="31"/>
      <c r="VN11" s="39" t="s">
        <v>94</v>
      </c>
      <c r="VO11" s="32"/>
      <c r="VP11" s="30"/>
      <c r="VQ11" s="30"/>
      <c r="VR11" s="31"/>
      <c r="VS11" s="31"/>
      <c r="VT11" s="32"/>
      <c r="VU11" s="32"/>
      <c r="VV11" s="30"/>
      <c r="VW11" s="30"/>
      <c r="VX11" s="31"/>
      <c r="VY11" s="31"/>
      <c r="VZ11" s="32"/>
      <c r="WA11" s="32"/>
      <c r="WB11" s="30"/>
      <c r="WC11" s="30"/>
      <c r="WD11" s="31"/>
      <c r="WE11" s="31"/>
      <c r="WF11" s="32"/>
      <c r="WG11" s="32"/>
      <c r="WH11" s="30"/>
      <c r="WI11" s="30"/>
      <c r="WJ11" s="31"/>
      <c r="WK11" s="31"/>
      <c r="WL11" s="32"/>
      <c r="WM11" s="32"/>
      <c r="WN11" s="30"/>
      <c r="WO11" s="30"/>
      <c r="WP11" s="31"/>
      <c r="WQ11" s="31"/>
      <c r="WR11" s="32"/>
      <c r="WS11" s="32"/>
      <c r="WT11" s="30"/>
      <c r="WU11" s="30"/>
      <c r="WV11" s="31"/>
      <c r="WW11" s="31"/>
      <c r="WX11" s="32"/>
      <c r="WY11" s="32"/>
      <c r="WZ11" s="30"/>
      <c r="XA11" s="30"/>
      <c r="XB11" s="31"/>
      <c r="XC11" s="31"/>
      <c r="XD11" s="32"/>
      <c r="XE11" s="32"/>
      <c r="XF11" s="30"/>
      <c r="XG11" s="30"/>
      <c r="XH11" s="31"/>
      <c r="XI11" s="31"/>
      <c r="XJ11" s="32"/>
      <c r="XK11" s="32"/>
      <c r="XL11" s="30"/>
      <c r="XM11" s="30"/>
      <c r="XN11" s="31"/>
      <c r="XO11" s="31"/>
      <c r="XP11" s="32"/>
      <c r="XQ11" s="32"/>
      <c r="XR11" s="30"/>
      <c r="XS11" s="30"/>
      <c r="XT11" s="31"/>
      <c r="XU11" s="31"/>
      <c r="XV11" s="32"/>
      <c r="XW11" s="32"/>
      <c r="XX11" s="30"/>
      <c r="XY11" s="30"/>
      <c r="XZ11" s="31"/>
      <c r="YA11" s="31" t="s">
        <v>59</v>
      </c>
      <c r="YB11" s="32"/>
      <c r="YC11" s="32"/>
      <c r="YD11" s="30"/>
      <c r="YE11" s="30"/>
      <c r="YF11" s="31" t="s">
        <v>185</v>
      </c>
      <c r="YG11" s="31"/>
      <c r="YH11" s="32"/>
      <c r="YI11" s="32"/>
      <c r="YJ11" s="30"/>
      <c r="YK11" s="30"/>
      <c r="YL11" s="31"/>
      <c r="YM11" s="31"/>
      <c r="YN11" s="32"/>
      <c r="YO11" s="32"/>
      <c r="YP11" s="30"/>
      <c r="YQ11" s="30"/>
      <c r="YR11" s="31"/>
      <c r="YS11" s="31"/>
      <c r="YT11" s="32"/>
      <c r="YU11" s="32"/>
      <c r="YV11" s="30"/>
      <c r="YW11" s="30"/>
      <c r="YX11" s="31"/>
      <c r="YY11" s="31"/>
      <c r="YZ11" s="32"/>
      <c r="ZA11" s="32"/>
      <c r="ZB11" s="30"/>
      <c r="ZC11" s="30"/>
      <c r="ZD11" s="31"/>
      <c r="ZE11" s="31"/>
      <c r="ZF11" s="32"/>
      <c r="ZG11" s="32"/>
      <c r="ZH11" s="30"/>
      <c r="ZI11" s="30"/>
      <c r="ZJ11" s="31"/>
      <c r="ZK11" s="31"/>
      <c r="ZL11" s="32"/>
      <c r="ZM11" s="32"/>
      <c r="ZN11" s="30"/>
      <c r="ZO11" s="30"/>
      <c r="ZP11" s="31"/>
      <c r="ZQ11" s="31"/>
      <c r="ZR11" s="32"/>
      <c r="ZS11" s="32"/>
      <c r="ZT11" s="30"/>
      <c r="ZU11" s="30"/>
      <c r="ZV11" s="31"/>
      <c r="ZW11" s="31"/>
      <c r="ZX11" s="32"/>
      <c r="ZY11" s="32"/>
      <c r="ZZ11" s="30"/>
      <c r="AAA11" s="30"/>
      <c r="AAB11" s="31"/>
      <c r="AAC11" s="31"/>
      <c r="AAD11" s="32"/>
      <c r="AAE11" s="32" t="s">
        <v>601</v>
      </c>
      <c r="AAF11" s="30"/>
      <c r="AAG11" s="30"/>
      <c r="AAH11" s="31"/>
      <c r="AAI11" s="31"/>
      <c r="AAJ11" s="32"/>
      <c r="AAK11" s="32"/>
      <c r="AAL11" s="30"/>
      <c r="AAM11" s="30"/>
      <c r="AAN11" s="31"/>
      <c r="AAO11" s="31"/>
      <c r="AAP11" s="32"/>
      <c r="AAQ11" s="32"/>
      <c r="AAR11" s="30"/>
      <c r="AAS11" s="30"/>
      <c r="AAT11" s="31"/>
      <c r="AAU11" s="31"/>
      <c r="AAV11" s="32"/>
      <c r="AAW11" s="32"/>
      <c r="AAX11" s="30"/>
      <c r="AAY11" s="30"/>
      <c r="AAZ11" s="31"/>
      <c r="ABA11" s="31"/>
      <c r="ABB11" s="32"/>
      <c r="ABC11" s="32"/>
      <c r="ABD11" s="30"/>
      <c r="ABE11" s="30"/>
      <c r="ABF11" s="31"/>
      <c r="ABG11" s="31"/>
      <c r="ABH11" s="32"/>
      <c r="ABI11" s="32"/>
      <c r="ABJ11" s="30"/>
      <c r="ABK11" s="30"/>
      <c r="ABL11" s="31"/>
      <c r="ABM11" s="31"/>
      <c r="ABN11" s="32"/>
      <c r="ABO11" s="32"/>
      <c r="ABP11" s="30"/>
      <c r="ABQ11" s="30"/>
      <c r="ABR11" s="31"/>
      <c r="ABS11" s="31"/>
      <c r="ABT11" s="32"/>
      <c r="ABU11" s="32"/>
      <c r="ABV11" s="30"/>
      <c r="ABW11" s="30"/>
      <c r="ABX11" s="31"/>
      <c r="ABY11" s="31"/>
      <c r="ABZ11" s="32"/>
      <c r="ACA11" s="32"/>
      <c r="ACB11" s="30"/>
      <c r="ACC11" s="30"/>
      <c r="ACD11" s="31"/>
      <c r="ACE11" s="31"/>
      <c r="ACF11" s="32"/>
      <c r="ACG11" s="32"/>
      <c r="ACH11" s="30"/>
      <c r="ACI11" s="30"/>
      <c r="ACJ11" s="31"/>
      <c r="ACK11" s="31"/>
      <c r="ACL11" s="32"/>
      <c r="ACM11" s="32"/>
      <c r="ACN11" s="30"/>
      <c r="ACO11" s="30"/>
      <c r="ACP11" s="31"/>
      <c r="ACQ11" s="31"/>
      <c r="ACR11" s="32"/>
      <c r="ACS11" s="32"/>
      <c r="ACT11" s="30"/>
      <c r="ACU11" s="30"/>
      <c r="ACV11" s="31"/>
      <c r="ACW11" s="31"/>
      <c r="ACX11" s="32"/>
      <c r="ACY11" s="32"/>
      <c r="ACZ11" s="30"/>
      <c r="ADA11" s="30"/>
      <c r="ADB11" s="31"/>
      <c r="ADC11" s="31"/>
      <c r="ADD11" s="32"/>
      <c r="ADE11" s="32"/>
      <c r="ADF11" s="30"/>
      <c r="ADG11" s="30"/>
      <c r="ADH11" s="31"/>
      <c r="ADI11" s="31"/>
      <c r="ADJ11" s="32"/>
      <c r="ADK11" s="32"/>
      <c r="ADL11" s="30"/>
      <c r="ADM11" s="30"/>
      <c r="ADN11" s="31"/>
      <c r="ADO11" s="31"/>
      <c r="ADP11" s="32"/>
      <c r="ADQ11" s="32"/>
      <c r="ADR11" s="30"/>
      <c r="ADS11" s="30"/>
      <c r="ADT11" s="31"/>
      <c r="ADU11" s="31"/>
      <c r="ADV11" s="32"/>
      <c r="ADW11" s="32"/>
      <c r="ADX11" s="30"/>
      <c r="ADY11" s="30"/>
      <c r="ADZ11" s="31"/>
      <c r="AEA11" s="31"/>
      <c r="AEB11" s="32"/>
      <c r="AEC11" s="32"/>
      <c r="AED11" s="30"/>
      <c r="AEE11" s="30"/>
      <c r="AEF11" s="31"/>
      <c r="AEG11" s="31"/>
      <c r="AEH11" s="32"/>
      <c r="AEI11" s="32"/>
      <c r="AEJ11" s="30"/>
      <c r="AEK11" s="30"/>
      <c r="AEL11" s="31"/>
      <c r="AEM11" s="31"/>
      <c r="AEN11" s="32"/>
      <c r="AEO11" s="32"/>
      <c r="AEP11" s="30"/>
      <c r="AEQ11" s="30"/>
      <c r="AER11" s="31"/>
      <c r="AES11" s="31"/>
      <c r="AET11" s="32"/>
      <c r="AEU11" s="32"/>
      <c r="AEV11" s="30"/>
      <c r="AEW11" s="30"/>
      <c r="AEX11" s="31"/>
      <c r="AEY11" s="31"/>
      <c r="AEZ11" s="32"/>
      <c r="AFA11" s="32"/>
      <c r="AFB11" s="30" t="s">
        <v>173</v>
      </c>
      <c r="AFC11" s="30"/>
      <c r="AFD11" s="31"/>
      <c r="AFE11" s="31"/>
      <c r="AFF11" s="32"/>
      <c r="AFG11" s="32"/>
      <c r="AFH11" s="30"/>
      <c r="AFI11" s="30"/>
      <c r="AFJ11" s="31"/>
      <c r="AFK11" s="31"/>
      <c r="AFL11" s="32"/>
      <c r="AFM11" s="32"/>
      <c r="AFN11" s="30"/>
      <c r="AFO11" s="30"/>
      <c r="AFP11" s="31"/>
      <c r="AFQ11" s="31"/>
      <c r="AFR11" s="32"/>
      <c r="AFS11" s="32"/>
      <c r="AFT11" s="30"/>
      <c r="AFU11" s="30"/>
      <c r="AFV11" s="31"/>
      <c r="AFW11" s="31"/>
      <c r="AFX11" s="32"/>
      <c r="AFY11" s="32"/>
      <c r="AFZ11" s="30"/>
      <c r="AGA11" s="30"/>
      <c r="AGB11" s="31"/>
      <c r="AGC11" s="31"/>
      <c r="AGD11" s="32"/>
      <c r="AGE11" s="32"/>
      <c r="AGF11" s="30"/>
      <c r="AGG11" s="30"/>
      <c r="AGH11" s="31"/>
      <c r="AGI11" s="31"/>
      <c r="AGJ11" s="32"/>
      <c r="AGK11" s="32"/>
      <c r="AGL11" s="30"/>
      <c r="AGM11" s="30"/>
      <c r="AGN11" s="31"/>
      <c r="AGO11" s="31"/>
      <c r="AGP11" s="32"/>
      <c r="AGQ11" s="32"/>
      <c r="AGR11" s="30"/>
      <c r="AGS11" s="30"/>
      <c r="AGT11" s="31"/>
      <c r="AGU11" s="31" t="s">
        <v>606</v>
      </c>
      <c r="AGV11" s="32"/>
      <c r="AGW11" s="32"/>
      <c r="AGX11" s="30"/>
      <c r="AGY11" s="30"/>
      <c r="AGZ11" s="31"/>
      <c r="AHA11" s="31"/>
      <c r="AHB11" s="32"/>
      <c r="AHC11" s="32"/>
      <c r="AHD11" s="30"/>
      <c r="AHE11" s="30"/>
      <c r="AHF11" s="31"/>
      <c r="AHG11" s="31"/>
      <c r="AHH11" s="32"/>
      <c r="AHI11" s="32"/>
      <c r="AHJ11" s="30"/>
      <c r="AHK11" s="30"/>
      <c r="AHL11" s="31"/>
      <c r="AHM11" s="31"/>
      <c r="AHN11" s="32"/>
      <c r="AHO11" s="32"/>
      <c r="AHP11" s="30"/>
      <c r="AHQ11" s="30"/>
      <c r="AHR11" s="40" t="s">
        <v>176</v>
      </c>
      <c r="AHS11" s="31"/>
      <c r="AHT11" s="32"/>
      <c r="AHU11" s="32"/>
      <c r="AHV11" s="30"/>
      <c r="AHW11" s="30"/>
      <c r="AHX11" s="31"/>
      <c r="AHY11" s="31"/>
      <c r="AHZ11" s="32"/>
      <c r="AIA11" s="32"/>
      <c r="AIB11" s="30"/>
      <c r="AIC11" s="30"/>
      <c r="AID11" s="31"/>
      <c r="AIE11" s="31"/>
      <c r="AIF11" s="32"/>
      <c r="AIG11" s="32"/>
      <c r="AIH11" s="30"/>
      <c r="AII11" s="30"/>
      <c r="AIJ11" s="31"/>
      <c r="AIK11" s="31"/>
      <c r="AIL11" s="32"/>
      <c r="AIM11" s="32"/>
      <c r="AIN11" s="30"/>
      <c r="AIO11" s="30"/>
      <c r="AIP11" s="31"/>
      <c r="AIQ11" s="31"/>
      <c r="AIR11" s="32"/>
      <c r="AIS11" s="32"/>
      <c r="AIT11" s="30"/>
      <c r="AIU11" s="30"/>
      <c r="AIV11" s="31"/>
      <c r="AIW11" s="31"/>
      <c r="AIX11" s="32"/>
      <c r="AIY11" s="32"/>
      <c r="AIZ11" s="30"/>
      <c r="AJA11" s="30"/>
      <c r="AJB11" s="31"/>
      <c r="AJC11" s="31"/>
      <c r="AJD11" s="32"/>
      <c r="AJE11" s="32"/>
      <c r="AJF11" s="30"/>
      <c r="AJG11" s="30"/>
      <c r="AJH11" s="31"/>
      <c r="AJI11" s="31"/>
      <c r="AJJ11" s="32"/>
      <c r="AJK11" s="32"/>
      <c r="AJL11" s="30"/>
      <c r="AJM11" s="30"/>
      <c r="AJN11" s="31"/>
      <c r="AJO11" s="31"/>
      <c r="AJP11" s="32"/>
      <c r="AJQ11" s="32"/>
      <c r="AJR11" s="30"/>
      <c r="AJS11" s="30"/>
      <c r="AJT11" s="31"/>
      <c r="AJU11" s="31"/>
      <c r="AJV11" s="32"/>
      <c r="AJW11" s="32"/>
      <c r="AJX11" s="30"/>
      <c r="AJY11" s="30"/>
      <c r="AJZ11" s="31"/>
      <c r="AKA11" s="31"/>
      <c r="AKB11" s="32"/>
      <c r="AKC11" s="32"/>
      <c r="AKD11" s="30"/>
      <c r="AKE11" s="30"/>
      <c r="AKF11" s="31"/>
      <c r="AKG11" s="31"/>
      <c r="AKH11" s="32"/>
      <c r="AKI11" s="32"/>
      <c r="AKJ11" s="30"/>
      <c r="AKK11" s="30"/>
      <c r="AKL11" s="31"/>
      <c r="AKM11" s="31"/>
      <c r="AKN11" s="32"/>
      <c r="AKO11" s="32"/>
      <c r="AKP11" s="30"/>
      <c r="AKQ11" s="30"/>
      <c r="AKR11" s="31"/>
      <c r="AKS11" s="31"/>
      <c r="AKT11" s="32"/>
      <c r="AKU11" s="32" t="s">
        <v>173</v>
      </c>
      <c r="AKV11" s="30"/>
      <c r="AKW11" s="30"/>
      <c r="AKX11" s="31"/>
      <c r="AKY11" s="31"/>
      <c r="AKZ11" s="32"/>
      <c r="ALA11" s="32"/>
      <c r="ALB11" s="33" t="s">
        <v>300</v>
      </c>
      <c r="ALC11" s="30"/>
      <c r="ALD11" s="31"/>
      <c r="ALE11" s="31"/>
      <c r="ALF11" s="32"/>
      <c r="ALG11" s="32"/>
      <c r="ALH11" s="30"/>
      <c r="ALI11" s="30"/>
      <c r="ALJ11" s="31"/>
      <c r="ALK11" s="40"/>
      <c r="ALL11" s="32"/>
      <c r="ALM11" s="32"/>
      <c r="ALN11" s="30"/>
      <c r="ALO11" s="30"/>
      <c r="ALP11" s="31"/>
      <c r="ALQ11" s="31"/>
      <c r="ALR11" s="32"/>
      <c r="ALS11" s="32"/>
      <c r="ALT11" s="30"/>
      <c r="ALU11" s="30"/>
      <c r="ALV11" s="31"/>
      <c r="ALW11" s="31"/>
      <c r="ALX11" s="32"/>
      <c r="ALY11" s="32" t="s">
        <v>259</v>
      </c>
      <c r="ALZ11" s="30"/>
      <c r="AMA11" s="30"/>
      <c r="AMB11" s="31"/>
      <c r="AMC11" s="31"/>
      <c r="AMD11" s="32"/>
      <c r="AME11" s="32"/>
      <c r="AMF11" s="30"/>
      <c r="AMG11" s="30"/>
      <c r="AMH11" s="31"/>
      <c r="AMI11" s="31"/>
      <c r="AMJ11" s="32"/>
      <c r="AMK11" s="32"/>
      <c r="AML11" s="30"/>
      <c r="AMM11" s="30"/>
      <c r="AMN11" s="33" t="s">
        <v>227</v>
      </c>
      <c r="AMO11" s="33" t="s">
        <v>227</v>
      </c>
      <c r="AMP11" s="32"/>
      <c r="AMQ11" s="32" t="s">
        <v>259</v>
      </c>
      <c r="AMR11" s="30"/>
      <c r="AMS11" s="30"/>
      <c r="AMT11" s="31"/>
      <c r="AMU11" s="31"/>
      <c r="AMV11" s="32"/>
      <c r="AMW11" s="32"/>
      <c r="AMX11" s="30"/>
      <c r="AMY11" s="30"/>
      <c r="AMZ11" s="31"/>
      <c r="ANA11" s="31" t="s">
        <v>164</v>
      </c>
      <c r="ANB11" s="32"/>
      <c r="ANC11" s="32"/>
      <c r="AND11" s="30"/>
      <c r="ANE11" s="30"/>
      <c r="ANF11" s="33" t="s">
        <v>28</v>
      </c>
      <c r="ANG11" s="31"/>
      <c r="ANH11" s="32" t="s">
        <v>164</v>
      </c>
      <c r="ANI11" s="32"/>
      <c r="ANJ11" s="30"/>
      <c r="ANK11" s="30"/>
      <c r="ANL11" s="31"/>
      <c r="ANM11" s="31"/>
      <c r="ANN11" s="32"/>
      <c r="ANO11" s="32"/>
      <c r="ANP11" s="30"/>
      <c r="ANQ11" s="30"/>
      <c r="ANR11" s="33" t="s">
        <v>79</v>
      </c>
      <c r="ANS11" s="33" t="s">
        <v>327</v>
      </c>
      <c r="ANT11" s="33" t="s">
        <v>41</v>
      </c>
      <c r="ANU11" s="32"/>
      <c r="ANV11" s="30"/>
      <c r="ANW11" s="30"/>
      <c r="ANX11" s="31"/>
      <c r="ANY11" s="31"/>
      <c r="ANZ11" s="32"/>
      <c r="AOA11" s="32"/>
      <c r="AOB11" s="30"/>
      <c r="AOC11" s="30"/>
      <c r="AOD11" s="31"/>
      <c r="AOE11" s="31"/>
      <c r="AOF11" s="33" t="s">
        <v>81</v>
      </c>
      <c r="AOG11" s="32"/>
      <c r="AOH11" s="30" t="s">
        <v>587</v>
      </c>
      <c r="AOI11" s="30"/>
      <c r="AOJ11" s="31"/>
      <c r="AOK11" s="31"/>
      <c r="AOL11" s="32"/>
      <c r="AOM11" s="32"/>
      <c r="AON11" s="30"/>
      <c r="AOO11" s="30"/>
      <c r="AOP11" s="31"/>
      <c r="AOQ11" s="31"/>
      <c r="AOR11" s="32"/>
      <c r="AOS11" s="32"/>
      <c r="AOT11" s="33" t="s">
        <v>54</v>
      </c>
      <c r="AOU11" s="30"/>
      <c r="AOV11" s="31" t="s">
        <v>601</v>
      </c>
      <c r="AOW11" s="31"/>
      <c r="AOX11" s="32"/>
      <c r="AOY11" s="32"/>
      <c r="AOZ11" s="30"/>
      <c r="APA11" s="30"/>
      <c r="APB11" s="31"/>
      <c r="APC11" s="31"/>
      <c r="APD11" s="32"/>
      <c r="APE11" s="32" t="s">
        <v>205</v>
      </c>
      <c r="APF11" s="30"/>
      <c r="APG11" s="30" t="s">
        <v>74</v>
      </c>
      <c r="APH11" s="32"/>
      <c r="API11" s="32"/>
      <c r="APJ11" s="33" t="s">
        <v>389</v>
      </c>
      <c r="APK11" s="31"/>
      <c r="APL11" s="30"/>
      <c r="APM11" s="30"/>
      <c r="APN11" s="32"/>
      <c r="APO11" s="32"/>
      <c r="APP11" s="31"/>
      <c r="APQ11" s="31"/>
      <c r="APR11" s="30"/>
      <c r="APS11" s="30"/>
      <c r="APT11" s="32"/>
      <c r="APU11" s="32"/>
      <c r="APV11" s="31"/>
      <c r="APW11" s="31"/>
      <c r="APX11" s="30" t="s">
        <v>389</v>
      </c>
      <c r="APY11" s="30"/>
      <c r="APZ11" s="32"/>
      <c r="AQA11" s="32"/>
      <c r="AQB11" s="31"/>
      <c r="AQC11" s="31"/>
      <c r="AQD11" s="30"/>
      <c r="AQE11" s="30"/>
      <c r="AQF11" s="32"/>
      <c r="AQG11" s="32" t="s">
        <v>94</v>
      </c>
      <c r="AQH11" s="31"/>
      <c r="AQI11" s="31"/>
      <c r="AQJ11" s="30"/>
      <c r="AQK11" s="30"/>
      <c r="AQL11" s="32" t="s">
        <v>227</v>
      </c>
      <c r="AQM11" s="32"/>
      <c r="AQN11" s="31"/>
      <c r="AQO11" s="31"/>
      <c r="AQP11" s="30"/>
      <c r="AQQ11" s="30"/>
      <c r="AQR11" s="32"/>
      <c r="AQS11" s="32"/>
      <c r="AQT11" s="31"/>
      <c r="AQU11" s="31"/>
      <c r="AQV11" s="30"/>
      <c r="AQW11" s="30"/>
      <c r="AQX11" s="32"/>
      <c r="AQY11" s="32"/>
      <c r="AQZ11" s="31"/>
      <c r="ARA11" s="31"/>
      <c r="ARB11" s="30"/>
      <c r="ARC11" s="30"/>
      <c r="ARD11" s="32"/>
      <c r="ARE11" s="32"/>
      <c r="ARF11" s="31"/>
      <c r="ARG11" s="31"/>
      <c r="ARH11" s="30"/>
      <c r="ARI11" s="30"/>
      <c r="ARJ11" s="32"/>
      <c r="ARK11" s="32"/>
      <c r="ARL11" s="31"/>
      <c r="ARM11" s="31"/>
      <c r="ARN11" s="30"/>
      <c r="ARO11" s="30"/>
      <c r="ARP11" s="32"/>
      <c r="ARQ11" s="32"/>
      <c r="ARR11" s="31"/>
      <c r="ARS11" s="31"/>
      <c r="ART11" s="30"/>
      <c r="ARU11" s="30"/>
      <c r="ARV11" s="32"/>
      <c r="ARW11" s="32"/>
      <c r="ARX11" s="31"/>
      <c r="ARY11" s="31"/>
      <c r="ARZ11" s="30"/>
      <c r="ASA11" s="30"/>
      <c r="ASB11" s="32"/>
      <c r="ASC11" s="32"/>
      <c r="ASD11" s="31"/>
      <c r="ASE11" s="31"/>
      <c r="ASF11" s="30"/>
      <c r="ASG11" s="30"/>
      <c r="ASH11" s="32"/>
      <c r="ASI11" s="32"/>
      <c r="ASJ11" s="31"/>
      <c r="ASK11" s="31"/>
      <c r="ASL11" s="30"/>
      <c r="ASM11" s="30" t="s">
        <v>314</v>
      </c>
      <c r="ASN11" s="32"/>
      <c r="ASO11" s="32"/>
      <c r="ASP11" s="31"/>
      <c r="ASQ11" s="31"/>
      <c r="ASR11" s="30" t="s">
        <v>185</v>
      </c>
      <c r="ASS11" s="30"/>
      <c r="AST11" s="32"/>
      <c r="ASU11" s="32"/>
      <c r="ASV11" s="31"/>
      <c r="ASW11" s="31"/>
      <c r="ASX11" s="30"/>
      <c r="ASY11" s="30"/>
      <c r="ASZ11" s="32"/>
      <c r="ATA11" s="32"/>
      <c r="ATB11" s="31"/>
      <c r="ATC11" s="31"/>
      <c r="ATD11" s="30"/>
      <c r="ATE11" s="30"/>
      <c r="ATF11" s="32"/>
      <c r="ATG11" s="32"/>
      <c r="ATH11" s="31"/>
      <c r="ATI11" s="31"/>
      <c r="ATJ11" s="30"/>
      <c r="ATK11" s="30"/>
      <c r="ATL11" s="32"/>
      <c r="ATM11" s="32"/>
      <c r="ATN11" s="31"/>
      <c r="ATO11" s="31"/>
      <c r="ATP11" s="30"/>
      <c r="ATQ11" s="30"/>
      <c r="ATR11" s="32"/>
      <c r="ATS11" s="32"/>
      <c r="ATT11" s="31"/>
      <c r="ATU11" s="31"/>
      <c r="ATV11" s="30"/>
      <c r="ATW11" s="30"/>
      <c r="ATX11" s="32"/>
      <c r="ATY11" s="32"/>
      <c r="ATZ11" s="31"/>
      <c r="AUA11" s="31"/>
      <c r="AUB11" s="30"/>
      <c r="AUC11" s="33" t="s">
        <v>46</v>
      </c>
      <c r="AUD11" s="32"/>
      <c r="AUE11" s="32"/>
      <c r="AUF11" s="31"/>
      <c r="AUG11" s="31"/>
      <c r="AUH11" s="30"/>
      <c r="AUI11" s="30"/>
      <c r="AUJ11" s="32"/>
      <c r="AUK11" s="32"/>
      <c r="AUL11" s="31"/>
      <c r="AUM11" s="31"/>
      <c r="AUN11" s="30"/>
      <c r="AUO11" s="30"/>
      <c r="AUP11" s="32"/>
      <c r="AUQ11" s="32"/>
      <c r="AUR11" s="31"/>
      <c r="AUS11" s="31"/>
      <c r="AUT11" s="30" t="s">
        <v>54</v>
      </c>
      <c r="AUU11" s="30"/>
      <c r="AUV11" s="32"/>
      <c r="AUW11" s="32"/>
      <c r="AUX11" s="31"/>
      <c r="AUY11" s="31"/>
      <c r="AUZ11" s="30"/>
      <c r="AVA11" s="30"/>
      <c r="AVB11" s="32"/>
      <c r="AVC11" s="32"/>
      <c r="AVD11" s="31"/>
      <c r="AVE11" s="31"/>
      <c r="AVF11" s="30"/>
      <c r="AVG11" s="30"/>
      <c r="AVH11" s="32" t="s">
        <v>289</v>
      </c>
      <c r="AVI11" s="32"/>
      <c r="AVJ11" s="31"/>
      <c r="AVK11" s="31"/>
      <c r="AVL11" s="30"/>
      <c r="AVM11" s="30"/>
      <c r="AVN11" s="32"/>
      <c r="AVO11" s="32"/>
      <c r="AVP11" s="31"/>
      <c r="AVQ11" s="31" t="s">
        <v>594</v>
      </c>
      <c r="AVR11" s="30"/>
      <c r="AVS11" s="30" t="s">
        <v>46</v>
      </c>
      <c r="AVT11" s="32"/>
      <c r="AVU11" s="32"/>
      <c r="AVV11" s="33" t="s">
        <v>64</v>
      </c>
      <c r="AVW11" s="31"/>
      <c r="AVX11" s="41" t="s">
        <v>102</v>
      </c>
      <c r="AVY11" s="30"/>
      <c r="AVZ11" s="32"/>
      <c r="AWA11" s="32"/>
      <c r="AWB11" s="31"/>
      <c r="AWC11" s="31"/>
      <c r="AWD11" s="30"/>
      <c r="AWE11" s="30"/>
      <c r="AWF11" s="32"/>
      <c r="AWG11" s="32"/>
      <c r="AWH11" s="31"/>
      <c r="AWI11" s="31"/>
      <c r="AWJ11" s="30"/>
      <c r="AWK11" s="30"/>
      <c r="AWL11" s="32"/>
      <c r="AWM11" s="32"/>
      <c r="AWN11" s="31"/>
      <c r="AWO11" s="31"/>
      <c r="AWP11" s="30"/>
      <c r="AWQ11" s="30"/>
      <c r="AWR11" s="32"/>
      <c r="AWS11" s="32"/>
      <c r="AWT11" s="31"/>
      <c r="AWU11" s="31"/>
      <c r="AWV11" s="30"/>
      <c r="AWW11" s="30"/>
      <c r="AWX11" s="32"/>
      <c r="AWY11" s="32"/>
      <c r="AWZ11" s="31"/>
      <c r="AXA11" s="31"/>
      <c r="AXB11" s="30"/>
      <c r="AXC11" s="30"/>
      <c r="AXD11" s="32"/>
      <c r="AXE11" s="32"/>
      <c r="AXF11" s="31"/>
      <c r="AXG11" s="33" t="s">
        <v>64</v>
      </c>
      <c r="AXH11" s="30"/>
      <c r="AXI11" s="30"/>
      <c r="AXJ11" s="32"/>
      <c r="AXK11" s="32"/>
      <c r="AXL11" s="31"/>
      <c r="AXM11" s="31"/>
      <c r="AXN11" s="30"/>
      <c r="AXO11" s="30"/>
      <c r="AXP11" s="32"/>
      <c r="AXQ11" s="32"/>
      <c r="AXR11" s="31"/>
      <c r="AXS11" s="31"/>
      <c r="AXT11" s="30"/>
      <c r="AXU11" s="30"/>
      <c r="AXV11" s="32"/>
      <c r="AXW11" s="32"/>
      <c r="AXX11" s="31"/>
      <c r="AXY11" s="31"/>
      <c r="AXZ11" s="30"/>
      <c r="AYA11" s="30"/>
      <c r="AYB11" s="32"/>
      <c r="AYC11" s="32"/>
      <c r="AYD11" s="31"/>
      <c r="AYE11" s="31"/>
      <c r="AYF11" s="30"/>
      <c r="AYG11" s="30"/>
      <c r="AYH11" s="32"/>
      <c r="AYI11" s="32"/>
      <c r="AYJ11" s="31"/>
      <c r="AYK11" s="31"/>
      <c r="AYL11" s="30"/>
      <c r="AYM11" s="30"/>
      <c r="AYN11" s="32"/>
      <c r="AYO11" s="32"/>
      <c r="AYP11" s="31"/>
      <c r="AYQ11" s="31"/>
      <c r="AYR11" s="30"/>
      <c r="AYS11" s="30"/>
      <c r="AYT11" s="32"/>
      <c r="AYU11" s="32"/>
      <c r="AYV11" s="31"/>
      <c r="AYW11" s="31"/>
      <c r="AYX11" s="30"/>
      <c r="AYY11" s="30"/>
      <c r="AYZ11" s="32"/>
      <c r="AZA11" s="32"/>
      <c r="AZB11" s="31"/>
      <c r="AZC11" s="31"/>
      <c r="AZD11" s="30"/>
      <c r="AZE11" s="30"/>
      <c r="AZF11" s="32"/>
      <c r="AZG11" s="32"/>
      <c r="AZH11" s="31"/>
      <c r="AZI11" s="31"/>
      <c r="AZJ11" s="30"/>
      <c r="AZK11" s="30"/>
      <c r="AZL11" s="32"/>
      <c r="AZM11" s="32"/>
      <c r="AZN11" s="31"/>
      <c r="AZO11" s="31"/>
      <c r="AZP11" s="30"/>
      <c r="AZQ11" s="30"/>
      <c r="AZR11" s="32"/>
      <c r="AZS11" s="32"/>
      <c r="AZT11" s="31"/>
      <c r="AZU11" s="31"/>
      <c r="AZV11" s="30"/>
      <c r="AZW11" s="30"/>
      <c r="AZX11" s="32"/>
      <c r="AZY11" s="32"/>
      <c r="AZZ11" s="31"/>
      <c r="BAA11" s="31"/>
      <c r="BAB11" s="30"/>
      <c r="BAC11" s="30"/>
      <c r="BAD11" s="32"/>
      <c r="BAE11" s="32"/>
      <c r="BAF11" s="31"/>
      <c r="BAG11" s="31"/>
      <c r="BAH11" s="30"/>
      <c r="BAI11" s="30"/>
      <c r="BAJ11" s="32"/>
      <c r="BAK11" s="32"/>
      <c r="BAL11" s="31"/>
      <c r="BAM11" s="31"/>
      <c r="BAN11" s="30"/>
      <c r="BAO11" s="30"/>
      <c r="BAP11" s="32"/>
      <c r="BAQ11" s="32"/>
      <c r="BAR11" s="31"/>
      <c r="BAS11" s="31"/>
      <c r="BAT11" s="30"/>
      <c r="BAU11" s="30"/>
      <c r="BAV11" s="32"/>
      <c r="BAW11" s="32"/>
      <c r="BAX11" s="31"/>
      <c r="BAY11" s="31"/>
      <c r="BAZ11" s="30"/>
      <c r="BBA11" s="30"/>
      <c r="BBB11" s="32"/>
      <c r="BBC11" s="32"/>
      <c r="BBD11" s="31"/>
      <c r="BBE11" s="31"/>
      <c r="BBF11" s="30"/>
      <c r="BBG11" s="30"/>
      <c r="BBH11" s="32"/>
      <c r="BBI11" s="32"/>
      <c r="BBJ11" s="31"/>
      <c r="BBK11" s="31"/>
      <c r="BBL11" s="30"/>
      <c r="BBM11" s="30"/>
      <c r="BBN11" s="32"/>
      <c r="BBO11" s="32"/>
      <c r="BBP11" s="31"/>
      <c r="BBQ11" s="31"/>
      <c r="BBR11" s="30"/>
      <c r="BBS11" s="30"/>
      <c r="BBT11" s="32"/>
      <c r="BBU11" s="32"/>
      <c r="BBV11" s="31"/>
      <c r="BBW11" s="31"/>
      <c r="BBX11" s="30"/>
      <c r="BBY11" s="30"/>
      <c r="BBZ11" s="32"/>
      <c r="BCA11" s="32"/>
      <c r="BCB11" s="31"/>
      <c r="BCC11" s="31"/>
      <c r="BCD11" s="30"/>
      <c r="BCE11" s="30"/>
      <c r="BCF11" s="32"/>
      <c r="BCG11" s="32"/>
      <c r="BCH11" s="31"/>
      <c r="BCI11" s="31"/>
      <c r="BCJ11" s="30"/>
      <c r="BCK11" s="30"/>
      <c r="BCL11" s="32"/>
      <c r="BCM11" s="32"/>
      <c r="BCN11" s="31"/>
      <c r="BCO11" s="31"/>
      <c r="BCP11" s="30"/>
      <c r="BCQ11" s="30"/>
    </row>
    <row r="12" spans="1:1447">
      <c r="A12" s="30"/>
      <c r="B12" s="30"/>
      <c r="C12" s="31"/>
      <c r="D12" s="31"/>
      <c r="E12" s="32"/>
      <c r="F12" s="32"/>
      <c r="G12" s="30"/>
      <c r="H12" s="30"/>
      <c r="I12" s="31"/>
      <c r="J12" s="31"/>
      <c r="K12" s="32"/>
      <c r="L12" s="32"/>
      <c r="M12" s="30"/>
      <c r="N12" s="30"/>
      <c r="O12" s="31"/>
      <c r="P12" s="31"/>
      <c r="Q12" s="32"/>
      <c r="R12" s="32"/>
      <c r="S12" s="30"/>
      <c r="T12" s="30"/>
      <c r="U12" s="31"/>
      <c r="V12" s="31"/>
      <c r="W12" s="32"/>
      <c r="X12" s="32"/>
      <c r="Y12" s="30"/>
      <c r="Z12" s="30"/>
      <c r="AA12" s="31"/>
      <c r="AB12" s="31"/>
      <c r="AC12" s="32"/>
      <c r="AD12" s="32"/>
      <c r="AE12" s="30"/>
      <c r="AF12" s="30"/>
      <c r="AG12" s="31"/>
      <c r="AH12" s="31"/>
      <c r="AI12" s="32"/>
      <c r="AJ12" s="32"/>
      <c r="AK12" s="30"/>
      <c r="AL12" s="30"/>
      <c r="AM12" s="31"/>
      <c r="AN12" s="31"/>
      <c r="AO12" s="32"/>
      <c r="AP12" s="32"/>
      <c r="AQ12" s="30"/>
      <c r="AR12" s="30"/>
      <c r="AS12" s="31"/>
      <c r="AT12" s="31"/>
      <c r="AU12" s="32"/>
      <c r="AV12" s="32"/>
      <c r="AW12" s="30"/>
      <c r="AX12" s="30"/>
      <c r="AY12" s="31"/>
      <c r="AZ12" s="31"/>
      <c r="BA12" s="32"/>
      <c r="BB12" s="32"/>
      <c r="BC12" s="30"/>
      <c r="BD12" s="30"/>
      <c r="BE12" s="31"/>
      <c r="BF12" s="31"/>
      <c r="BG12" s="32"/>
      <c r="BH12" s="32"/>
      <c r="BI12" s="30"/>
      <c r="BJ12" s="30"/>
      <c r="BK12" s="31"/>
      <c r="BL12" s="31"/>
      <c r="BM12" s="32"/>
      <c r="BN12" s="32"/>
      <c r="BO12" s="30"/>
      <c r="BP12" s="30"/>
      <c r="BQ12" s="31"/>
      <c r="BR12" s="31"/>
      <c r="BS12" s="32"/>
      <c r="BT12" s="32"/>
      <c r="BU12" s="30"/>
      <c r="BV12" s="30"/>
      <c r="BW12" s="31"/>
      <c r="BX12" s="31"/>
      <c r="BY12" s="32"/>
      <c r="BZ12" s="32"/>
      <c r="CA12" s="30"/>
      <c r="CB12" s="30"/>
      <c r="CC12" s="31"/>
      <c r="CD12" s="31"/>
      <c r="CE12" s="32"/>
      <c r="CF12" s="32"/>
      <c r="CG12" s="30"/>
      <c r="CH12" s="30"/>
      <c r="CI12" s="31"/>
      <c r="CJ12" s="31"/>
      <c r="CK12" s="32"/>
      <c r="CL12" s="32"/>
      <c r="CM12" s="30"/>
      <c r="CN12" s="30"/>
      <c r="CO12" s="31"/>
      <c r="CP12" s="31"/>
      <c r="CQ12" s="32"/>
      <c r="CR12" s="32"/>
      <c r="CS12" s="30"/>
      <c r="CT12" s="30"/>
      <c r="CU12" s="31"/>
      <c r="CV12" s="31"/>
      <c r="CW12" s="32"/>
      <c r="CX12" s="32"/>
      <c r="CY12" s="30"/>
      <c r="CZ12" s="30"/>
      <c r="DA12" s="31"/>
      <c r="DB12" s="31"/>
      <c r="DC12" s="32"/>
      <c r="DD12" s="32"/>
      <c r="DE12" s="30"/>
      <c r="DF12" s="30"/>
      <c r="DG12" s="31"/>
      <c r="DH12" s="31"/>
      <c r="DI12" s="32"/>
      <c r="DJ12" s="32"/>
      <c r="DK12" s="30"/>
      <c r="DL12" s="30"/>
      <c r="DM12" s="31"/>
      <c r="DN12" s="31"/>
      <c r="DO12" s="32"/>
      <c r="DP12" s="32"/>
      <c r="DQ12" s="30"/>
      <c r="DR12" s="30"/>
      <c r="DS12" s="31"/>
      <c r="DT12" s="31"/>
      <c r="DU12" s="32"/>
      <c r="DV12" s="32"/>
      <c r="DW12" s="30"/>
      <c r="DX12" s="30"/>
      <c r="DY12" s="31"/>
      <c r="DZ12" s="31"/>
      <c r="EA12" s="32"/>
      <c r="EB12" s="32"/>
      <c r="EC12" s="30"/>
      <c r="ED12" s="30"/>
      <c r="EE12" s="31"/>
      <c r="EF12" s="31"/>
      <c r="EG12" s="32"/>
      <c r="EH12" s="32"/>
      <c r="EI12" s="30"/>
      <c r="EJ12" s="30"/>
      <c r="EK12" s="31"/>
      <c r="EL12" s="31"/>
      <c r="EM12" s="32"/>
      <c r="EN12" s="32"/>
      <c r="EO12" s="30"/>
      <c r="EP12" s="30"/>
      <c r="EQ12" s="31"/>
      <c r="ER12" s="31"/>
      <c r="ES12" s="32"/>
      <c r="ET12" s="32"/>
      <c r="EU12" s="30"/>
      <c r="EV12" s="30"/>
      <c r="EW12" s="31"/>
      <c r="EX12" s="31"/>
      <c r="EY12" s="32"/>
      <c r="EZ12" s="32"/>
      <c r="FA12" s="30"/>
      <c r="FB12" s="30"/>
      <c r="FC12" s="31"/>
      <c r="FD12" s="31"/>
      <c r="FE12" s="32"/>
      <c r="FF12" s="32"/>
      <c r="FG12" s="30"/>
      <c r="FH12" s="30"/>
      <c r="FI12" s="32" t="s">
        <v>605</v>
      </c>
      <c r="FJ12" s="32"/>
      <c r="FK12" s="30" t="s">
        <v>185</v>
      </c>
      <c r="FL12" s="30"/>
      <c r="FM12" s="31"/>
      <c r="FN12" s="31"/>
      <c r="FO12" s="32"/>
      <c r="FP12" s="32"/>
      <c r="FQ12" s="30"/>
      <c r="FR12" s="30"/>
      <c r="FS12" s="31"/>
      <c r="FT12" s="31"/>
      <c r="FU12" s="32"/>
      <c r="FV12" s="32"/>
      <c r="FW12" s="30"/>
      <c r="FX12" s="30"/>
      <c r="FY12" s="31"/>
      <c r="FZ12" s="31"/>
      <c r="GA12" s="32"/>
      <c r="GB12" s="32"/>
      <c r="GC12" s="30"/>
      <c r="GD12" s="30"/>
      <c r="GE12" s="31"/>
      <c r="GF12" s="31"/>
      <c r="GG12" s="32"/>
      <c r="GH12" s="32"/>
      <c r="GI12" s="30"/>
      <c r="GJ12" s="30"/>
      <c r="GK12" s="31"/>
      <c r="GL12" s="31"/>
      <c r="GM12" s="32"/>
      <c r="GN12" s="32"/>
      <c r="GO12" s="30"/>
      <c r="GP12" s="30"/>
      <c r="GQ12" s="31"/>
      <c r="GR12" s="31"/>
      <c r="GS12" s="32"/>
      <c r="GT12" s="32"/>
      <c r="GU12" s="30"/>
      <c r="GV12" s="30"/>
      <c r="GW12" s="31"/>
      <c r="GX12" s="31"/>
      <c r="GY12" s="32"/>
      <c r="GZ12" s="32"/>
      <c r="HA12" s="30"/>
      <c r="HB12" s="30"/>
      <c r="HC12" s="31"/>
      <c r="HD12" s="31"/>
      <c r="HE12" s="32"/>
      <c r="HF12" s="32"/>
      <c r="HG12" s="30"/>
      <c r="HH12" s="30"/>
      <c r="HI12" s="31"/>
      <c r="HJ12" s="31"/>
      <c r="HK12" s="32"/>
      <c r="HL12" s="32"/>
      <c r="HM12" s="30"/>
      <c r="HN12" s="30"/>
      <c r="HO12" s="31"/>
      <c r="HP12" s="31"/>
      <c r="HQ12" s="32"/>
      <c r="HR12" s="32"/>
      <c r="HS12" s="30"/>
      <c r="HT12" s="30" t="s">
        <v>59</v>
      </c>
      <c r="HU12" s="31"/>
      <c r="HV12" s="31"/>
      <c r="HW12" s="32"/>
      <c r="HX12" s="32"/>
      <c r="HY12" s="30"/>
      <c r="HZ12" s="30"/>
      <c r="IA12" s="31"/>
      <c r="IB12" s="31"/>
      <c r="IC12" s="32"/>
      <c r="ID12" s="32"/>
      <c r="IE12" s="30"/>
      <c r="IF12" s="30"/>
      <c r="IG12" s="31"/>
      <c r="IH12" s="31"/>
      <c r="II12" s="32"/>
      <c r="IJ12" s="32"/>
      <c r="IK12" s="30"/>
      <c r="IL12" s="30"/>
      <c r="IM12" s="31"/>
      <c r="IN12" s="31"/>
      <c r="IO12" s="32"/>
      <c r="IP12" s="32"/>
      <c r="IQ12" s="30"/>
      <c r="IR12" s="30"/>
      <c r="IS12" s="31"/>
      <c r="IT12" s="31"/>
      <c r="IU12" s="32"/>
      <c r="IV12" s="32"/>
      <c r="IW12" s="30"/>
      <c r="IX12" s="30"/>
      <c r="IY12" s="31"/>
      <c r="IZ12" s="31"/>
      <c r="JA12" s="32"/>
      <c r="JB12" s="32"/>
      <c r="JC12" s="30"/>
      <c r="JD12" s="30"/>
      <c r="JE12" s="31"/>
      <c r="JF12" s="31"/>
      <c r="JG12" s="32"/>
      <c r="JH12" s="32"/>
      <c r="JI12" s="30"/>
      <c r="JJ12" s="30"/>
      <c r="JK12" s="31"/>
      <c r="JL12" s="31"/>
      <c r="JM12" s="32"/>
      <c r="JN12" s="32"/>
      <c r="JO12" s="30"/>
      <c r="JP12" s="30"/>
      <c r="JQ12" s="31"/>
      <c r="JR12" s="31"/>
      <c r="JS12" s="32"/>
      <c r="JT12" s="32"/>
      <c r="JU12" s="30"/>
      <c r="JV12" s="30"/>
      <c r="JW12" s="31"/>
      <c r="JX12" s="33" t="s">
        <v>22</v>
      </c>
      <c r="JY12" s="32"/>
      <c r="JZ12" s="32" t="s">
        <v>124</v>
      </c>
      <c r="KA12" s="30"/>
      <c r="KB12" s="30"/>
      <c r="KC12" s="31"/>
      <c r="KD12" s="31"/>
      <c r="KE12" s="32"/>
      <c r="KF12" s="32"/>
      <c r="KG12" s="30"/>
      <c r="KH12" s="30"/>
      <c r="KI12" s="31"/>
      <c r="KJ12" s="31"/>
      <c r="KK12" s="32"/>
      <c r="KL12" s="32" t="s">
        <v>79</v>
      </c>
      <c r="KM12" s="30"/>
      <c r="KN12" s="30"/>
      <c r="KO12" s="31"/>
      <c r="KP12" s="31"/>
      <c r="KQ12" s="32" t="s">
        <v>46</v>
      </c>
      <c r="KR12" s="32"/>
      <c r="KS12" s="30"/>
      <c r="KT12" s="30"/>
      <c r="KU12" s="31"/>
      <c r="KV12" s="31"/>
      <c r="KW12" s="32"/>
      <c r="KX12" s="32"/>
      <c r="KY12" s="30"/>
      <c r="KZ12" s="33" t="s">
        <v>238</v>
      </c>
      <c r="LA12" s="31"/>
      <c r="LB12" s="31"/>
      <c r="LC12" s="32"/>
      <c r="LD12" s="32"/>
      <c r="LE12" s="30"/>
      <c r="LF12" s="30"/>
      <c r="LG12" s="31"/>
      <c r="LH12" s="31"/>
      <c r="LI12" s="32"/>
      <c r="LJ12" s="32"/>
      <c r="LK12" s="30"/>
      <c r="LL12" s="30"/>
      <c r="LM12" s="31"/>
      <c r="LN12" s="31"/>
      <c r="LO12" s="32"/>
      <c r="LP12" s="32"/>
      <c r="LQ12" s="30"/>
      <c r="LR12" s="33" t="s">
        <v>36</v>
      </c>
      <c r="LS12" s="31"/>
      <c r="LT12" s="33" t="s">
        <v>590</v>
      </c>
      <c r="LU12" s="33" t="s">
        <v>176</v>
      </c>
      <c r="LV12" s="32"/>
      <c r="LW12" s="30"/>
      <c r="LX12" s="30"/>
      <c r="LY12" s="31"/>
      <c r="LZ12" s="31"/>
      <c r="MA12" s="32"/>
      <c r="MB12" s="32"/>
      <c r="MC12" s="33" t="s">
        <v>368</v>
      </c>
      <c r="MD12" s="30" t="s">
        <v>368</v>
      </c>
      <c r="ME12" s="31"/>
      <c r="MF12" s="33" t="s">
        <v>588</v>
      </c>
      <c r="MG12" s="32" t="s">
        <v>448</v>
      </c>
      <c r="MH12" s="32"/>
      <c r="MI12" s="30"/>
      <c r="MJ12" s="33" t="s">
        <v>173</v>
      </c>
      <c r="MK12" s="31"/>
      <c r="ML12" s="31"/>
      <c r="MM12" s="32"/>
      <c r="MN12" s="32"/>
      <c r="MO12" s="30"/>
      <c r="MP12" s="30" t="s">
        <v>590</v>
      </c>
      <c r="MQ12" s="31"/>
      <c r="MR12" s="31"/>
      <c r="MS12" s="32"/>
      <c r="MT12" s="32"/>
      <c r="MU12" s="30" t="s">
        <v>238</v>
      </c>
      <c r="MV12" s="30"/>
      <c r="MW12" s="31"/>
      <c r="MX12" s="31"/>
      <c r="MY12" s="32"/>
      <c r="MZ12" s="32"/>
      <c r="NA12" s="30"/>
      <c r="NB12" s="30"/>
      <c r="NC12" s="31"/>
      <c r="ND12" s="31"/>
      <c r="NE12" s="32"/>
      <c r="NF12" s="32"/>
      <c r="NG12" s="30"/>
      <c r="NH12" s="30"/>
      <c r="NI12" s="31"/>
      <c r="NJ12" s="31"/>
      <c r="NK12" s="32"/>
      <c r="NL12" s="32"/>
      <c r="NM12" s="30"/>
      <c r="NN12" s="30"/>
      <c r="NO12" s="31"/>
      <c r="NP12" s="31"/>
      <c r="NQ12" s="32"/>
      <c r="NR12" s="32"/>
      <c r="NS12" s="30"/>
      <c r="NT12" s="30"/>
      <c r="NU12" s="31"/>
      <c r="NV12" s="31"/>
      <c r="NW12" s="32"/>
      <c r="NX12" s="32"/>
      <c r="NY12" s="30"/>
      <c r="NZ12" s="30"/>
      <c r="OA12" s="31"/>
      <c r="OB12" s="31"/>
      <c r="OC12" s="32"/>
      <c r="OD12" s="32"/>
      <c r="OE12" s="30"/>
      <c r="OF12" s="30"/>
      <c r="OG12" s="31"/>
      <c r="OH12" s="31"/>
      <c r="OI12" s="32"/>
      <c r="OJ12" s="32"/>
      <c r="OK12" s="30"/>
      <c r="OL12" s="30"/>
      <c r="OM12" s="31"/>
      <c r="ON12" s="31"/>
      <c r="OO12" s="32"/>
      <c r="OP12" s="32"/>
      <c r="OQ12" s="30"/>
      <c r="OR12" s="30"/>
      <c r="OS12" s="31"/>
      <c r="OT12" s="31"/>
      <c r="OU12" s="32"/>
      <c r="OV12" s="32"/>
      <c r="OW12" s="30"/>
      <c r="OX12" s="30"/>
      <c r="OY12" s="31"/>
      <c r="OZ12" s="31"/>
      <c r="PA12" s="32"/>
      <c r="PB12" s="32"/>
      <c r="PC12" s="30"/>
      <c r="PD12" s="30"/>
      <c r="PE12" s="31"/>
      <c r="PF12" s="31"/>
      <c r="PG12" s="32"/>
      <c r="PH12" s="32"/>
      <c r="PI12" s="30"/>
      <c r="PJ12" s="30"/>
      <c r="PK12" s="31"/>
      <c r="PL12" s="31"/>
      <c r="PM12" s="32"/>
      <c r="PN12" s="32"/>
      <c r="PO12" s="30"/>
      <c r="PP12" s="30"/>
      <c r="PQ12" s="31"/>
      <c r="PR12" s="31"/>
      <c r="PS12" s="32"/>
      <c r="PT12" s="32"/>
      <c r="PU12" s="30"/>
      <c r="PV12" s="30"/>
      <c r="PW12" s="31"/>
      <c r="PX12" s="31"/>
      <c r="PY12" s="32"/>
      <c r="PZ12" s="32"/>
      <c r="QA12" s="30"/>
      <c r="QB12" s="30"/>
      <c r="QC12" s="31"/>
      <c r="QD12" s="31"/>
      <c r="QE12" s="32"/>
      <c r="QF12" s="32"/>
      <c r="QG12" s="30"/>
      <c r="QH12" s="30"/>
      <c r="QI12" s="31"/>
      <c r="QJ12" s="31"/>
      <c r="QK12" s="32"/>
      <c r="QL12" s="32"/>
      <c r="QM12" s="30"/>
      <c r="QN12" s="30"/>
      <c r="QO12" s="31"/>
      <c r="QP12" s="31"/>
      <c r="QQ12" s="32" t="s">
        <v>583</v>
      </c>
      <c r="QR12" s="32"/>
      <c r="QS12" s="30"/>
      <c r="QT12" s="30"/>
      <c r="QU12" s="31"/>
      <c r="QV12" s="31"/>
      <c r="QW12" s="32"/>
      <c r="QX12" s="32"/>
      <c r="QY12" s="30"/>
      <c r="QZ12" s="30"/>
      <c r="RA12" s="31"/>
      <c r="RB12" s="31"/>
      <c r="RC12" s="32"/>
      <c r="RD12" s="32"/>
      <c r="RE12" s="30"/>
      <c r="RF12" s="30"/>
      <c r="RG12" s="31"/>
      <c r="RH12" s="31"/>
      <c r="RI12" s="32"/>
      <c r="RJ12" s="32"/>
      <c r="RK12" s="30"/>
      <c r="RL12" s="30"/>
      <c r="RM12" s="31"/>
      <c r="RN12" s="31"/>
      <c r="RO12" s="32"/>
      <c r="RP12" s="32"/>
      <c r="RQ12" s="30"/>
      <c r="RR12" s="30"/>
      <c r="RS12" s="31"/>
      <c r="RT12" s="31"/>
      <c r="RU12" s="32"/>
      <c r="RV12" s="32"/>
      <c r="RW12" s="30"/>
      <c r="RX12" s="30"/>
      <c r="RY12" s="31"/>
      <c r="RZ12" s="31"/>
      <c r="SA12" s="32"/>
      <c r="SB12" s="32"/>
      <c r="SC12" s="30"/>
      <c r="SD12" s="30"/>
      <c r="SE12" s="31"/>
      <c r="SF12" s="31"/>
      <c r="SG12" s="32"/>
      <c r="SH12" s="32"/>
      <c r="SI12" s="30"/>
      <c r="SJ12" s="30"/>
      <c r="SK12" s="30"/>
      <c r="SL12" s="31"/>
      <c r="SM12" s="31"/>
      <c r="SN12" s="32"/>
      <c r="SO12" s="32"/>
      <c r="SP12" s="30"/>
      <c r="SQ12" s="30"/>
      <c r="SR12" s="31"/>
      <c r="SS12" s="31"/>
      <c r="ST12" s="32" t="s">
        <v>41</v>
      </c>
      <c r="SU12" s="32"/>
      <c r="SV12" s="30"/>
      <c r="SW12" s="30"/>
      <c r="SX12" s="31"/>
      <c r="SY12" s="31"/>
      <c r="SZ12" s="32"/>
      <c r="TA12" s="32"/>
      <c r="TB12" s="30"/>
      <c r="TC12" s="30" t="s">
        <v>368</v>
      </c>
      <c r="TD12" s="31"/>
      <c r="TE12" s="31"/>
      <c r="TF12" s="32"/>
      <c r="TG12" s="32"/>
      <c r="TH12" s="30" t="s">
        <v>300</v>
      </c>
      <c r="TI12" s="30"/>
      <c r="TJ12" s="31"/>
      <c r="TK12" s="31"/>
      <c r="TL12" s="32"/>
      <c r="TM12" s="32"/>
      <c r="TN12" s="30"/>
      <c r="TO12" s="30" t="s">
        <v>289</v>
      </c>
      <c r="TP12" s="31"/>
      <c r="TQ12" s="33" t="s">
        <v>86</v>
      </c>
      <c r="TR12" s="32"/>
      <c r="TS12" s="32"/>
      <c r="TT12" s="30"/>
      <c r="TU12" s="30"/>
      <c r="TV12" s="31" t="s">
        <v>593</v>
      </c>
      <c r="TW12" s="31"/>
      <c r="TX12" s="32"/>
      <c r="TY12" s="32"/>
      <c r="TZ12" s="30"/>
      <c r="UA12" s="30"/>
      <c r="UB12" s="31"/>
      <c r="UC12" s="31"/>
      <c r="UD12" s="32"/>
      <c r="UE12" s="32"/>
      <c r="UF12" s="30"/>
      <c r="UG12" s="30"/>
      <c r="UH12" s="31"/>
      <c r="UI12" s="31"/>
      <c r="UJ12" s="32" t="s">
        <v>54</v>
      </c>
      <c r="UK12" s="32"/>
      <c r="UL12" s="30"/>
      <c r="UM12" s="30"/>
      <c r="UN12" s="31"/>
      <c r="UO12" s="31"/>
      <c r="UP12" s="32"/>
      <c r="UQ12" s="32"/>
      <c r="UR12" s="30"/>
      <c r="US12" s="30"/>
      <c r="UT12" s="31"/>
      <c r="UU12" s="31"/>
      <c r="UV12" s="32"/>
      <c r="UW12" s="32"/>
      <c r="UX12" s="30"/>
      <c r="UY12" s="30"/>
      <c r="UZ12" s="31"/>
      <c r="VA12" s="31"/>
      <c r="VB12" s="32"/>
      <c r="VC12" s="32"/>
      <c r="VD12" s="30"/>
      <c r="VE12" s="30"/>
      <c r="VF12" s="31"/>
      <c r="VG12" s="31"/>
      <c r="VH12" s="32"/>
      <c r="VI12" s="32"/>
      <c r="VJ12" s="30"/>
      <c r="VK12" s="30"/>
      <c r="VL12" s="31"/>
      <c r="VM12" s="31"/>
      <c r="VN12" s="32"/>
      <c r="VO12" s="32"/>
      <c r="VP12" s="30"/>
      <c r="VQ12" s="30"/>
      <c r="VR12" s="31"/>
      <c r="VS12" s="31"/>
      <c r="VT12" s="32"/>
      <c r="VU12" s="32"/>
      <c r="VV12" s="30"/>
      <c r="VW12" s="30"/>
      <c r="VX12" s="31"/>
      <c r="VY12" s="31"/>
      <c r="VZ12" s="32"/>
      <c r="WA12" s="32"/>
      <c r="WB12" s="30"/>
      <c r="WC12" s="30"/>
      <c r="WD12" s="31"/>
      <c r="WE12" s="31"/>
      <c r="WF12" s="32"/>
      <c r="WG12" s="32"/>
      <c r="WH12" s="30"/>
      <c r="WI12" s="30"/>
      <c r="WJ12" s="31"/>
      <c r="WK12" s="31"/>
      <c r="WL12" s="32"/>
      <c r="WM12" s="32"/>
      <c r="WN12" s="30"/>
      <c r="WO12" s="30"/>
      <c r="WP12" s="31"/>
      <c r="WQ12" s="31"/>
      <c r="WR12" s="32"/>
      <c r="WS12" s="32"/>
      <c r="WT12" s="30"/>
      <c r="WU12" s="30"/>
      <c r="WV12" s="31"/>
      <c r="WW12" s="31"/>
      <c r="WX12" s="32"/>
      <c r="WY12" s="32"/>
      <c r="WZ12" s="30"/>
      <c r="XA12" s="30"/>
      <c r="XB12" s="31"/>
      <c r="XC12" s="31"/>
      <c r="XD12" s="32"/>
      <c r="XE12" s="32"/>
      <c r="XF12" s="30"/>
      <c r="XG12" s="30"/>
      <c r="XH12" s="31"/>
      <c r="XI12" s="31"/>
      <c r="XJ12" s="32"/>
      <c r="XK12" s="32"/>
      <c r="XL12" s="30"/>
      <c r="XM12" s="30"/>
      <c r="XN12" s="31"/>
      <c r="XO12" s="31"/>
      <c r="XP12" s="32"/>
      <c r="XQ12" s="32"/>
      <c r="XR12" s="30"/>
      <c r="XS12" s="30"/>
      <c r="XT12" s="31"/>
      <c r="XU12" s="31"/>
      <c r="XV12" s="32"/>
      <c r="XW12" s="32"/>
      <c r="XX12" s="30"/>
      <c r="XY12" s="30"/>
      <c r="XZ12" s="31"/>
      <c r="YA12" s="31" t="s">
        <v>588</v>
      </c>
      <c r="YB12" s="32"/>
      <c r="YC12" s="32"/>
      <c r="YD12" s="30"/>
      <c r="YE12" s="30"/>
      <c r="YF12" s="31" t="s">
        <v>389</v>
      </c>
      <c r="YG12" s="31"/>
      <c r="YH12" s="32"/>
      <c r="YI12" s="32"/>
      <c r="YJ12" s="30"/>
      <c r="YK12" s="30"/>
      <c r="YL12" s="31"/>
      <c r="YM12" s="31"/>
      <c r="YN12" s="32"/>
      <c r="YO12" s="32"/>
      <c r="YP12" s="30"/>
      <c r="YQ12" s="30"/>
      <c r="YR12" s="31"/>
      <c r="YS12" s="31"/>
      <c r="YT12" s="32"/>
      <c r="YU12" s="32"/>
      <c r="YV12" s="30"/>
      <c r="YW12" s="30"/>
      <c r="YX12" s="31"/>
      <c r="YY12" s="31"/>
      <c r="YZ12" s="32"/>
      <c r="ZA12" s="32"/>
      <c r="ZB12" s="30"/>
      <c r="ZC12" s="30"/>
      <c r="ZD12" s="31"/>
      <c r="ZE12" s="31"/>
      <c r="ZF12" s="32"/>
      <c r="ZG12" s="32"/>
      <c r="ZH12" s="30"/>
      <c r="ZI12" s="30"/>
      <c r="ZJ12" s="31"/>
      <c r="ZK12" s="31"/>
      <c r="ZL12" s="32"/>
      <c r="ZM12" s="32"/>
      <c r="ZN12" s="30"/>
      <c r="ZO12" s="30"/>
      <c r="ZP12" s="31"/>
      <c r="ZQ12" s="31"/>
      <c r="ZR12" s="32"/>
      <c r="ZS12" s="32"/>
      <c r="ZT12" s="30"/>
      <c r="ZU12" s="30"/>
      <c r="ZV12" s="31"/>
      <c r="ZW12" s="31"/>
      <c r="ZX12" s="32"/>
      <c r="ZY12" s="32"/>
      <c r="ZZ12" s="30"/>
      <c r="AAA12" s="30"/>
      <c r="AAB12" s="31"/>
      <c r="AAC12" s="31"/>
      <c r="AAD12" s="32"/>
      <c r="AAE12" s="32"/>
      <c r="AAF12" s="30"/>
      <c r="AAG12" s="30"/>
      <c r="AAH12" s="31"/>
      <c r="AAI12" s="31"/>
      <c r="AAJ12" s="32"/>
      <c r="AAK12" s="32"/>
      <c r="AAL12" s="30"/>
      <c r="AAM12" s="30"/>
      <c r="AAN12" s="31"/>
      <c r="AAO12" s="31"/>
      <c r="AAP12" s="32"/>
      <c r="AAQ12" s="32"/>
      <c r="AAR12" s="30"/>
      <c r="AAS12" s="30"/>
      <c r="AAT12" s="31"/>
      <c r="AAU12" s="31"/>
      <c r="AAV12" s="32"/>
      <c r="AAW12" s="32"/>
      <c r="AAX12" s="30"/>
      <c r="AAY12" s="30"/>
      <c r="AAZ12" s="31"/>
      <c r="ABA12" s="31"/>
      <c r="ABB12" s="32"/>
      <c r="ABC12" s="32"/>
      <c r="ABD12" s="30"/>
      <c r="ABE12" s="30"/>
      <c r="ABF12" s="31"/>
      <c r="ABG12" s="31"/>
      <c r="ABH12" s="32"/>
      <c r="ABI12" s="32"/>
      <c r="ABJ12" s="30"/>
      <c r="ABK12" s="30"/>
      <c r="ABL12" s="31"/>
      <c r="ABM12" s="31"/>
      <c r="ABN12" s="32"/>
      <c r="ABO12" s="32"/>
      <c r="ABP12" s="30"/>
      <c r="ABQ12" s="30"/>
      <c r="ABR12" s="31"/>
      <c r="ABS12" s="31"/>
      <c r="ABT12" s="32"/>
      <c r="ABU12" s="32"/>
      <c r="ABV12" s="30"/>
      <c r="ABW12" s="30"/>
      <c r="ABX12" s="31"/>
      <c r="ABY12" s="31"/>
      <c r="ABZ12" s="32"/>
      <c r="ACA12" s="32"/>
      <c r="ACB12" s="30"/>
      <c r="ACC12" s="30"/>
      <c r="ACD12" s="31"/>
      <c r="ACE12" s="31"/>
      <c r="ACF12" s="32"/>
      <c r="ACG12" s="32"/>
      <c r="ACH12" s="30"/>
      <c r="ACI12" s="30"/>
      <c r="ACJ12" s="31"/>
      <c r="ACK12" s="31"/>
      <c r="ACL12" s="32"/>
      <c r="ACM12" s="32"/>
      <c r="ACN12" s="30"/>
      <c r="ACO12" s="30"/>
      <c r="ACP12" s="31"/>
      <c r="ACQ12" s="31"/>
      <c r="ACR12" s="32"/>
      <c r="ACS12" s="32"/>
      <c r="ACT12" s="30"/>
      <c r="ACU12" s="30"/>
      <c r="ACV12" s="31"/>
      <c r="ACW12" s="31"/>
      <c r="ACX12" s="32"/>
      <c r="ACY12" s="32"/>
      <c r="ACZ12" s="30"/>
      <c r="ADA12" s="30"/>
      <c r="ADB12" s="31"/>
      <c r="ADC12" s="31"/>
      <c r="ADD12" s="32"/>
      <c r="ADE12" s="32"/>
      <c r="ADF12" s="30"/>
      <c r="ADG12" s="30"/>
      <c r="ADH12" s="31"/>
      <c r="ADI12" s="31"/>
      <c r="ADJ12" s="32"/>
      <c r="ADK12" s="32"/>
      <c r="ADL12" s="30"/>
      <c r="ADM12" s="30"/>
      <c r="ADN12" s="31"/>
      <c r="ADO12" s="31"/>
      <c r="ADP12" s="32"/>
      <c r="ADQ12" s="32"/>
      <c r="ADR12" s="30"/>
      <c r="ADS12" s="30"/>
      <c r="ADT12" s="31"/>
      <c r="ADU12" s="31"/>
      <c r="ADV12" s="32"/>
      <c r="ADW12" s="32"/>
      <c r="ADX12" s="30"/>
      <c r="ADY12" s="30"/>
      <c r="ADZ12" s="31"/>
      <c r="AEA12" s="31"/>
      <c r="AEB12" s="32"/>
      <c r="AEC12" s="32"/>
      <c r="AED12" s="30"/>
      <c r="AEE12" s="30"/>
      <c r="AEF12" s="31"/>
      <c r="AEG12" s="31"/>
      <c r="AEH12" s="32"/>
      <c r="AEI12" s="32"/>
      <c r="AEJ12" s="30"/>
      <c r="AEK12" s="30"/>
      <c r="AEL12" s="31"/>
      <c r="AEM12" s="31"/>
      <c r="AEN12" s="32"/>
      <c r="AEO12" s="32"/>
      <c r="AEP12" s="30"/>
      <c r="AEQ12" s="30"/>
      <c r="AER12" s="31"/>
      <c r="AES12" s="31"/>
      <c r="AET12" s="32"/>
      <c r="AEU12" s="32"/>
      <c r="AEV12" s="30"/>
      <c r="AEW12" s="30"/>
      <c r="AEX12" s="31"/>
      <c r="AEY12" s="31"/>
      <c r="AEZ12" s="32"/>
      <c r="AFA12" s="32"/>
      <c r="AFB12" s="30" t="s">
        <v>59</v>
      </c>
      <c r="AFC12" s="30"/>
      <c r="AFD12" s="31"/>
      <c r="AFE12" s="31"/>
      <c r="AFF12" s="32"/>
      <c r="AFG12" s="32"/>
      <c r="AFH12" s="30"/>
      <c r="AFI12" s="30"/>
      <c r="AFJ12" s="31"/>
      <c r="AFK12" s="31"/>
      <c r="AFL12" s="32"/>
      <c r="AFM12" s="32"/>
      <c r="AFN12" s="30"/>
      <c r="AFO12" s="30"/>
      <c r="AFP12" s="31"/>
      <c r="AFQ12" s="31"/>
      <c r="AFR12" s="32"/>
      <c r="AFS12" s="32"/>
      <c r="AFT12" s="30"/>
      <c r="AFU12" s="30"/>
      <c r="AFV12" s="31"/>
      <c r="AFW12" s="31"/>
      <c r="AFX12" s="32"/>
      <c r="AFY12" s="32"/>
      <c r="AFZ12" s="30"/>
      <c r="AGA12" s="30"/>
      <c r="AGB12" s="31"/>
      <c r="AGC12" s="31"/>
      <c r="AGD12" s="32"/>
      <c r="AGE12" s="32"/>
      <c r="AGF12" s="30"/>
      <c r="AGG12" s="30"/>
      <c r="AGH12" s="31"/>
      <c r="AGI12" s="31"/>
      <c r="AGJ12" s="32"/>
      <c r="AGK12" s="32"/>
      <c r="AGL12" s="30"/>
      <c r="AGM12" s="30"/>
      <c r="AGN12" s="31"/>
      <c r="AGO12" s="31"/>
      <c r="AGP12" s="32"/>
      <c r="AGQ12" s="32"/>
      <c r="AGR12" s="30"/>
      <c r="AGS12" s="30"/>
      <c r="AGT12" s="31"/>
      <c r="AGU12" s="31"/>
      <c r="AGV12" s="32"/>
      <c r="AGW12" s="32"/>
      <c r="AGX12" s="30"/>
      <c r="AGY12" s="30"/>
      <c r="AGZ12" s="31"/>
      <c r="AHA12" s="31"/>
      <c r="AHB12" s="32"/>
      <c r="AHC12" s="32"/>
      <c r="AHD12" s="30"/>
      <c r="AHE12" s="30"/>
      <c r="AHF12" s="31"/>
      <c r="AHG12" s="31"/>
      <c r="AHH12" s="32"/>
      <c r="AHI12" s="32"/>
      <c r="AHJ12" s="30"/>
      <c r="AHK12" s="30"/>
      <c r="AHL12" s="31"/>
      <c r="AHM12" s="31"/>
      <c r="AHN12" s="32"/>
      <c r="AHO12" s="32"/>
      <c r="AHP12" s="30"/>
      <c r="AHQ12" s="30"/>
      <c r="AHR12" s="40" t="s">
        <v>164</v>
      </c>
      <c r="AHS12" s="31"/>
      <c r="AHT12" s="32"/>
      <c r="AHU12" s="32"/>
      <c r="AHV12" s="30"/>
      <c r="AHW12" s="30"/>
      <c r="AHX12" s="31"/>
      <c r="AHY12" s="31"/>
      <c r="AHZ12" s="32"/>
      <c r="AIA12" s="32"/>
      <c r="AIB12" s="30"/>
      <c r="AIC12" s="30"/>
      <c r="AID12" s="31"/>
      <c r="AIE12" s="31"/>
      <c r="AIF12" s="32"/>
      <c r="AIG12" s="32"/>
      <c r="AIH12" s="30"/>
      <c r="AII12" s="30"/>
      <c r="AIJ12" s="31"/>
      <c r="AIK12" s="31"/>
      <c r="AIL12" s="32"/>
      <c r="AIM12" s="32"/>
      <c r="AIN12" s="30"/>
      <c r="AIO12" s="30"/>
      <c r="AIP12" s="31"/>
      <c r="AIQ12" s="31"/>
      <c r="AIR12" s="32"/>
      <c r="AIS12" s="32"/>
      <c r="AIT12" s="30"/>
      <c r="AIU12" s="30"/>
      <c r="AIV12" s="31"/>
      <c r="AIW12" s="31"/>
      <c r="AIX12" s="32"/>
      <c r="AIY12" s="32"/>
      <c r="AIZ12" s="30"/>
      <c r="AJA12" s="30"/>
      <c r="AJB12" s="31"/>
      <c r="AJC12" s="31"/>
      <c r="AJD12" s="32"/>
      <c r="AJE12" s="32"/>
      <c r="AJF12" s="30"/>
      <c r="AJG12" s="30"/>
      <c r="AJH12" s="31"/>
      <c r="AJI12" s="31"/>
      <c r="AJJ12" s="32"/>
      <c r="AJK12" s="32"/>
      <c r="AJL12" s="30"/>
      <c r="AJM12" s="30"/>
      <c r="AJN12" s="31"/>
      <c r="AJO12" s="31"/>
      <c r="AJP12" s="32"/>
      <c r="AJQ12" s="32"/>
      <c r="AJR12" s="30"/>
      <c r="AJS12" s="30"/>
      <c r="AJT12" s="31"/>
      <c r="AJU12" s="31"/>
      <c r="AJV12" s="32"/>
      <c r="AJW12" s="32"/>
      <c r="AJX12" s="30"/>
      <c r="AJY12" s="30"/>
      <c r="AJZ12" s="31"/>
      <c r="AKA12" s="31"/>
      <c r="AKB12" s="32"/>
      <c r="AKC12" s="32"/>
      <c r="AKD12" s="30"/>
      <c r="AKE12" s="30"/>
      <c r="AKF12" s="31"/>
      <c r="AKG12" s="31"/>
      <c r="AKH12" s="32"/>
      <c r="AKI12" s="32"/>
      <c r="AKJ12" s="30"/>
      <c r="AKK12" s="30"/>
      <c r="AKL12" s="31"/>
      <c r="AKM12" s="31"/>
      <c r="AKN12" s="32"/>
      <c r="AKO12" s="32"/>
      <c r="AKP12" s="30"/>
      <c r="AKQ12" s="30"/>
      <c r="AKR12" s="31"/>
      <c r="AKS12" s="31"/>
      <c r="AKT12" s="32"/>
      <c r="AKU12" s="32" t="s">
        <v>314</v>
      </c>
      <c r="AKV12" s="30"/>
      <c r="AKW12" s="30"/>
      <c r="AKX12" s="31"/>
      <c r="AKY12" s="31"/>
      <c r="AKZ12" s="32"/>
      <c r="ALA12" s="32"/>
      <c r="ALB12" s="30"/>
      <c r="ALC12" s="30"/>
      <c r="ALD12" s="31"/>
      <c r="ALE12" s="31"/>
      <c r="ALF12" s="32"/>
      <c r="ALG12" s="32"/>
      <c r="ALH12" s="30"/>
      <c r="ALI12" s="30"/>
      <c r="ALJ12" s="31"/>
      <c r="ALK12" s="31"/>
      <c r="ALL12" s="32"/>
      <c r="ALM12" s="32"/>
      <c r="ALN12" s="30"/>
      <c r="ALO12" s="30"/>
      <c r="ALP12" s="31"/>
      <c r="ALQ12" s="31"/>
      <c r="ALR12" s="32"/>
      <c r="ALS12" s="32"/>
      <c r="ALT12" s="30"/>
      <c r="ALU12" s="30"/>
      <c r="ALV12" s="31"/>
      <c r="ALW12" s="31"/>
      <c r="ALX12" s="32"/>
      <c r="ALY12" s="33" t="s">
        <v>164</v>
      </c>
      <c r="ALZ12" s="30"/>
      <c r="AMA12" s="30"/>
      <c r="AMB12" s="31"/>
      <c r="AMC12" s="31"/>
      <c r="AMD12" s="32"/>
      <c r="AME12" s="32"/>
      <c r="AMF12" s="30"/>
      <c r="AMG12" s="30"/>
      <c r="AMH12" s="31"/>
      <c r="AMI12" s="31"/>
      <c r="AMJ12" s="32"/>
      <c r="AMK12" s="32"/>
      <c r="AML12" s="30"/>
      <c r="AMM12" s="30"/>
      <c r="AMN12" s="31"/>
      <c r="AMO12" s="33" t="s">
        <v>448</v>
      </c>
      <c r="AMP12" s="32"/>
      <c r="AMQ12" s="33" t="s">
        <v>176</v>
      </c>
      <c r="AMR12" s="30"/>
      <c r="AMS12" s="30"/>
      <c r="AMT12" s="31"/>
      <c r="AMU12" s="31"/>
      <c r="AMV12" s="32"/>
      <c r="AMW12" s="32"/>
      <c r="AMX12" s="30"/>
      <c r="AMY12" s="30"/>
      <c r="AMZ12" s="31"/>
      <c r="ANA12" s="31" t="s">
        <v>81</v>
      </c>
      <c r="ANB12" s="32"/>
      <c r="ANC12" s="32"/>
      <c r="AND12" s="30"/>
      <c r="ANE12" s="30"/>
      <c r="ANF12" s="31"/>
      <c r="ANG12" s="31"/>
      <c r="ANH12" s="32" t="s">
        <v>94</v>
      </c>
      <c r="ANI12" s="32"/>
      <c r="ANJ12" s="30"/>
      <c r="ANK12" s="30"/>
      <c r="ANL12" s="31"/>
      <c r="ANM12" s="31"/>
      <c r="ANN12" s="32"/>
      <c r="ANO12" s="32"/>
      <c r="ANP12" s="30"/>
      <c r="ANQ12" s="30"/>
      <c r="ANR12" s="33" t="s">
        <v>327</v>
      </c>
      <c r="ANS12" s="33" t="s">
        <v>587</v>
      </c>
      <c r="ANT12" s="32" t="s">
        <v>583</v>
      </c>
      <c r="ANU12" s="32"/>
      <c r="ANV12" s="30"/>
      <c r="ANW12" s="30"/>
      <c r="ANX12" s="31"/>
      <c r="ANY12" s="31"/>
      <c r="ANZ12" s="32"/>
      <c r="AOA12" s="32"/>
      <c r="AOB12" s="30"/>
      <c r="AOC12" s="30"/>
      <c r="AOD12" s="31"/>
      <c r="AOE12" s="31"/>
      <c r="AOF12" s="32"/>
      <c r="AOG12" s="32"/>
      <c r="AOH12" s="30" t="s">
        <v>389</v>
      </c>
      <c r="AOI12" s="30"/>
      <c r="AOJ12" s="31"/>
      <c r="AOK12" s="31"/>
      <c r="AOL12" s="32"/>
      <c r="AOM12" s="32"/>
      <c r="AON12" s="30"/>
      <c r="AOO12" s="30"/>
      <c r="AOP12" s="31"/>
      <c r="AOQ12" s="31"/>
      <c r="AOR12" s="32"/>
      <c r="AOS12" s="32"/>
      <c r="AOT12" s="30"/>
      <c r="AOU12" s="30"/>
      <c r="AOV12" s="31" t="s">
        <v>28</v>
      </c>
      <c r="AOW12" s="31"/>
      <c r="AOX12" s="32"/>
      <c r="AOY12" s="32"/>
      <c r="AOZ12" s="30"/>
      <c r="APA12" s="30"/>
      <c r="APB12" s="31"/>
      <c r="APC12" s="31"/>
      <c r="APD12" s="32"/>
      <c r="APE12" s="32" t="s">
        <v>124</v>
      </c>
      <c r="APF12" s="30"/>
      <c r="APG12" s="30"/>
      <c r="APH12" s="32"/>
      <c r="API12" s="32"/>
      <c r="APJ12" s="31" t="s">
        <v>271</v>
      </c>
      <c r="APK12" s="31"/>
      <c r="APL12" s="30"/>
      <c r="APM12" s="30"/>
      <c r="APN12" s="32"/>
      <c r="APO12" s="32"/>
      <c r="APP12" s="31"/>
      <c r="APQ12" s="31"/>
      <c r="APR12" s="30"/>
      <c r="APS12" s="30"/>
      <c r="APT12" s="32"/>
      <c r="APU12" s="32"/>
      <c r="APV12" s="31"/>
      <c r="APW12" s="31"/>
      <c r="APX12" s="30"/>
      <c r="APY12" s="30"/>
      <c r="APZ12" s="32"/>
      <c r="AQA12" s="32"/>
      <c r="AQB12" s="31"/>
      <c r="AQC12" s="31"/>
      <c r="AQD12" s="30"/>
      <c r="AQE12" s="30"/>
      <c r="AQF12" s="32"/>
      <c r="AQG12" s="32" t="s">
        <v>300</v>
      </c>
      <c r="AQH12" s="31"/>
      <c r="AQI12" s="31"/>
      <c r="AQJ12" s="30"/>
      <c r="AQK12" s="30"/>
      <c r="AQL12" s="32" t="s">
        <v>592</v>
      </c>
      <c r="AQM12" s="32"/>
      <c r="AQN12" s="31"/>
      <c r="AQO12" s="31"/>
      <c r="AQP12" s="30"/>
      <c r="AQQ12" s="30"/>
      <c r="AQR12" s="32"/>
      <c r="AQS12" s="32"/>
      <c r="AQT12" s="31"/>
      <c r="AQU12" s="31"/>
      <c r="AQV12" s="30"/>
      <c r="AQW12" s="30"/>
      <c r="AQX12" s="32"/>
      <c r="AQY12" s="32"/>
      <c r="AQZ12" s="31"/>
      <c r="ARA12" s="31"/>
      <c r="ARB12" s="30"/>
      <c r="ARC12" s="30"/>
      <c r="ARD12" s="32"/>
      <c r="ARE12" s="32"/>
      <c r="ARF12" s="31"/>
      <c r="ARG12" s="31"/>
      <c r="ARH12" s="30"/>
      <c r="ARI12" s="30"/>
      <c r="ARJ12" s="32"/>
      <c r="ARK12" s="32"/>
      <c r="ARL12" s="31"/>
      <c r="ARM12" s="31"/>
      <c r="ARN12" s="30"/>
      <c r="ARO12" s="30"/>
      <c r="ARP12" s="32"/>
      <c r="ARQ12" s="32"/>
      <c r="ARR12" s="31"/>
      <c r="ARS12" s="31"/>
      <c r="ART12" s="30"/>
      <c r="ARU12" s="30"/>
      <c r="ARV12" s="32"/>
      <c r="ARW12" s="32"/>
      <c r="ARX12" s="31"/>
      <c r="ARY12" s="31"/>
      <c r="ARZ12" s="30"/>
      <c r="ASA12" s="30"/>
      <c r="ASB12" s="32"/>
      <c r="ASC12" s="32"/>
      <c r="ASD12" s="31"/>
      <c r="ASE12" s="31"/>
      <c r="ASF12" s="30"/>
      <c r="ASG12" s="30"/>
      <c r="ASH12" s="32"/>
      <c r="ASI12" s="32"/>
      <c r="ASJ12" s="31"/>
      <c r="ASK12" s="31"/>
      <c r="ASL12" s="30"/>
      <c r="ASM12" s="30"/>
      <c r="ASN12" s="32"/>
      <c r="ASO12" s="32"/>
      <c r="ASP12" s="31"/>
      <c r="ASQ12" s="31"/>
      <c r="ASR12" s="30"/>
      <c r="ASS12" s="30"/>
      <c r="AST12" s="32"/>
      <c r="ASU12" s="32"/>
      <c r="ASV12" s="31"/>
      <c r="ASW12" s="31"/>
      <c r="ASX12" s="30"/>
      <c r="ASY12" s="30"/>
      <c r="ASZ12" s="32"/>
      <c r="ATA12" s="32"/>
      <c r="ATB12" s="31"/>
      <c r="ATC12" s="31"/>
      <c r="ATD12" s="30"/>
      <c r="ATE12" s="30"/>
      <c r="ATF12" s="32"/>
      <c r="ATG12" s="32"/>
      <c r="ATH12" s="31"/>
      <c r="ATI12" s="31"/>
      <c r="ATJ12" s="30"/>
      <c r="ATK12" s="30"/>
      <c r="ATL12" s="32"/>
      <c r="ATM12" s="32"/>
      <c r="ATN12" s="31"/>
      <c r="ATO12" s="31"/>
      <c r="ATP12" s="30"/>
      <c r="ATQ12" s="30"/>
      <c r="ATR12" s="32"/>
      <c r="ATS12" s="32"/>
      <c r="ATT12" s="31"/>
      <c r="ATU12" s="31"/>
      <c r="ATV12" s="30"/>
      <c r="ATW12" s="30"/>
      <c r="ATX12" s="32"/>
      <c r="ATY12" s="32"/>
      <c r="ATZ12" s="31"/>
      <c r="AUA12" s="31"/>
      <c r="AUB12" s="30"/>
      <c r="AUC12" s="30"/>
      <c r="AUD12" s="32"/>
      <c r="AUE12" s="32"/>
      <c r="AUF12" s="31"/>
      <c r="AUG12" s="31"/>
      <c r="AUH12" s="30"/>
      <c r="AUI12" s="30"/>
      <c r="AUJ12" s="32"/>
      <c r="AUK12" s="32"/>
      <c r="AUL12" s="31"/>
      <c r="AUM12" s="31"/>
      <c r="AUN12" s="30"/>
      <c r="AUO12" s="30"/>
      <c r="AUP12" s="32"/>
      <c r="AUQ12" s="32"/>
      <c r="AUR12" s="31"/>
      <c r="AUS12" s="31"/>
      <c r="AUT12" s="30"/>
      <c r="AUU12" s="30"/>
      <c r="AUV12" s="32"/>
      <c r="AUW12" s="32"/>
      <c r="AUX12" s="31"/>
      <c r="AUY12" s="31"/>
      <c r="AUZ12" s="30"/>
      <c r="AVA12" s="30"/>
      <c r="AVB12" s="32"/>
      <c r="AVC12" s="32"/>
      <c r="AVD12" s="31"/>
      <c r="AVE12" s="31"/>
      <c r="AVF12" s="30"/>
      <c r="AVG12" s="30"/>
      <c r="AVH12" s="33" t="s">
        <v>451</v>
      </c>
      <c r="AVI12" s="32"/>
      <c r="AVJ12" s="31"/>
      <c r="AVK12" s="31"/>
      <c r="AVL12" s="30"/>
      <c r="AVM12" s="30"/>
      <c r="AVN12" s="32"/>
      <c r="AVO12" s="32"/>
      <c r="AVP12" s="31"/>
      <c r="AVQ12" s="31" t="s">
        <v>176</v>
      </c>
      <c r="AVR12" s="30"/>
      <c r="AVS12" s="30"/>
      <c r="AVT12" s="32"/>
      <c r="AVU12" s="32"/>
      <c r="AVV12" s="31" t="s">
        <v>587</v>
      </c>
      <c r="AVW12" s="31"/>
      <c r="AVX12" s="30"/>
      <c r="AVY12" s="30"/>
      <c r="AVZ12" s="32"/>
      <c r="AWA12" s="32"/>
      <c r="AWB12" s="31"/>
      <c r="AWC12" s="31"/>
      <c r="AWD12" s="30"/>
      <c r="AWE12" s="30"/>
      <c r="AWF12" s="32"/>
      <c r="AWG12" s="32"/>
      <c r="AWH12" s="31"/>
      <c r="AWI12" s="31"/>
      <c r="AWJ12" s="30"/>
      <c r="AWK12" s="30"/>
      <c r="AWL12" s="32"/>
      <c r="AWM12" s="32"/>
      <c r="AWN12" s="31"/>
      <c r="AWO12" s="31"/>
      <c r="AWP12" s="30"/>
      <c r="AWQ12" s="30"/>
      <c r="AWR12" s="32"/>
      <c r="AWS12" s="32"/>
      <c r="AWT12" s="31"/>
      <c r="AWU12" s="31"/>
      <c r="AWV12" s="30"/>
      <c r="AWW12" s="30"/>
      <c r="AWX12" s="32"/>
      <c r="AWY12" s="32"/>
      <c r="AWZ12" s="31"/>
      <c r="AXA12" s="31"/>
      <c r="AXB12" s="30"/>
      <c r="AXC12" s="30"/>
      <c r="AXD12" s="32"/>
      <c r="AXE12" s="32"/>
      <c r="AXF12" s="31"/>
      <c r="AXG12" s="31" t="s">
        <v>259</v>
      </c>
      <c r="AXH12" s="30"/>
      <c r="AXI12" s="30"/>
      <c r="AXJ12" s="32"/>
      <c r="AXK12" s="32"/>
      <c r="AXL12" s="31"/>
      <c r="AXM12" s="31"/>
      <c r="AXN12" s="30"/>
      <c r="AXO12" s="30"/>
      <c r="AXP12" s="32"/>
      <c r="AXQ12" s="32"/>
      <c r="AXR12" s="31"/>
      <c r="AXS12" s="31"/>
      <c r="AXT12" s="30"/>
      <c r="AXU12" s="30"/>
      <c r="AXV12" s="32"/>
      <c r="AXW12" s="32"/>
      <c r="AXX12" s="31"/>
      <c r="AXY12" s="31"/>
      <c r="AXZ12" s="30"/>
      <c r="AYA12" s="30"/>
      <c r="AYB12" s="32"/>
      <c r="AYC12" s="32"/>
      <c r="AYD12" s="31"/>
      <c r="AYE12" s="31"/>
      <c r="AYF12" s="30"/>
      <c r="AYG12" s="30"/>
      <c r="AYH12" s="32"/>
      <c r="AYI12" s="32"/>
      <c r="AYJ12" s="31"/>
      <c r="AYK12" s="31"/>
      <c r="AYL12" s="30"/>
      <c r="AYM12" s="30"/>
      <c r="AYN12" s="32"/>
      <c r="AYO12" s="32"/>
      <c r="AYP12" s="31"/>
      <c r="AYQ12" s="31"/>
      <c r="AYR12" s="30"/>
      <c r="AYS12" s="30"/>
      <c r="AYT12" s="32"/>
      <c r="AYU12" s="32"/>
      <c r="AYV12" s="31"/>
      <c r="AYW12" s="31"/>
      <c r="AYX12" s="30"/>
      <c r="AYY12" s="30"/>
      <c r="AYZ12" s="32"/>
      <c r="AZA12" s="32"/>
      <c r="AZB12" s="31"/>
      <c r="AZC12" s="31"/>
      <c r="AZD12" s="30"/>
      <c r="AZE12" s="30"/>
      <c r="AZF12" s="32"/>
      <c r="AZG12" s="32"/>
      <c r="AZH12" s="31"/>
      <c r="AZI12" s="31"/>
      <c r="AZJ12" s="30"/>
      <c r="AZK12" s="30"/>
      <c r="AZL12" s="32"/>
      <c r="AZM12" s="32"/>
      <c r="AZN12" s="31"/>
      <c r="AZO12" s="31"/>
      <c r="AZP12" s="30"/>
      <c r="AZQ12" s="30"/>
      <c r="AZR12" s="32"/>
      <c r="AZS12" s="32"/>
      <c r="AZT12" s="31"/>
      <c r="AZU12" s="31"/>
      <c r="AZV12" s="30"/>
      <c r="AZW12" s="30"/>
      <c r="AZX12" s="32"/>
      <c r="AZY12" s="32"/>
      <c r="AZZ12" s="31"/>
      <c r="BAA12" s="31"/>
      <c r="BAB12" s="30"/>
      <c r="BAC12" s="30"/>
      <c r="BAD12" s="32"/>
      <c r="BAE12" s="32"/>
      <c r="BAF12" s="31"/>
      <c r="BAG12" s="31"/>
      <c r="BAH12" s="30"/>
      <c r="BAI12" s="30"/>
      <c r="BAJ12" s="32"/>
      <c r="BAK12" s="32"/>
      <c r="BAL12" s="31"/>
      <c r="BAM12" s="31"/>
      <c r="BAN12" s="30"/>
      <c r="BAO12" s="30"/>
      <c r="BAP12" s="32"/>
      <c r="BAQ12" s="32"/>
      <c r="BAR12" s="31"/>
      <c r="BAS12" s="31"/>
      <c r="BAT12" s="30"/>
      <c r="BAU12" s="30"/>
      <c r="BAV12" s="32"/>
      <c r="BAW12" s="32"/>
      <c r="BAX12" s="31"/>
      <c r="BAY12" s="31"/>
      <c r="BAZ12" s="30"/>
      <c r="BBA12" s="30"/>
      <c r="BBB12" s="32"/>
      <c r="BBC12" s="32"/>
      <c r="BBD12" s="31"/>
      <c r="BBE12" s="31"/>
      <c r="BBF12" s="30"/>
      <c r="BBG12" s="30"/>
      <c r="BBH12" s="32"/>
      <c r="BBI12" s="32"/>
      <c r="BBJ12" s="31"/>
      <c r="BBK12" s="31"/>
      <c r="BBL12" s="30"/>
      <c r="BBM12" s="30"/>
      <c r="BBN12" s="32"/>
      <c r="BBO12" s="32"/>
      <c r="BBP12" s="31"/>
      <c r="BBQ12" s="31"/>
      <c r="BBR12" s="30"/>
      <c r="BBS12" s="30"/>
      <c r="BBT12" s="32"/>
      <c r="BBU12" s="32"/>
      <c r="BBV12" s="31"/>
      <c r="BBW12" s="31"/>
      <c r="BBX12" s="30"/>
      <c r="BBY12" s="30"/>
      <c r="BBZ12" s="32"/>
      <c r="BCA12" s="32"/>
      <c r="BCB12" s="31"/>
      <c r="BCC12" s="31"/>
      <c r="BCD12" s="30"/>
      <c r="BCE12" s="30"/>
      <c r="BCF12" s="32"/>
      <c r="BCG12" s="32"/>
      <c r="BCH12" s="31"/>
      <c r="BCI12" s="31"/>
      <c r="BCJ12" s="30"/>
      <c r="BCK12" s="30"/>
      <c r="BCL12" s="32"/>
      <c r="BCM12" s="32"/>
      <c r="BCN12" s="31"/>
      <c r="BCO12" s="31"/>
      <c r="BCP12" s="30"/>
      <c r="BCQ12" s="30"/>
    </row>
    <row r="13" spans="1:1447">
      <c r="A13" s="30"/>
      <c r="B13" s="30"/>
      <c r="C13" s="31"/>
      <c r="D13" s="31"/>
      <c r="E13" s="32"/>
      <c r="F13" s="32"/>
      <c r="G13" s="30"/>
      <c r="H13" s="30"/>
      <c r="I13" s="31"/>
      <c r="J13" s="31"/>
      <c r="K13" s="32"/>
      <c r="L13" s="32"/>
      <c r="M13" s="30"/>
      <c r="N13" s="30"/>
      <c r="O13" s="31"/>
      <c r="P13" s="31"/>
      <c r="Q13" s="32"/>
      <c r="R13" s="43"/>
      <c r="S13" s="30"/>
      <c r="T13" s="30"/>
      <c r="U13" s="31"/>
      <c r="V13" s="31"/>
      <c r="W13" s="32"/>
      <c r="X13" s="32"/>
      <c r="Y13" s="30"/>
      <c r="Z13" s="30"/>
      <c r="AA13" s="31"/>
      <c r="AB13" s="31"/>
      <c r="AC13" s="32"/>
      <c r="AD13" s="32"/>
      <c r="AE13" s="30"/>
      <c r="AF13" s="30"/>
      <c r="AG13" s="31"/>
      <c r="AH13" s="31"/>
      <c r="AI13" s="32"/>
      <c r="AJ13" s="32"/>
      <c r="AK13" s="30"/>
      <c r="AL13" s="30"/>
      <c r="AM13" s="31"/>
      <c r="AN13" s="31"/>
      <c r="AO13" s="32"/>
      <c r="AP13" s="32"/>
      <c r="AQ13" s="30"/>
      <c r="AR13" s="30"/>
      <c r="AS13" s="31"/>
      <c r="AT13" s="31"/>
      <c r="AU13" s="32"/>
      <c r="AV13" s="32"/>
      <c r="AW13" s="30"/>
      <c r="AX13" s="30"/>
      <c r="AY13" s="31"/>
      <c r="AZ13" s="31"/>
      <c r="BA13" s="32"/>
      <c r="BB13" s="32"/>
      <c r="BC13" s="30"/>
      <c r="BD13" s="30"/>
      <c r="BE13" s="31"/>
      <c r="BF13" s="31"/>
      <c r="BG13" s="32"/>
      <c r="BH13" s="32"/>
      <c r="BI13" s="30"/>
      <c r="BJ13" s="30"/>
      <c r="BK13" s="31"/>
      <c r="BL13" s="31"/>
      <c r="BM13" s="32"/>
      <c r="BN13" s="32"/>
      <c r="BO13" s="30"/>
      <c r="BP13" s="30"/>
      <c r="BQ13" s="31"/>
      <c r="BR13" s="31"/>
      <c r="BS13" s="32"/>
      <c r="BT13" s="32"/>
      <c r="BU13" s="30"/>
      <c r="BV13" s="30"/>
      <c r="BW13" s="31"/>
      <c r="BX13" s="31"/>
      <c r="BY13" s="32"/>
      <c r="BZ13" s="32"/>
      <c r="CA13" s="30"/>
      <c r="CB13" s="30"/>
      <c r="CC13" s="31"/>
      <c r="CD13" s="31"/>
      <c r="CE13" s="32"/>
      <c r="CF13" s="32"/>
      <c r="CG13" s="30"/>
      <c r="CH13" s="30"/>
      <c r="CI13" s="31"/>
      <c r="CJ13" s="31"/>
      <c r="CK13" s="32"/>
      <c r="CL13" s="32"/>
      <c r="CM13" s="30"/>
      <c r="CN13" s="30"/>
      <c r="CO13" s="31"/>
      <c r="CP13" s="31"/>
      <c r="CQ13" s="32"/>
      <c r="CR13" s="32"/>
      <c r="CS13" s="30"/>
      <c r="CT13" s="30"/>
      <c r="CU13" s="31"/>
      <c r="CV13" s="31"/>
      <c r="CW13" s="32"/>
      <c r="CX13" s="32"/>
      <c r="CY13" s="30"/>
      <c r="CZ13" s="30"/>
      <c r="DA13" s="31"/>
      <c r="DB13" s="31"/>
      <c r="DC13" s="32"/>
      <c r="DD13" s="32"/>
      <c r="DE13" s="30"/>
      <c r="DF13" s="30"/>
      <c r="DG13" s="31"/>
      <c r="DH13" s="31"/>
      <c r="DI13" s="32"/>
      <c r="DJ13" s="32"/>
      <c r="DK13" s="30"/>
      <c r="DL13" s="30"/>
      <c r="DM13" s="31"/>
      <c r="DN13" s="31"/>
      <c r="DO13" s="32"/>
      <c r="DP13" s="32"/>
      <c r="DQ13" s="30"/>
      <c r="DR13" s="30"/>
      <c r="DS13" s="31"/>
      <c r="DT13" s="31"/>
      <c r="DU13" s="32"/>
      <c r="DV13" s="32"/>
      <c r="DW13" s="30"/>
      <c r="DX13" s="30"/>
      <c r="DY13" s="31"/>
      <c r="DZ13" s="31"/>
      <c r="EA13" s="32"/>
      <c r="EB13" s="32"/>
      <c r="EC13" s="30"/>
      <c r="ED13" s="30"/>
      <c r="EE13" s="31"/>
      <c r="EF13" s="31"/>
      <c r="EG13" s="32"/>
      <c r="EH13" s="32"/>
      <c r="EI13" s="30"/>
      <c r="EJ13" s="30"/>
      <c r="EK13" s="31"/>
      <c r="EL13" s="31"/>
      <c r="EM13" s="32"/>
      <c r="EN13" s="32"/>
      <c r="EO13" s="30"/>
      <c r="EP13" s="30"/>
      <c r="EQ13" s="31"/>
      <c r="ER13" s="31"/>
      <c r="ES13" s="32"/>
      <c r="ET13" s="32"/>
      <c r="EU13" s="30"/>
      <c r="EV13" s="30"/>
      <c r="EW13" s="31"/>
      <c r="EX13" s="31"/>
      <c r="EY13" s="32"/>
      <c r="EZ13" s="32"/>
      <c r="FA13" s="30"/>
      <c r="FB13" s="30"/>
      <c r="FC13" s="31"/>
      <c r="FD13" s="31"/>
      <c r="FE13" s="32"/>
      <c r="FF13" s="32"/>
      <c r="FG13" s="30"/>
      <c r="FH13" s="30"/>
      <c r="FI13" s="32"/>
      <c r="FJ13" s="32"/>
      <c r="FK13" s="30" t="s">
        <v>300</v>
      </c>
      <c r="FL13" s="30"/>
      <c r="FM13" s="31"/>
      <c r="FN13" s="31"/>
      <c r="FO13" s="32"/>
      <c r="FP13" s="32"/>
      <c r="FQ13" s="30"/>
      <c r="FR13" s="30"/>
      <c r="FS13" s="31"/>
      <c r="FT13" s="31"/>
      <c r="FU13" s="32"/>
      <c r="FV13" s="32"/>
      <c r="FW13" s="30"/>
      <c r="FX13" s="30"/>
      <c r="FY13" s="31"/>
      <c r="FZ13" s="31"/>
      <c r="GA13" s="32"/>
      <c r="GB13" s="32"/>
      <c r="GC13" s="30"/>
      <c r="GD13" s="30"/>
      <c r="GE13" s="31"/>
      <c r="GF13" s="31"/>
      <c r="GG13" s="32"/>
      <c r="GH13" s="32"/>
      <c r="GI13" s="30"/>
      <c r="GJ13" s="30"/>
      <c r="GK13" s="31"/>
      <c r="GL13" s="31"/>
      <c r="GM13" s="32"/>
      <c r="GN13" s="32"/>
      <c r="GO13" s="30"/>
      <c r="GP13" s="30"/>
      <c r="GQ13" s="31"/>
      <c r="GR13" s="31"/>
      <c r="GS13" s="32"/>
      <c r="GT13" s="32"/>
      <c r="GU13" s="30"/>
      <c r="GV13" s="30"/>
      <c r="GW13" s="31"/>
      <c r="GX13" s="31"/>
      <c r="GY13" s="32"/>
      <c r="GZ13" s="32"/>
      <c r="HA13" s="30"/>
      <c r="HB13" s="30"/>
      <c r="HC13" s="31"/>
      <c r="HD13" s="31"/>
      <c r="HE13" s="32"/>
      <c r="HF13" s="32"/>
      <c r="HG13" s="30"/>
      <c r="HH13" s="30"/>
      <c r="HI13" s="31"/>
      <c r="HJ13" s="31"/>
      <c r="HK13" s="32"/>
      <c r="HL13" s="32"/>
      <c r="HM13" s="30"/>
      <c r="HN13" s="30"/>
      <c r="HO13" s="31"/>
      <c r="HP13" s="31"/>
      <c r="HQ13" s="32"/>
      <c r="HR13" s="32"/>
      <c r="HS13" s="30"/>
      <c r="HT13" s="30"/>
      <c r="HU13" s="31"/>
      <c r="HV13" s="31"/>
      <c r="HW13" s="32"/>
      <c r="HX13" s="32"/>
      <c r="HY13" s="30"/>
      <c r="HZ13" s="30"/>
      <c r="IA13" s="31"/>
      <c r="IB13" s="31"/>
      <c r="IC13" s="32"/>
      <c r="ID13" s="32"/>
      <c r="IE13" s="30"/>
      <c r="IF13" s="30"/>
      <c r="IG13" s="31"/>
      <c r="IH13" s="31"/>
      <c r="II13" s="32"/>
      <c r="IJ13" s="32"/>
      <c r="IK13" s="30"/>
      <c r="IL13" s="30"/>
      <c r="IM13" s="31"/>
      <c r="IN13" s="31"/>
      <c r="IO13" s="32"/>
      <c r="IP13" s="32"/>
      <c r="IQ13" s="30"/>
      <c r="IR13" s="30"/>
      <c r="IS13" s="31"/>
      <c r="IT13" s="31"/>
      <c r="IU13" s="32"/>
      <c r="IV13" s="32"/>
      <c r="IW13" s="30"/>
      <c r="IX13" s="30"/>
      <c r="IY13" s="31"/>
      <c r="IZ13" s="31"/>
      <c r="JA13" s="32"/>
      <c r="JB13" s="32"/>
      <c r="JC13" s="30"/>
      <c r="JD13" s="30"/>
      <c r="JE13" s="31"/>
      <c r="JF13" s="31"/>
      <c r="JG13" s="32"/>
      <c r="JH13" s="32"/>
      <c r="JI13" s="30"/>
      <c r="JJ13" s="30"/>
      <c r="JK13" s="31"/>
      <c r="JL13" s="31"/>
      <c r="JM13" s="32"/>
      <c r="JN13" s="32"/>
      <c r="JO13" s="30"/>
      <c r="JP13" s="30"/>
      <c r="JQ13" s="31"/>
      <c r="JR13" s="31"/>
      <c r="JS13" s="32"/>
      <c r="JT13" s="32"/>
      <c r="JU13" s="30"/>
      <c r="JV13" s="30"/>
      <c r="JW13" s="31"/>
      <c r="JX13" s="31"/>
      <c r="JY13" s="32"/>
      <c r="JZ13" s="32" t="s">
        <v>300</v>
      </c>
      <c r="KA13" s="30"/>
      <c r="KB13" s="30"/>
      <c r="KC13" s="31"/>
      <c r="KD13" s="31"/>
      <c r="KE13" s="32"/>
      <c r="KF13" s="32"/>
      <c r="KG13" s="30"/>
      <c r="KH13" s="30"/>
      <c r="KI13" s="31"/>
      <c r="KJ13" s="31"/>
      <c r="KK13" s="32"/>
      <c r="KL13" s="32" t="s">
        <v>102</v>
      </c>
      <c r="KM13" s="30"/>
      <c r="KN13" s="30"/>
      <c r="KO13" s="31"/>
      <c r="KP13" s="31"/>
      <c r="KQ13" s="32" t="s">
        <v>185</v>
      </c>
      <c r="KR13" s="32"/>
      <c r="KS13" s="30"/>
      <c r="KT13" s="30"/>
      <c r="KU13" s="31"/>
      <c r="KV13" s="31"/>
      <c r="KW13" s="32"/>
      <c r="KX13" s="32"/>
      <c r="KY13" s="30"/>
      <c r="KZ13" s="30" t="s">
        <v>585</v>
      </c>
      <c r="LA13" s="31"/>
      <c r="LB13" s="31"/>
      <c r="LC13" s="32"/>
      <c r="LD13" s="32"/>
      <c r="LE13" s="30"/>
      <c r="LF13" s="30"/>
      <c r="LG13" s="31"/>
      <c r="LH13" s="31"/>
      <c r="LI13" s="32"/>
      <c r="LJ13" s="32"/>
      <c r="LK13" s="30"/>
      <c r="LL13" s="30"/>
      <c r="LM13" s="31"/>
      <c r="LN13" s="31"/>
      <c r="LO13" s="32"/>
      <c r="LP13" s="32"/>
      <c r="LQ13" s="30"/>
      <c r="LR13" s="30" t="s">
        <v>596</v>
      </c>
      <c r="LS13" s="31"/>
      <c r="LT13" s="31"/>
      <c r="LU13" s="32"/>
      <c r="LV13" s="32"/>
      <c r="LW13" s="30"/>
      <c r="LX13" s="30"/>
      <c r="LY13" s="31"/>
      <c r="LZ13" s="31"/>
      <c r="MA13" s="32"/>
      <c r="MB13" s="32"/>
      <c r="MC13" s="33" t="s">
        <v>598</v>
      </c>
      <c r="MD13" s="30"/>
      <c r="ME13" s="31"/>
      <c r="MF13" s="31"/>
      <c r="MG13" s="32"/>
      <c r="MH13" s="32"/>
      <c r="MI13" s="30"/>
      <c r="MJ13" s="30"/>
      <c r="MK13" s="31"/>
      <c r="ML13" s="31"/>
      <c r="MM13" s="32"/>
      <c r="MN13" s="32"/>
      <c r="MO13" s="30"/>
      <c r="MP13" s="30" t="s">
        <v>601</v>
      </c>
      <c r="MQ13" s="31"/>
      <c r="MR13" s="31"/>
      <c r="MS13" s="32"/>
      <c r="MT13" s="32"/>
      <c r="MU13" s="33" t="s">
        <v>588</v>
      </c>
      <c r="MV13" s="30"/>
      <c r="MW13" s="31"/>
      <c r="MX13" s="31"/>
      <c r="MY13" s="32"/>
      <c r="MZ13" s="32"/>
      <c r="NA13" s="30"/>
      <c r="NB13" s="30"/>
      <c r="NC13" s="31"/>
      <c r="ND13" s="31"/>
      <c r="NE13" s="32"/>
      <c r="NF13" s="32"/>
      <c r="NG13" s="30"/>
      <c r="NH13" s="30"/>
      <c r="NI13" s="31"/>
      <c r="NJ13" s="31"/>
      <c r="NK13" s="32"/>
      <c r="NL13" s="32"/>
      <c r="NM13" s="30"/>
      <c r="NN13" s="30"/>
      <c r="NO13" s="31"/>
      <c r="NP13" s="31"/>
      <c r="NQ13" s="32"/>
      <c r="NR13" s="32"/>
      <c r="NS13" s="30"/>
      <c r="NT13" s="30"/>
      <c r="NU13" s="31"/>
      <c r="NV13" s="31"/>
      <c r="NW13" s="32"/>
      <c r="NX13" s="32"/>
      <c r="NY13" s="30"/>
      <c r="NZ13" s="30"/>
      <c r="OA13" s="31"/>
      <c r="OB13" s="31"/>
      <c r="OC13" s="32"/>
      <c r="OD13" s="32"/>
      <c r="OE13" s="30"/>
      <c r="OF13" s="30"/>
      <c r="OG13" s="31"/>
      <c r="OH13" s="31"/>
      <c r="OI13" s="32"/>
      <c r="OJ13" s="32"/>
      <c r="OK13" s="30"/>
      <c r="OL13" s="30"/>
      <c r="OM13" s="31"/>
      <c r="ON13" s="31"/>
      <c r="OO13" s="32"/>
      <c r="OP13" s="32"/>
      <c r="OQ13" s="30"/>
      <c r="OR13" s="30"/>
      <c r="OS13" s="31"/>
      <c r="OT13" s="31"/>
      <c r="OU13" s="32"/>
      <c r="OV13" s="32"/>
      <c r="OW13" s="30"/>
      <c r="OX13" s="30"/>
      <c r="OY13" s="31"/>
      <c r="OZ13" s="31"/>
      <c r="PA13" s="32"/>
      <c r="PB13" s="32"/>
      <c r="PC13" s="30"/>
      <c r="PD13" s="30"/>
      <c r="PE13" s="31"/>
      <c r="PF13" s="31"/>
      <c r="PG13" s="32"/>
      <c r="PH13" s="32"/>
      <c r="PI13" s="30"/>
      <c r="PJ13" s="30"/>
      <c r="PK13" s="31"/>
      <c r="PL13" s="31"/>
      <c r="PM13" s="32"/>
      <c r="PN13" s="32"/>
      <c r="PO13" s="30"/>
      <c r="PP13" s="30"/>
      <c r="PQ13" s="31"/>
      <c r="PR13" s="31"/>
      <c r="PS13" s="32"/>
      <c r="PT13" s="32"/>
      <c r="PU13" s="30"/>
      <c r="PV13" s="30"/>
      <c r="PW13" s="31"/>
      <c r="PX13" s="31"/>
      <c r="PY13" s="32"/>
      <c r="PZ13" s="32"/>
      <c r="QA13" s="30"/>
      <c r="QB13" s="30"/>
      <c r="QC13" s="31"/>
      <c r="QD13" s="31"/>
      <c r="QE13" s="32"/>
      <c r="QF13" s="32"/>
      <c r="QG13" s="30"/>
      <c r="QH13" s="30"/>
      <c r="QI13" s="31"/>
      <c r="QJ13" s="31"/>
      <c r="QK13" s="32"/>
      <c r="QL13" s="32"/>
      <c r="QM13" s="30"/>
      <c r="QN13" s="30"/>
      <c r="QO13" s="31"/>
      <c r="QP13" s="31"/>
      <c r="QQ13" s="32" t="s">
        <v>74</v>
      </c>
      <c r="QR13" s="32"/>
      <c r="QS13" s="30"/>
      <c r="QT13" s="30"/>
      <c r="QU13" s="31"/>
      <c r="QV13" s="31"/>
      <c r="QW13" s="32"/>
      <c r="QX13" s="32"/>
      <c r="QY13" s="30"/>
      <c r="QZ13" s="30"/>
      <c r="RA13" s="31"/>
      <c r="RB13" s="31"/>
      <c r="RC13" s="32"/>
      <c r="RD13" s="32"/>
      <c r="RE13" s="30"/>
      <c r="RF13" s="30"/>
      <c r="RG13" s="31"/>
      <c r="RH13" s="31"/>
      <c r="RI13" s="32"/>
      <c r="RJ13" s="32"/>
      <c r="RK13" s="30"/>
      <c r="RL13" s="30"/>
      <c r="RM13" s="31"/>
      <c r="RN13" s="31"/>
      <c r="RO13" s="32"/>
      <c r="RP13" s="32"/>
      <c r="RQ13" s="30"/>
      <c r="RR13" s="30"/>
      <c r="RS13" s="31"/>
      <c r="RT13" s="31"/>
      <c r="RU13" s="32"/>
      <c r="RV13" s="32"/>
      <c r="RW13" s="30"/>
      <c r="RX13" s="30"/>
      <c r="RY13" s="31"/>
      <c r="RZ13" s="31"/>
      <c r="SA13" s="32"/>
      <c r="SB13" s="32"/>
      <c r="SC13" s="30"/>
      <c r="SD13" s="30"/>
      <c r="SE13" s="31"/>
      <c r="SF13" s="31"/>
      <c r="SG13" s="32"/>
      <c r="SH13" s="32"/>
      <c r="SI13" s="30"/>
      <c r="SJ13" s="30"/>
      <c r="SK13" s="30"/>
      <c r="SL13" s="31"/>
      <c r="SM13" s="31"/>
      <c r="SN13" s="32"/>
      <c r="SO13" s="32"/>
      <c r="SP13" s="30"/>
      <c r="SQ13" s="30"/>
      <c r="SR13" s="31"/>
      <c r="SS13" s="31"/>
      <c r="ST13" s="32"/>
      <c r="SU13" s="32"/>
      <c r="SV13" s="30"/>
      <c r="SW13" s="30"/>
      <c r="SX13" s="31"/>
      <c r="SY13" s="31"/>
      <c r="SZ13" s="32"/>
      <c r="TA13" s="32"/>
      <c r="TB13" s="30"/>
      <c r="TC13" s="30"/>
      <c r="TD13" s="31"/>
      <c r="TE13" s="31"/>
      <c r="TF13" s="32"/>
      <c r="TG13" s="32"/>
      <c r="TH13" s="30" t="s">
        <v>22</v>
      </c>
      <c r="TI13" s="30"/>
      <c r="TJ13" s="31"/>
      <c r="TK13" s="31"/>
      <c r="TL13" s="32"/>
      <c r="TM13" s="32"/>
      <c r="TN13" s="30"/>
      <c r="TO13" s="41" t="s">
        <v>28</v>
      </c>
      <c r="TP13" s="31"/>
      <c r="TQ13" s="31" t="s">
        <v>600</v>
      </c>
      <c r="TR13" s="32"/>
      <c r="TS13" s="32"/>
      <c r="TT13" s="30"/>
      <c r="TU13" s="30"/>
      <c r="TV13" s="31" t="s">
        <v>614</v>
      </c>
      <c r="TW13" s="31"/>
      <c r="TX13" s="32"/>
      <c r="TY13" s="32"/>
      <c r="TZ13" s="30"/>
      <c r="UA13" s="30"/>
      <c r="UB13" s="31"/>
      <c r="UC13" s="31"/>
      <c r="UD13" s="32"/>
      <c r="UE13" s="32"/>
      <c r="UF13" s="30"/>
      <c r="UG13" s="30"/>
      <c r="UH13" s="31"/>
      <c r="UI13" s="31"/>
      <c r="UJ13" s="32" t="s">
        <v>584</v>
      </c>
      <c r="UK13" s="32"/>
      <c r="UL13" s="30"/>
      <c r="UM13" s="30"/>
      <c r="UN13" s="31"/>
      <c r="UO13" s="31"/>
      <c r="UP13" s="32"/>
      <c r="UQ13" s="32"/>
      <c r="UR13" s="30"/>
      <c r="US13" s="30"/>
      <c r="UT13" s="31"/>
      <c r="UU13" s="31"/>
      <c r="UV13" s="32"/>
      <c r="UW13" s="32"/>
      <c r="UX13" s="30"/>
      <c r="UY13" s="30"/>
      <c r="UZ13" s="31"/>
      <c r="VA13" s="31"/>
      <c r="VB13" s="32"/>
      <c r="VC13" s="32"/>
      <c r="VD13" s="30"/>
      <c r="VE13" s="30"/>
      <c r="VF13" s="31"/>
      <c r="VG13" s="31"/>
      <c r="VH13" s="32"/>
      <c r="VI13" s="32"/>
      <c r="VJ13" s="30"/>
      <c r="VK13" s="30"/>
      <c r="VL13" s="31"/>
      <c r="VM13" s="31"/>
      <c r="VN13" s="32"/>
      <c r="VO13" s="32"/>
      <c r="VP13" s="30"/>
      <c r="VQ13" s="30"/>
      <c r="VR13" s="31"/>
      <c r="VS13" s="31"/>
      <c r="VT13" s="32"/>
      <c r="VU13" s="32"/>
      <c r="VV13" s="30"/>
      <c r="VW13" s="30"/>
      <c r="VX13" s="31"/>
      <c r="VY13" s="31"/>
      <c r="VZ13" s="32"/>
      <c r="WA13" s="32"/>
      <c r="WB13" s="30"/>
      <c r="WC13" s="30"/>
      <c r="WD13" s="31"/>
      <c r="WE13" s="31"/>
      <c r="WF13" s="32"/>
      <c r="WG13" s="32"/>
      <c r="WH13" s="30"/>
      <c r="WI13" s="30"/>
      <c r="WJ13" s="31"/>
      <c r="WK13" s="31"/>
      <c r="WL13" s="32"/>
      <c r="WM13" s="32"/>
      <c r="WN13" s="30"/>
      <c r="WO13" s="30"/>
      <c r="WP13" s="31"/>
      <c r="WQ13" s="31"/>
      <c r="WR13" s="32"/>
      <c r="WS13" s="32"/>
      <c r="WT13" s="30"/>
      <c r="WU13" s="30"/>
      <c r="WV13" s="31"/>
      <c r="WW13" s="31"/>
      <c r="WX13" s="32"/>
      <c r="WY13" s="32"/>
      <c r="WZ13" s="30"/>
      <c r="XA13" s="30"/>
      <c r="XB13" s="31"/>
      <c r="XC13" s="31"/>
      <c r="XD13" s="32"/>
      <c r="XE13" s="32"/>
      <c r="XF13" s="30"/>
      <c r="XG13" s="30"/>
      <c r="XH13" s="31"/>
      <c r="XI13" s="31"/>
      <c r="XJ13" s="32"/>
      <c r="XK13" s="32"/>
      <c r="XL13" s="30"/>
      <c r="XM13" s="30"/>
      <c r="XN13" s="31"/>
      <c r="XO13" s="31"/>
      <c r="XP13" s="32"/>
      <c r="XQ13" s="32"/>
      <c r="XR13" s="30"/>
      <c r="XS13" s="30"/>
      <c r="XT13" s="31"/>
      <c r="XU13" s="31"/>
      <c r="XV13" s="32"/>
      <c r="XW13" s="32"/>
      <c r="XX13" s="30"/>
      <c r="XY13" s="30"/>
      <c r="XZ13" s="31"/>
      <c r="YA13" s="31"/>
      <c r="YB13" s="32"/>
      <c r="YC13" s="32"/>
      <c r="YD13" s="30"/>
      <c r="YE13" s="30"/>
      <c r="YF13" s="31" t="s">
        <v>79</v>
      </c>
      <c r="YG13" s="31"/>
      <c r="YH13" s="32"/>
      <c r="YI13" s="32"/>
      <c r="YJ13" s="30"/>
      <c r="YK13" s="30"/>
      <c r="YL13" s="31"/>
      <c r="YM13" s="31"/>
      <c r="YN13" s="32"/>
      <c r="YO13" s="32"/>
      <c r="YP13" s="30"/>
      <c r="YQ13" s="30"/>
      <c r="YR13" s="31"/>
      <c r="YS13" s="31"/>
      <c r="YT13" s="32"/>
      <c r="YU13" s="32"/>
      <c r="YV13" s="30"/>
      <c r="YW13" s="30"/>
      <c r="YX13" s="31"/>
      <c r="YY13" s="31"/>
      <c r="YZ13" s="32"/>
      <c r="ZA13" s="32"/>
      <c r="ZB13" s="30"/>
      <c r="ZC13" s="30"/>
      <c r="ZD13" s="31"/>
      <c r="ZE13" s="31"/>
      <c r="ZF13" s="32"/>
      <c r="ZG13" s="32"/>
      <c r="ZH13" s="30"/>
      <c r="ZI13" s="30"/>
      <c r="ZJ13" s="31"/>
      <c r="ZK13" s="31"/>
      <c r="ZL13" s="32"/>
      <c r="ZM13" s="32"/>
      <c r="ZN13" s="30"/>
      <c r="ZO13" s="30"/>
      <c r="ZP13" s="31"/>
      <c r="ZQ13" s="31"/>
      <c r="ZR13" s="32"/>
      <c r="ZS13" s="32"/>
      <c r="ZT13" s="30"/>
      <c r="ZU13" s="30"/>
      <c r="ZV13" s="31"/>
      <c r="ZW13" s="31"/>
      <c r="ZX13" s="32"/>
      <c r="ZY13" s="32"/>
      <c r="ZZ13" s="30"/>
      <c r="AAA13" s="30"/>
      <c r="AAB13" s="31"/>
      <c r="AAC13" s="31"/>
      <c r="AAD13" s="32"/>
      <c r="AAE13" s="32"/>
      <c r="AAF13" s="30"/>
      <c r="AAG13" s="30"/>
      <c r="AAH13" s="31"/>
      <c r="AAI13" s="31"/>
      <c r="AAJ13" s="32"/>
      <c r="AAK13" s="32"/>
      <c r="AAL13" s="30"/>
      <c r="AAM13" s="30"/>
      <c r="AAN13" s="31"/>
      <c r="AAO13" s="31"/>
      <c r="AAP13" s="32"/>
      <c r="AAQ13" s="32"/>
      <c r="AAR13" s="30"/>
      <c r="AAS13" s="30"/>
      <c r="AAT13" s="31"/>
      <c r="AAU13" s="31"/>
      <c r="AAV13" s="32"/>
      <c r="AAW13" s="32"/>
      <c r="AAX13" s="30"/>
      <c r="AAY13" s="30"/>
      <c r="AAZ13" s="31"/>
      <c r="ABA13" s="31"/>
      <c r="ABB13" s="32"/>
      <c r="ABC13" s="32"/>
      <c r="ABD13" s="30"/>
      <c r="ABE13" s="30"/>
      <c r="ABF13" s="31"/>
      <c r="ABG13" s="31"/>
      <c r="ABH13" s="32"/>
      <c r="ABI13" s="32"/>
      <c r="ABJ13" s="30"/>
      <c r="ABK13" s="30"/>
      <c r="ABL13" s="31"/>
      <c r="ABM13" s="31"/>
      <c r="ABN13" s="32"/>
      <c r="ABO13" s="32"/>
      <c r="ABP13" s="30"/>
      <c r="ABQ13" s="30"/>
      <c r="ABR13" s="31"/>
      <c r="ABS13" s="31"/>
      <c r="ABT13" s="32"/>
      <c r="ABU13" s="32"/>
      <c r="ABV13" s="30"/>
      <c r="ABW13" s="30"/>
      <c r="ABX13" s="31"/>
      <c r="ABY13" s="31"/>
      <c r="ABZ13" s="32"/>
      <c r="ACA13" s="32"/>
      <c r="ACB13" s="30"/>
      <c r="ACC13" s="30"/>
      <c r="ACD13" s="31"/>
      <c r="ACE13" s="31"/>
      <c r="ACF13" s="32"/>
      <c r="ACG13" s="32"/>
      <c r="ACH13" s="30"/>
      <c r="ACI13" s="30"/>
      <c r="ACJ13" s="31"/>
      <c r="ACK13" s="31"/>
      <c r="ACL13" s="32"/>
      <c r="ACM13" s="32"/>
      <c r="ACN13" s="30"/>
      <c r="ACO13" s="30"/>
      <c r="ACP13" s="31"/>
      <c r="ACQ13" s="31"/>
      <c r="ACR13" s="32"/>
      <c r="ACS13" s="32"/>
      <c r="ACT13" s="30"/>
      <c r="ACU13" s="30"/>
      <c r="ACV13" s="31"/>
      <c r="ACW13" s="31"/>
      <c r="ACX13" s="32"/>
      <c r="ACY13" s="32"/>
      <c r="ACZ13" s="30"/>
      <c r="ADA13" s="30"/>
      <c r="ADB13" s="31"/>
      <c r="ADC13" s="31"/>
      <c r="ADD13" s="32"/>
      <c r="ADE13" s="32"/>
      <c r="ADF13" s="30"/>
      <c r="ADG13" s="30"/>
      <c r="ADH13" s="31"/>
      <c r="ADI13" s="31"/>
      <c r="ADJ13" s="32"/>
      <c r="ADK13" s="32"/>
      <c r="ADL13" s="30"/>
      <c r="ADM13" s="30"/>
      <c r="ADN13" s="31"/>
      <c r="ADO13" s="31"/>
      <c r="ADP13" s="32"/>
      <c r="ADQ13" s="32"/>
      <c r="ADR13" s="30"/>
      <c r="ADS13" s="30"/>
      <c r="ADT13" s="31"/>
      <c r="ADU13" s="31"/>
      <c r="ADV13" s="32"/>
      <c r="ADW13" s="32"/>
      <c r="ADX13" s="30"/>
      <c r="ADY13" s="30"/>
      <c r="ADZ13" s="31"/>
      <c r="AEA13" s="31"/>
      <c r="AEB13" s="32"/>
      <c r="AEC13" s="32"/>
      <c r="AED13" s="30"/>
      <c r="AEE13" s="30"/>
      <c r="AEF13" s="31"/>
      <c r="AEG13" s="31"/>
      <c r="AEH13" s="32"/>
      <c r="AEI13" s="32"/>
      <c r="AEJ13" s="30"/>
      <c r="AEK13" s="30"/>
      <c r="AEL13" s="31"/>
      <c r="AEM13" s="31"/>
      <c r="AEN13" s="32"/>
      <c r="AEO13" s="32"/>
      <c r="AEP13" s="30"/>
      <c r="AEQ13" s="30"/>
      <c r="AER13" s="31"/>
      <c r="AES13" s="31"/>
      <c r="AET13" s="32"/>
      <c r="AEU13" s="32"/>
      <c r="AEV13" s="30"/>
      <c r="AEW13" s="30"/>
      <c r="AEX13" s="31"/>
      <c r="AEY13" s="31"/>
      <c r="AEZ13" s="32"/>
      <c r="AFA13" s="32"/>
      <c r="AFB13" s="30" t="s">
        <v>185</v>
      </c>
      <c r="AFC13" s="30"/>
      <c r="AFD13" s="31"/>
      <c r="AFE13" s="31"/>
      <c r="AFF13" s="32"/>
      <c r="AFG13" s="32"/>
      <c r="AFH13" s="30"/>
      <c r="AFI13" s="30"/>
      <c r="AFJ13" s="31"/>
      <c r="AFK13" s="31"/>
      <c r="AFL13" s="32"/>
      <c r="AFM13" s="32"/>
      <c r="AFN13" s="30"/>
      <c r="AFO13" s="30"/>
      <c r="AFP13" s="31"/>
      <c r="AFQ13" s="31"/>
      <c r="AFR13" s="32"/>
      <c r="AFS13" s="32"/>
      <c r="AFT13" s="30"/>
      <c r="AFU13" s="30"/>
      <c r="AFV13" s="31"/>
      <c r="AFW13" s="31"/>
      <c r="AFX13" s="32"/>
      <c r="AFY13" s="32"/>
      <c r="AFZ13" s="30"/>
      <c r="AGA13" s="30"/>
      <c r="AGB13" s="31"/>
      <c r="AGC13" s="31"/>
      <c r="AGD13" s="32"/>
      <c r="AGE13" s="32"/>
      <c r="AGF13" s="30"/>
      <c r="AGG13" s="30"/>
      <c r="AGH13" s="31"/>
      <c r="AGI13" s="31"/>
      <c r="AGJ13" s="32"/>
      <c r="AGK13" s="32"/>
      <c r="AGL13" s="30"/>
      <c r="AGM13" s="30"/>
      <c r="AGN13" s="31"/>
      <c r="AGO13" s="31"/>
      <c r="AGP13" s="32"/>
      <c r="AGQ13" s="32"/>
      <c r="AGR13" s="30"/>
      <c r="AGS13" s="30"/>
      <c r="AGT13" s="31"/>
      <c r="AGU13" s="31"/>
      <c r="AGV13" s="32"/>
      <c r="AGW13" s="32"/>
      <c r="AGX13" s="30"/>
      <c r="AGY13" s="30"/>
      <c r="AGZ13" s="31"/>
      <c r="AHA13" s="31"/>
      <c r="AHB13" s="32"/>
      <c r="AHC13" s="32"/>
      <c r="AHD13" s="30"/>
      <c r="AHE13" s="30"/>
      <c r="AHF13" s="31"/>
      <c r="AHG13" s="31"/>
      <c r="AHH13" s="32"/>
      <c r="AHI13" s="32"/>
      <c r="AHJ13" s="30"/>
      <c r="AHK13" s="30"/>
      <c r="AHL13" s="31"/>
      <c r="AHM13" s="31"/>
      <c r="AHN13" s="32"/>
      <c r="AHO13" s="32"/>
      <c r="AHP13" s="30"/>
      <c r="AHQ13" s="30"/>
      <c r="AHR13" s="31"/>
      <c r="AHS13" s="31"/>
      <c r="AHT13" s="32"/>
      <c r="AHU13" s="32"/>
      <c r="AHV13" s="30"/>
      <c r="AHW13" s="30"/>
      <c r="AHX13" s="31"/>
      <c r="AHY13" s="31"/>
      <c r="AHZ13" s="32"/>
      <c r="AIA13" s="32"/>
      <c r="AIB13" s="30"/>
      <c r="AIC13" s="30"/>
      <c r="AID13" s="31"/>
      <c r="AIE13" s="31"/>
      <c r="AIF13" s="32"/>
      <c r="AIG13" s="32"/>
      <c r="AIH13" s="30"/>
      <c r="AII13" s="30"/>
      <c r="AIJ13" s="31"/>
      <c r="AIK13" s="31"/>
      <c r="AIL13" s="32"/>
      <c r="AIM13" s="32"/>
      <c r="AIN13" s="30"/>
      <c r="AIO13" s="30"/>
      <c r="AIP13" s="31"/>
      <c r="AIQ13" s="31"/>
      <c r="AIR13" s="32"/>
      <c r="AIS13" s="32"/>
      <c r="AIT13" s="30"/>
      <c r="AIU13" s="30"/>
      <c r="AIV13" s="31"/>
      <c r="AIW13" s="31"/>
      <c r="AIX13" s="32"/>
      <c r="AIY13" s="32"/>
      <c r="AIZ13" s="30"/>
      <c r="AJA13" s="30"/>
      <c r="AJB13" s="31"/>
      <c r="AJC13" s="31"/>
      <c r="AJD13" s="32"/>
      <c r="AJE13" s="32"/>
      <c r="AJF13" s="30"/>
      <c r="AJG13" s="30"/>
      <c r="AJH13" s="31"/>
      <c r="AJI13" s="31"/>
      <c r="AJJ13" s="32"/>
      <c r="AJK13" s="32"/>
      <c r="AJL13" s="30"/>
      <c r="AJM13" s="30"/>
      <c r="AJN13" s="31"/>
      <c r="AJO13" s="31"/>
      <c r="AJP13" s="32"/>
      <c r="AJQ13" s="32"/>
      <c r="AJR13" s="30"/>
      <c r="AJS13" s="30"/>
      <c r="AJT13" s="31"/>
      <c r="AJU13" s="31"/>
      <c r="AJV13" s="32"/>
      <c r="AJW13" s="32"/>
      <c r="AJX13" s="30"/>
      <c r="AJY13" s="30"/>
      <c r="AJZ13" s="31"/>
      <c r="AKA13" s="31"/>
      <c r="AKB13" s="32"/>
      <c r="AKC13" s="32"/>
      <c r="AKD13" s="30"/>
      <c r="AKE13" s="30"/>
      <c r="AKF13" s="31"/>
      <c r="AKG13" s="31"/>
      <c r="AKH13" s="32"/>
      <c r="AKI13" s="32"/>
      <c r="AKJ13" s="30"/>
      <c r="AKK13" s="30"/>
      <c r="AKL13" s="31"/>
      <c r="AKM13" s="31"/>
      <c r="AKN13" s="32"/>
      <c r="AKO13" s="32"/>
      <c r="AKP13" s="30"/>
      <c r="AKQ13" s="30"/>
      <c r="AKR13" s="31"/>
      <c r="AKS13" s="31"/>
      <c r="AKT13" s="32"/>
      <c r="AKU13" s="32" t="s">
        <v>33</v>
      </c>
      <c r="AKV13" s="30"/>
      <c r="AKW13" s="30"/>
      <c r="AKX13" s="31"/>
      <c r="AKY13" s="31"/>
      <c r="AKZ13" s="32"/>
      <c r="ALA13" s="32"/>
      <c r="ALB13" s="30"/>
      <c r="ALC13" s="30"/>
      <c r="ALD13" s="31"/>
      <c r="ALE13" s="31"/>
      <c r="ALF13" s="32"/>
      <c r="ALG13" s="32"/>
      <c r="ALH13" s="30"/>
      <c r="ALI13" s="30"/>
      <c r="ALJ13" s="31"/>
      <c r="ALK13" s="31"/>
      <c r="ALL13" s="32"/>
      <c r="ALM13" s="32"/>
      <c r="ALN13" s="30"/>
      <c r="ALO13" s="30"/>
      <c r="ALP13" s="31"/>
      <c r="ALQ13" s="31"/>
      <c r="ALR13" s="32"/>
      <c r="ALS13" s="32"/>
      <c r="ALT13" s="30"/>
      <c r="ALU13" s="30"/>
      <c r="ALV13" s="31"/>
      <c r="ALW13" s="31"/>
      <c r="ALX13" s="32"/>
      <c r="ALY13" s="32" t="s">
        <v>314</v>
      </c>
      <c r="ALZ13" s="30"/>
      <c r="AMA13" s="30"/>
      <c r="AMB13" s="31"/>
      <c r="AMC13" s="31"/>
      <c r="AMD13" s="32"/>
      <c r="AME13" s="32"/>
      <c r="AMF13" s="30"/>
      <c r="AMG13" s="30"/>
      <c r="AMH13" s="31"/>
      <c r="AMI13" s="31"/>
      <c r="AMJ13" s="32"/>
      <c r="AMK13" s="32"/>
      <c r="AML13" s="30"/>
      <c r="AMM13" s="30"/>
      <c r="AMN13" s="31"/>
      <c r="AMO13" s="31"/>
      <c r="AMP13" s="32"/>
      <c r="AMQ13" s="32"/>
      <c r="AMR13" s="30"/>
      <c r="AMS13" s="30"/>
      <c r="AMT13" s="31"/>
      <c r="AMU13" s="31"/>
      <c r="AMV13" s="32"/>
      <c r="AMW13" s="32"/>
      <c r="AMX13" s="30"/>
      <c r="AMY13" s="30"/>
      <c r="AMZ13" s="31"/>
      <c r="ANA13" s="31"/>
      <c r="ANB13" s="32"/>
      <c r="ANC13" s="32"/>
      <c r="AND13" s="30"/>
      <c r="ANE13" s="30"/>
      <c r="ANF13" s="31"/>
      <c r="ANG13" s="31"/>
      <c r="ANH13" s="32" t="s">
        <v>69</v>
      </c>
      <c r="ANI13" s="32"/>
      <c r="ANJ13" s="30"/>
      <c r="ANK13" s="30"/>
      <c r="ANL13" s="31"/>
      <c r="ANM13" s="31"/>
      <c r="ANN13" s="32"/>
      <c r="ANO13" s="32"/>
      <c r="ANP13" s="30"/>
      <c r="ANQ13" s="30"/>
      <c r="ANR13" s="33" t="s">
        <v>451</v>
      </c>
      <c r="ANS13" s="31"/>
      <c r="ANT13" s="32"/>
      <c r="ANU13" s="32"/>
      <c r="ANV13" s="30"/>
      <c r="ANW13" s="30"/>
      <c r="ANX13" s="31"/>
      <c r="ANY13" s="31"/>
      <c r="ANZ13" s="32"/>
      <c r="AOA13" s="32"/>
      <c r="AOB13" s="30"/>
      <c r="AOC13" s="30"/>
      <c r="AOD13" s="31"/>
      <c r="AOE13" s="31"/>
      <c r="AOF13" s="32"/>
      <c r="AOG13" s="32"/>
      <c r="AOH13" s="30"/>
      <c r="AOI13" s="30"/>
      <c r="AOJ13" s="31"/>
      <c r="AOK13" s="31"/>
      <c r="AOL13" s="32"/>
      <c r="AOM13" s="32"/>
      <c r="AON13" s="30"/>
      <c r="AOO13" s="30"/>
      <c r="AOP13" s="31"/>
      <c r="AOQ13" s="31"/>
      <c r="AOR13" s="32"/>
      <c r="AOS13" s="32"/>
      <c r="AOT13" s="30"/>
      <c r="AOU13" s="30"/>
      <c r="AOV13" s="31" t="s">
        <v>81</v>
      </c>
      <c r="AOW13" s="31"/>
      <c r="AOX13" s="32"/>
      <c r="AOY13" s="32"/>
      <c r="AOZ13" s="30"/>
      <c r="APA13" s="30"/>
      <c r="APB13" s="31"/>
      <c r="APC13" s="31"/>
      <c r="APD13" s="32"/>
      <c r="APE13" s="32"/>
      <c r="APF13" s="30" t="s">
        <v>619</v>
      </c>
      <c r="APG13" s="30"/>
      <c r="APH13" s="32" t="s">
        <v>620</v>
      </c>
      <c r="API13" s="32"/>
      <c r="APJ13" s="31"/>
      <c r="APK13" s="31"/>
      <c r="APL13" s="30"/>
      <c r="APM13" s="30"/>
      <c r="APN13" s="32"/>
      <c r="APO13" s="32"/>
      <c r="APP13" s="31"/>
      <c r="APQ13" s="31"/>
      <c r="APR13" s="30"/>
      <c r="APS13" s="30"/>
      <c r="APT13" s="32"/>
      <c r="APU13" s="32"/>
      <c r="APV13" s="31"/>
      <c r="APW13" s="31"/>
      <c r="APX13" s="30"/>
      <c r="APY13" s="30"/>
      <c r="APZ13" s="32"/>
      <c r="AQA13" s="32"/>
      <c r="AQB13" s="31"/>
      <c r="AQC13" s="31"/>
      <c r="AQD13" s="30"/>
      <c r="AQE13" s="30"/>
      <c r="AQF13" s="32"/>
      <c r="AQG13" s="32"/>
      <c r="AQH13" s="31"/>
      <c r="AQI13" s="31"/>
      <c r="AQJ13" s="30"/>
      <c r="AQK13" s="30"/>
      <c r="AQL13" s="32" t="s">
        <v>259</v>
      </c>
      <c r="AQM13" s="32"/>
      <c r="AQN13" s="31"/>
      <c r="AQO13" s="31"/>
      <c r="AQP13" s="30"/>
      <c r="AQQ13" s="30"/>
      <c r="AQR13" s="32"/>
      <c r="AQS13" s="32"/>
      <c r="AQT13" s="31"/>
      <c r="AQU13" s="31"/>
      <c r="AQV13" s="30"/>
      <c r="AQW13" s="30"/>
      <c r="AQX13" s="32"/>
      <c r="AQY13" s="32"/>
      <c r="AQZ13" s="31"/>
      <c r="ARA13" s="31"/>
      <c r="ARB13" s="30"/>
      <c r="ARC13" s="30"/>
      <c r="ARD13" s="32"/>
      <c r="ARE13" s="32"/>
      <c r="ARF13" s="31"/>
      <c r="ARG13" s="31"/>
      <c r="ARH13" s="30"/>
      <c r="ARI13" s="30"/>
      <c r="ARJ13" s="32"/>
      <c r="ARK13" s="32"/>
      <c r="ARL13" s="31"/>
      <c r="ARM13" s="31"/>
      <c r="ARN13" s="30"/>
      <c r="ARO13" s="30"/>
      <c r="ARP13" s="32"/>
      <c r="ARQ13" s="32"/>
      <c r="ARR13" s="31"/>
      <c r="ARS13" s="31"/>
      <c r="ART13" s="30"/>
      <c r="ARU13" s="30"/>
      <c r="ARV13" s="32"/>
      <c r="ARW13" s="32"/>
      <c r="ARX13" s="31"/>
      <c r="ARY13" s="31"/>
      <c r="ARZ13" s="30"/>
      <c r="ASA13" s="30"/>
      <c r="ASB13" s="32"/>
      <c r="ASC13" s="32"/>
      <c r="ASD13" s="31"/>
      <c r="ASE13" s="31"/>
      <c r="ASF13" s="30"/>
      <c r="ASG13" s="30"/>
      <c r="ASH13" s="32"/>
      <c r="ASI13" s="32"/>
      <c r="ASJ13" s="31"/>
      <c r="ASK13" s="31"/>
      <c r="ASL13" s="30"/>
      <c r="ASM13" s="30"/>
      <c r="ASN13" s="32"/>
      <c r="ASO13" s="32"/>
      <c r="ASP13" s="31"/>
      <c r="ASQ13" s="31"/>
      <c r="ASR13" s="30"/>
      <c r="ASS13" s="30"/>
      <c r="AST13" s="32"/>
      <c r="ASU13" s="32"/>
      <c r="ASV13" s="31"/>
      <c r="ASW13" s="31"/>
      <c r="ASX13" s="30"/>
      <c r="ASY13" s="30"/>
      <c r="ASZ13" s="32"/>
      <c r="ATA13" s="32"/>
      <c r="ATB13" s="31"/>
      <c r="ATC13" s="31"/>
      <c r="ATD13" s="30"/>
      <c r="ATE13" s="30"/>
      <c r="ATF13" s="32"/>
      <c r="ATG13" s="32"/>
      <c r="ATH13" s="31"/>
      <c r="ATI13" s="31"/>
      <c r="ATJ13" s="30"/>
      <c r="ATK13" s="30"/>
      <c r="ATL13" s="32"/>
      <c r="ATM13" s="32"/>
      <c r="ATN13" s="31"/>
      <c r="ATO13" s="31"/>
      <c r="ATP13" s="30"/>
      <c r="ATQ13" s="30"/>
      <c r="ATR13" s="32"/>
      <c r="ATS13" s="32"/>
      <c r="ATT13" s="31"/>
      <c r="ATU13" s="31"/>
      <c r="ATV13" s="30"/>
      <c r="ATW13" s="30"/>
      <c r="ATX13" s="32"/>
      <c r="ATY13" s="32"/>
      <c r="ATZ13" s="31"/>
      <c r="AUA13" s="31"/>
      <c r="AUB13" s="30"/>
      <c r="AUC13" s="30"/>
      <c r="AUD13" s="32"/>
      <c r="AUE13" s="32"/>
      <c r="AUF13" s="31"/>
      <c r="AUG13" s="31"/>
      <c r="AUH13" s="30"/>
      <c r="AUI13" s="30"/>
      <c r="AUJ13" s="32"/>
      <c r="AUK13" s="32"/>
      <c r="AUL13" s="31"/>
      <c r="AUM13" s="31"/>
      <c r="AUN13" s="30"/>
      <c r="AUO13" s="30"/>
      <c r="AUP13" s="32"/>
      <c r="AUQ13" s="32"/>
      <c r="AUR13" s="31"/>
      <c r="AUS13" s="31"/>
      <c r="AUT13" s="30"/>
      <c r="AUU13" s="30"/>
      <c r="AUV13" s="32"/>
      <c r="AUW13" s="32"/>
      <c r="AUX13" s="31"/>
      <c r="AUY13" s="31"/>
      <c r="AUZ13" s="30"/>
      <c r="AVA13" s="30"/>
      <c r="AVB13" s="32"/>
      <c r="AVC13" s="32"/>
      <c r="AVD13" s="31"/>
      <c r="AVE13" s="31"/>
      <c r="AVF13" s="30"/>
      <c r="AVG13" s="30"/>
      <c r="AVH13" s="32" t="s">
        <v>594</v>
      </c>
      <c r="AVI13" s="32"/>
      <c r="AVJ13" s="31"/>
      <c r="AVK13" s="31"/>
      <c r="AVL13" s="30"/>
      <c r="AVM13" s="30"/>
      <c r="AVN13" s="32"/>
      <c r="AVO13" s="32"/>
      <c r="AVP13" s="31"/>
      <c r="AVQ13" s="31" t="s">
        <v>54</v>
      </c>
      <c r="AVR13" s="30"/>
      <c r="AVS13" s="30"/>
      <c r="AVT13" s="32"/>
      <c r="AVU13" s="32"/>
      <c r="AVV13" s="31" t="s">
        <v>451</v>
      </c>
      <c r="AVW13" s="31"/>
      <c r="AVX13" s="30"/>
      <c r="AVY13" s="30"/>
      <c r="AVZ13" s="32"/>
      <c r="AWA13" s="32"/>
      <c r="AWB13" s="31"/>
      <c r="AWC13" s="31"/>
      <c r="AWD13" s="30"/>
      <c r="AWE13" s="30"/>
      <c r="AWF13" s="32"/>
      <c r="AWG13" s="32"/>
      <c r="AWH13" s="31"/>
      <c r="AWI13" s="31"/>
      <c r="AWJ13" s="30"/>
      <c r="AWK13" s="30"/>
      <c r="AWL13" s="32"/>
      <c r="AWM13" s="32"/>
      <c r="AWN13" s="31"/>
      <c r="AWO13" s="31"/>
      <c r="AWP13" s="30"/>
      <c r="AWQ13" s="30"/>
      <c r="AWR13" s="32"/>
      <c r="AWS13" s="32"/>
      <c r="AWT13" s="31"/>
      <c r="AWU13" s="31"/>
      <c r="AWV13" s="30"/>
      <c r="AWW13" s="30"/>
      <c r="AWX13" s="32"/>
      <c r="AWY13" s="32"/>
      <c r="AWZ13" s="31"/>
      <c r="AXA13" s="31"/>
      <c r="AXB13" s="30"/>
      <c r="AXC13" s="30"/>
      <c r="AXD13" s="32"/>
      <c r="AXE13" s="32"/>
      <c r="AXF13" s="31"/>
      <c r="AXG13" s="31"/>
      <c r="AXH13" s="30"/>
      <c r="AXI13" s="30"/>
      <c r="AXJ13" s="32"/>
      <c r="AXK13" s="32"/>
      <c r="AXL13" s="31"/>
      <c r="AXM13" s="31"/>
      <c r="AXN13" s="30"/>
      <c r="AXO13" s="30"/>
      <c r="AXP13" s="32"/>
      <c r="AXQ13" s="32"/>
      <c r="AXR13" s="31"/>
      <c r="AXS13" s="31"/>
      <c r="AXT13" s="30"/>
      <c r="AXU13" s="30"/>
      <c r="AXV13" s="32"/>
      <c r="AXW13" s="32"/>
      <c r="AXX13" s="31"/>
      <c r="AXY13" s="31"/>
      <c r="AXZ13" s="30"/>
      <c r="AYA13" s="30"/>
      <c r="AYB13" s="32"/>
      <c r="AYC13" s="32"/>
      <c r="AYD13" s="31"/>
      <c r="AYE13" s="31"/>
      <c r="AYF13" s="30"/>
      <c r="AYG13" s="30"/>
      <c r="AYH13" s="32"/>
      <c r="AYI13" s="32"/>
      <c r="AYJ13" s="31"/>
      <c r="AYK13" s="31"/>
      <c r="AYL13" s="30"/>
      <c r="AYM13" s="30"/>
      <c r="AYN13" s="32"/>
      <c r="AYO13" s="32"/>
      <c r="AYP13" s="31"/>
      <c r="AYQ13" s="31"/>
      <c r="AYR13" s="30"/>
      <c r="AYS13" s="30"/>
      <c r="AYT13" s="32"/>
      <c r="AYU13" s="32"/>
      <c r="AYV13" s="31"/>
      <c r="AYW13" s="31"/>
      <c r="AYX13" s="30"/>
      <c r="AYY13" s="30"/>
      <c r="AYZ13" s="32"/>
      <c r="AZA13" s="32"/>
      <c r="AZB13" s="31"/>
      <c r="AZC13" s="31"/>
      <c r="AZD13" s="30"/>
      <c r="AZE13" s="30"/>
      <c r="AZF13" s="32"/>
      <c r="AZG13" s="32"/>
      <c r="AZH13" s="31"/>
      <c r="AZI13" s="31"/>
      <c r="AZJ13" s="30"/>
      <c r="AZK13" s="30"/>
      <c r="AZL13" s="32"/>
      <c r="AZM13" s="32"/>
      <c r="AZN13" s="31"/>
      <c r="AZO13" s="31"/>
      <c r="AZP13" s="30"/>
      <c r="AZQ13" s="30"/>
      <c r="AZR13" s="32"/>
      <c r="AZS13" s="32"/>
      <c r="AZT13" s="31"/>
      <c r="AZU13" s="31"/>
      <c r="AZV13" s="30"/>
      <c r="AZW13" s="30"/>
      <c r="AZX13" s="32"/>
      <c r="AZY13" s="32"/>
      <c r="AZZ13" s="31"/>
      <c r="BAA13" s="31"/>
      <c r="BAB13" s="30"/>
      <c r="BAC13" s="30"/>
      <c r="BAD13" s="32"/>
      <c r="BAE13" s="32"/>
      <c r="BAF13" s="31"/>
      <c r="BAG13" s="31"/>
      <c r="BAH13" s="30"/>
      <c r="BAI13" s="30"/>
      <c r="BAJ13" s="32"/>
      <c r="BAK13" s="32"/>
      <c r="BAL13" s="31"/>
      <c r="BAM13" s="31"/>
      <c r="BAN13" s="30"/>
      <c r="BAO13" s="30"/>
      <c r="BAP13" s="32"/>
      <c r="BAQ13" s="32"/>
      <c r="BAR13" s="31"/>
      <c r="BAS13" s="31"/>
      <c r="BAT13" s="30"/>
      <c r="BAU13" s="30"/>
      <c r="BAV13" s="32"/>
      <c r="BAW13" s="32"/>
      <c r="BAX13" s="31"/>
      <c r="BAY13" s="31"/>
      <c r="BAZ13" s="30"/>
      <c r="BBA13" s="30"/>
      <c r="BBB13" s="32"/>
      <c r="BBC13" s="32"/>
      <c r="BBD13" s="31"/>
      <c r="BBE13" s="31"/>
      <c r="BBF13" s="30"/>
      <c r="BBG13" s="30"/>
      <c r="BBH13" s="32"/>
      <c r="BBI13" s="32"/>
      <c r="BBJ13" s="31"/>
      <c r="BBK13" s="31"/>
      <c r="BBL13" s="30"/>
      <c r="BBM13" s="30"/>
      <c r="BBN13" s="32"/>
      <c r="BBO13" s="32"/>
      <c r="BBP13" s="31"/>
      <c r="BBQ13" s="31"/>
      <c r="BBR13" s="30"/>
      <c r="BBS13" s="30"/>
      <c r="BBT13" s="32"/>
      <c r="BBU13" s="32"/>
      <c r="BBV13" s="31"/>
      <c r="BBW13" s="31"/>
      <c r="BBX13" s="30"/>
      <c r="BBY13" s="30"/>
      <c r="BBZ13" s="32"/>
      <c r="BCA13" s="32"/>
      <c r="BCB13" s="31"/>
      <c r="BCC13" s="31"/>
      <c r="BCD13" s="30"/>
      <c r="BCE13" s="30"/>
      <c r="BCF13" s="32"/>
      <c r="BCG13" s="32"/>
      <c r="BCH13" s="31"/>
      <c r="BCI13" s="31"/>
      <c r="BCJ13" s="30"/>
      <c r="BCK13" s="30"/>
      <c r="BCL13" s="32"/>
      <c r="BCM13" s="32"/>
      <c r="BCN13" s="31"/>
      <c r="BCO13" s="31"/>
      <c r="BCP13" s="30"/>
      <c r="BCQ13" s="30"/>
    </row>
    <row r="14" spans="1:1447">
      <c r="A14" s="30"/>
      <c r="B14" s="30"/>
      <c r="C14" s="31"/>
      <c r="D14" s="31"/>
      <c r="E14" s="32"/>
      <c r="F14" s="32"/>
      <c r="G14" s="30"/>
      <c r="H14" s="30"/>
      <c r="I14" s="31"/>
      <c r="J14" s="31"/>
      <c r="K14" s="32"/>
      <c r="L14" s="32"/>
      <c r="M14" s="30"/>
      <c r="N14" s="30"/>
      <c r="O14" s="31"/>
      <c r="P14" s="31"/>
      <c r="Q14" s="32"/>
      <c r="R14" s="32"/>
      <c r="S14" s="30"/>
      <c r="T14" s="30"/>
      <c r="U14" s="31"/>
      <c r="V14" s="31"/>
      <c r="W14" s="32"/>
      <c r="X14" s="32"/>
      <c r="Y14" s="30"/>
      <c r="Z14" s="30"/>
      <c r="AA14" s="31"/>
      <c r="AB14" s="31"/>
      <c r="AC14" s="32"/>
      <c r="AD14" s="32"/>
      <c r="AE14" s="30"/>
      <c r="AF14" s="30"/>
      <c r="AG14" s="31"/>
      <c r="AH14" s="31"/>
      <c r="AI14" s="32"/>
      <c r="AJ14" s="32"/>
      <c r="AK14" s="30"/>
      <c r="AL14" s="30"/>
      <c r="AM14" s="31"/>
      <c r="AN14" s="31"/>
      <c r="AO14" s="32"/>
      <c r="AP14" s="32"/>
      <c r="AQ14" s="30"/>
      <c r="AR14" s="30"/>
      <c r="AS14" s="31"/>
      <c r="AT14" s="31"/>
      <c r="AU14" s="32"/>
      <c r="AV14" s="32"/>
      <c r="AW14" s="30"/>
      <c r="AX14" s="30"/>
      <c r="AY14" s="31"/>
      <c r="AZ14" s="31"/>
      <c r="BA14" s="32"/>
      <c r="BB14" s="32"/>
      <c r="BC14" s="30"/>
      <c r="BD14" s="30"/>
      <c r="BE14" s="31"/>
      <c r="BF14" s="31"/>
      <c r="BG14" s="32"/>
      <c r="BH14" s="32"/>
      <c r="BI14" s="30"/>
      <c r="BJ14" s="30"/>
      <c r="BK14" s="31"/>
      <c r="BL14" s="31"/>
      <c r="BM14" s="32"/>
      <c r="BN14" s="32"/>
      <c r="BO14" s="30"/>
      <c r="BP14" s="30"/>
      <c r="BQ14" s="31"/>
      <c r="BR14" s="31"/>
      <c r="BS14" s="32"/>
      <c r="BT14" s="32"/>
      <c r="BU14" s="30"/>
      <c r="BV14" s="30"/>
      <c r="BW14" s="31"/>
      <c r="BX14" s="31"/>
      <c r="BY14" s="32"/>
      <c r="BZ14" s="32"/>
      <c r="CA14" s="30"/>
      <c r="CB14" s="30"/>
      <c r="CC14" s="31"/>
      <c r="CD14" s="31"/>
      <c r="CE14" s="32"/>
      <c r="CF14" s="32"/>
      <c r="CG14" s="30"/>
      <c r="CH14" s="30"/>
      <c r="CI14" s="31"/>
      <c r="CJ14" s="31"/>
      <c r="CK14" s="32"/>
      <c r="CL14" s="32"/>
      <c r="CM14" s="30"/>
      <c r="CN14" s="30"/>
      <c r="CO14" s="31"/>
      <c r="CP14" s="31"/>
      <c r="CQ14" s="32"/>
      <c r="CR14" s="32"/>
      <c r="CS14" s="30"/>
      <c r="CT14" s="30"/>
      <c r="CU14" s="31"/>
      <c r="CV14" s="31"/>
      <c r="CW14" s="32"/>
      <c r="CX14" s="32"/>
      <c r="CY14" s="30"/>
      <c r="CZ14" s="30"/>
      <c r="DA14" s="31"/>
      <c r="DB14" s="31"/>
      <c r="DC14" s="32"/>
      <c r="DD14" s="32"/>
      <c r="DE14" s="30"/>
      <c r="DF14" s="30"/>
      <c r="DG14" s="31"/>
      <c r="DH14" s="31"/>
      <c r="DI14" s="32"/>
      <c r="DJ14" s="32"/>
      <c r="DK14" s="30"/>
      <c r="DL14" s="30"/>
      <c r="DM14" s="31"/>
      <c r="DN14" s="31"/>
      <c r="DO14" s="32"/>
      <c r="DP14" s="32"/>
      <c r="DQ14" s="30"/>
      <c r="DR14" s="30"/>
      <c r="DS14" s="31"/>
      <c r="DT14" s="31"/>
      <c r="DU14" s="32"/>
      <c r="DV14" s="32"/>
      <c r="DW14" s="30"/>
      <c r="DX14" s="30"/>
      <c r="DY14" s="31"/>
      <c r="DZ14" s="31"/>
      <c r="EA14" s="32"/>
      <c r="EB14" s="32"/>
      <c r="EC14" s="30"/>
      <c r="ED14" s="30"/>
      <c r="EE14" s="31"/>
      <c r="EF14" s="31"/>
      <c r="EG14" s="32"/>
      <c r="EH14" s="32"/>
      <c r="EI14" s="30"/>
      <c r="EJ14" s="30"/>
      <c r="EK14" s="31"/>
      <c r="EL14" s="31"/>
      <c r="EM14" s="32"/>
      <c r="EN14" s="32"/>
      <c r="EO14" s="30"/>
      <c r="EP14" s="30"/>
      <c r="EQ14" s="31"/>
      <c r="ER14" s="31"/>
      <c r="ES14" s="32"/>
      <c r="ET14" s="32"/>
      <c r="EU14" s="30"/>
      <c r="EV14" s="30"/>
      <c r="EW14" s="31"/>
      <c r="EX14" s="31"/>
      <c r="EY14" s="32"/>
      <c r="EZ14" s="32"/>
      <c r="FA14" s="30"/>
      <c r="FB14" s="30"/>
      <c r="FC14" s="31"/>
      <c r="FD14" s="31"/>
      <c r="FE14" s="32"/>
      <c r="FF14" s="32"/>
      <c r="FG14" s="30"/>
      <c r="FH14" s="30"/>
      <c r="FI14" s="32"/>
      <c r="FJ14" s="32"/>
      <c r="FK14" s="30" t="s">
        <v>46</v>
      </c>
      <c r="FL14" s="30"/>
      <c r="FM14" s="31"/>
      <c r="FN14" s="31"/>
      <c r="FO14" s="32"/>
      <c r="FP14" s="32"/>
      <c r="FQ14" s="30"/>
      <c r="FR14" s="30"/>
      <c r="FS14" s="31"/>
      <c r="FT14" s="31"/>
      <c r="FU14" s="32"/>
      <c r="FV14" s="32"/>
      <c r="FW14" s="30"/>
      <c r="FX14" s="30"/>
      <c r="FY14" s="31"/>
      <c r="FZ14" s="31"/>
      <c r="GA14" s="32"/>
      <c r="GB14" s="32"/>
      <c r="GC14" s="30"/>
      <c r="GD14" s="30"/>
      <c r="GE14" s="31"/>
      <c r="GF14" s="31"/>
      <c r="GG14" s="32"/>
      <c r="GH14" s="32"/>
      <c r="GI14" s="30"/>
      <c r="GJ14" s="30"/>
      <c r="GK14" s="31"/>
      <c r="GL14" s="31"/>
      <c r="GM14" s="32"/>
      <c r="GN14" s="32"/>
      <c r="GO14" s="30"/>
      <c r="GP14" s="30"/>
      <c r="GQ14" s="31"/>
      <c r="GR14" s="31"/>
      <c r="GS14" s="32"/>
      <c r="GT14" s="32"/>
      <c r="GU14" s="30"/>
      <c r="GV14" s="30"/>
      <c r="GW14" s="31"/>
      <c r="GX14" s="31"/>
      <c r="GY14" s="32"/>
      <c r="GZ14" s="32"/>
      <c r="HA14" s="30"/>
      <c r="HB14" s="30"/>
      <c r="HC14" s="31"/>
      <c r="HD14" s="31"/>
      <c r="HE14" s="32"/>
      <c r="HF14" s="32"/>
      <c r="HG14" s="30"/>
      <c r="HH14" s="30"/>
      <c r="HI14" s="31"/>
      <c r="HJ14" s="31"/>
      <c r="HK14" s="32"/>
      <c r="HL14" s="32"/>
      <c r="HM14" s="30"/>
      <c r="HN14" s="30"/>
      <c r="HO14" s="31"/>
      <c r="HP14" s="31"/>
      <c r="HQ14" s="32"/>
      <c r="HR14" s="32"/>
      <c r="HS14" s="30"/>
      <c r="HT14" s="30"/>
      <c r="HU14" s="31"/>
      <c r="HV14" s="31"/>
      <c r="HW14" s="32"/>
      <c r="HX14" s="32"/>
      <c r="HY14" s="30"/>
      <c r="HZ14" s="30"/>
      <c r="IA14" s="31"/>
      <c r="IB14" s="31"/>
      <c r="IC14" s="32"/>
      <c r="ID14" s="32"/>
      <c r="IE14" s="30"/>
      <c r="IF14" s="30"/>
      <c r="IG14" s="31"/>
      <c r="IH14" s="31"/>
      <c r="II14" s="32"/>
      <c r="IJ14" s="32"/>
      <c r="IK14" s="30"/>
      <c r="IL14" s="30"/>
      <c r="IM14" s="31"/>
      <c r="IN14" s="31"/>
      <c r="IO14" s="32"/>
      <c r="IP14" s="32"/>
      <c r="IQ14" s="30"/>
      <c r="IR14" s="30"/>
      <c r="IS14" s="31"/>
      <c r="IT14" s="31"/>
      <c r="IU14" s="32"/>
      <c r="IV14" s="32"/>
      <c r="IW14" s="30"/>
      <c r="IX14" s="30"/>
      <c r="IY14" s="31"/>
      <c r="IZ14" s="31"/>
      <c r="JA14" s="32"/>
      <c r="JB14" s="32"/>
      <c r="JC14" s="30"/>
      <c r="JD14" s="30"/>
      <c r="JE14" s="31"/>
      <c r="JF14" s="31"/>
      <c r="JG14" s="32"/>
      <c r="JH14" s="32"/>
      <c r="JI14" s="30"/>
      <c r="JJ14" s="30"/>
      <c r="JK14" s="31"/>
      <c r="JL14" s="31"/>
      <c r="JM14" s="32"/>
      <c r="JN14" s="32"/>
      <c r="JO14" s="30"/>
      <c r="JP14" s="30"/>
      <c r="JQ14" s="31"/>
      <c r="JR14" s="31"/>
      <c r="JS14" s="32"/>
      <c r="JT14" s="32"/>
      <c r="JU14" s="30"/>
      <c r="JV14" s="30"/>
      <c r="JW14" s="31"/>
      <c r="JX14" s="31"/>
      <c r="JY14" s="32"/>
      <c r="JZ14" s="33" t="s">
        <v>41</v>
      </c>
      <c r="KA14" s="30"/>
      <c r="KB14" s="30"/>
      <c r="KC14" s="31"/>
      <c r="KD14" s="31"/>
      <c r="KE14" s="32"/>
      <c r="KF14" s="32"/>
      <c r="KG14" s="30"/>
      <c r="KH14" s="30"/>
      <c r="KI14" s="31"/>
      <c r="KJ14" s="31"/>
      <c r="KK14" s="32"/>
      <c r="KL14" s="32" t="s">
        <v>451</v>
      </c>
      <c r="KM14" s="30"/>
      <c r="KN14" s="30"/>
      <c r="KO14" s="31"/>
      <c r="KP14" s="31"/>
      <c r="KQ14" s="32" t="s">
        <v>173</v>
      </c>
      <c r="KR14" s="32"/>
      <c r="KS14" s="30"/>
      <c r="KT14" s="30"/>
      <c r="KU14" s="31"/>
      <c r="KV14" s="31"/>
      <c r="KW14" s="32"/>
      <c r="KX14" s="32"/>
      <c r="KY14" s="30"/>
      <c r="KZ14" s="30" t="s">
        <v>102</v>
      </c>
      <c r="LA14" s="31"/>
      <c r="LB14" s="31"/>
      <c r="LC14" s="32"/>
      <c r="LD14" s="32"/>
      <c r="LE14" s="30"/>
      <c r="LF14" s="30"/>
      <c r="LG14" s="31"/>
      <c r="LH14" s="31"/>
      <c r="LI14" s="32"/>
      <c r="LJ14" s="32"/>
      <c r="LK14" s="30"/>
      <c r="LL14" s="30"/>
      <c r="LM14" s="31"/>
      <c r="LN14" s="31"/>
      <c r="LO14" s="32"/>
      <c r="LP14" s="32"/>
      <c r="LQ14" s="30"/>
      <c r="LR14" s="33" t="s">
        <v>102</v>
      </c>
      <c r="LS14" s="31"/>
      <c r="LT14" s="31"/>
      <c r="LU14" s="32"/>
      <c r="LV14" s="32"/>
      <c r="LW14" s="30"/>
      <c r="LX14" s="30"/>
      <c r="LY14" s="31"/>
      <c r="LZ14" s="31"/>
      <c r="MA14" s="32"/>
      <c r="MB14" s="32"/>
      <c r="MC14" s="33" t="s">
        <v>594</v>
      </c>
      <c r="MD14" s="30"/>
      <c r="ME14" s="31"/>
      <c r="MF14" s="31"/>
      <c r="MG14" s="32"/>
      <c r="MH14" s="32"/>
      <c r="MI14" s="30"/>
      <c r="MJ14" s="30"/>
      <c r="MK14" s="31"/>
      <c r="ML14" s="31"/>
      <c r="MM14" s="32"/>
      <c r="MN14" s="32"/>
      <c r="MO14" s="30"/>
      <c r="MP14" s="30" t="s">
        <v>600</v>
      </c>
      <c r="MQ14" s="31"/>
      <c r="MR14" s="31"/>
      <c r="MS14" s="32"/>
      <c r="MT14" s="32"/>
      <c r="MU14" s="30" t="s">
        <v>368</v>
      </c>
      <c r="MV14" s="30"/>
      <c r="MW14" s="31"/>
      <c r="MX14" s="31"/>
      <c r="MY14" s="32"/>
      <c r="MZ14" s="32"/>
      <c r="NA14" s="30"/>
      <c r="NB14" s="30"/>
      <c r="NC14" s="31"/>
      <c r="ND14" s="31"/>
      <c r="NE14" s="32"/>
      <c r="NF14" s="32"/>
      <c r="NG14" s="30"/>
      <c r="NH14" s="30"/>
      <c r="NI14" s="31"/>
      <c r="NJ14" s="31"/>
      <c r="NK14" s="32"/>
      <c r="NL14" s="32"/>
      <c r="NM14" s="30"/>
      <c r="NN14" s="30"/>
      <c r="NO14" s="31"/>
      <c r="NP14" s="31"/>
      <c r="NQ14" s="32"/>
      <c r="NR14" s="32"/>
      <c r="NS14" s="30"/>
      <c r="NT14" s="30"/>
      <c r="NU14" s="31"/>
      <c r="NV14" s="31"/>
      <c r="NW14" s="32"/>
      <c r="NX14" s="32"/>
      <c r="NY14" s="30"/>
      <c r="NZ14" s="30"/>
      <c r="OA14" s="31"/>
      <c r="OB14" s="31"/>
      <c r="OC14" s="32"/>
      <c r="OD14" s="32"/>
      <c r="OE14" s="30"/>
      <c r="OF14" s="30"/>
      <c r="OG14" s="31"/>
      <c r="OH14" s="31"/>
      <c r="OI14" s="32"/>
      <c r="OJ14" s="32"/>
      <c r="OK14" s="30"/>
      <c r="OL14" s="30"/>
      <c r="OM14" s="31"/>
      <c r="ON14" s="31"/>
      <c r="OO14" s="32"/>
      <c r="OP14" s="32"/>
      <c r="OQ14" s="30"/>
      <c r="OR14" s="30"/>
      <c r="OS14" s="31"/>
      <c r="OT14" s="31"/>
      <c r="OU14" s="32"/>
      <c r="OV14" s="32"/>
      <c r="OW14" s="30"/>
      <c r="OX14" s="30"/>
      <c r="OY14" s="31"/>
      <c r="OZ14" s="31"/>
      <c r="PA14" s="32"/>
      <c r="PB14" s="32"/>
      <c r="PC14" s="30"/>
      <c r="PD14" s="30"/>
      <c r="PE14" s="31"/>
      <c r="PF14" s="31"/>
      <c r="PG14" s="32"/>
      <c r="PH14" s="32"/>
      <c r="PI14" s="30"/>
      <c r="PJ14" s="30"/>
      <c r="PK14" s="31"/>
      <c r="PL14" s="31"/>
      <c r="PM14" s="32"/>
      <c r="PN14" s="32"/>
      <c r="PO14" s="30"/>
      <c r="PP14" s="30"/>
      <c r="PQ14" s="31"/>
      <c r="PR14" s="31"/>
      <c r="PS14" s="32"/>
      <c r="PT14" s="32"/>
      <c r="PU14" s="30"/>
      <c r="PV14" s="30"/>
      <c r="PW14" s="31"/>
      <c r="PX14" s="31"/>
      <c r="PY14" s="32"/>
      <c r="PZ14" s="32"/>
      <c r="QA14" s="30"/>
      <c r="QB14" s="30"/>
      <c r="QC14" s="31"/>
      <c r="QD14" s="31"/>
      <c r="QE14" s="32"/>
      <c r="QF14" s="32"/>
      <c r="QG14" s="30"/>
      <c r="QH14" s="30"/>
      <c r="QI14" s="31"/>
      <c r="QJ14" s="31"/>
      <c r="QK14" s="32"/>
      <c r="QL14" s="32"/>
      <c r="QM14" s="30"/>
      <c r="QN14" s="30"/>
      <c r="QO14" s="31"/>
      <c r="QP14" s="31"/>
      <c r="QQ14" s="32" t="s">
        <v>46</v>
      </c>
      <c r="QR14" s="32"/>
      <c r="QS14" s="30"/>
      <c r="QT14" s="30"/>
      <c r="QU14" s="31"/>
      <c r="QV14" s="31"/>
      <c r="QW14" s="32"/>
      <c r="QX14" s="32"/>
      <c r="QY14" s="30"/>
      <c r="QZ14" s="30"/>
      <c r="RA14" s="31"/>
      <c r="RB14" s="31"/>
      <c r="RC14" s="32"/>
      <c r="RD14" s="32"/>
      <c r="RE14" s="30"/>
      <c r="RF14" s="30"/>
      <c r="RG14" s="31"/>
      <c r="RH14" s="31"/>
      <c r="RI14" s="32"/>
      <c r="RJ14" s="32"/>
      <c r="RK14" s="30"/>
      <c r="RL14" s="30"/>
      <c r="RM14" s="31"/>
      <c r="RN14" s="31"/>
      <c r="RO14" s="32"/>
      <c r="RP14" s="32"/>
      <c r="RQ14" s="30"/>
      <c r="RR14" s="30"/>
      <c r="RS14" s="31"/>
      <c r="RT14" s="31"/>
      <c r="RU14" s="32"/>
      <c r="RV14" s="32"/>
      <c r="RW14" s="30"/>
      <c r="RX14" s="30"/>
      <c r="RY14" s="31"/>
      <c r="RZ14" s="31"/>
      <c r="SA14" s="32"/>
      <c r="SB14" s="32"/>
      <c r="SC14" s="30"/>
      <c r="SD14" s="30"/>
      <c r="SE14" s="31"/>
      <c r="SF14" s="31"/>
      <c r="SG14" s="32"/>
      <c r="SH14" s="32"/>
      <c r="SI14" s="30"/>
      <c r="SJ14" s="30"/>
      <c r="SK14" s="30"/>
      <c r="SL14" s="31"/>
      <c r="SM14" s="31"/>
      <c r="SN14" s="32"/>
      <c r="SO14" s="32"/>
      <c r="SP14" s="30"/>
      <c r="SQ14" s="30"/>
      <c r="SR14" s="31"/>
      <c r="SS14" s="31"/>
      <c r="ST14" s="32"/>
      <c r="SU14" s="32"/>
      <c r="SV14" s="30"/>
      <c r="SW14" s="30"/>
      <c r="SX14" s="31"/>
      <c r="SY14" s="31"/>
      <c r="SZ14" s="32"/>
      <c r="TA14" s="32"/>
      <c r="TB14" s="30"/>
      <c r="TC14" s="30"/>
      <c r="TD14" s="31"/>
      <c r="TE14" s="31"/>
      <c r="TF14" s="32"/>
      <c r="TG14" s="32"/>
      <c r="TH14" s="30"/>
      <c r="TI14" s="30"/>
      <c r="TJ14" s="31"/>
      <c r="TK14" s="31"/>
      <c r="TL14" s="32"/>
      <c r="TM14" s="32"/>
      <c r="TN14" s="30"/>
      <c r="TO14" s="30"/>
      <c r="TP14" s="31"/>
      <c r="TQ14" s="31" t="s">
        <v>599</v>
      </c>
      <c r="TR14" s="32"/>
      <c r="TS14" s="32"/>
      <c r="TT14" s="30"/>
      <c r="TU14" s="30"/>
      <c r="TV14" s="31" t="s">
        <v>94</v>
      </c>
      <c r="TW14" s="31"/>
      <c r="TX14" s="32"/>
      <c r="TY14" s="32"/>
      <c r="TZ14" s="30"/>
      <c r="UA14" s="30"/>
      <c r="UB14" s="31"/>
      <c r="UC14" s="31"/>
      <c r="UD14" s="32"/>
      <c r="UE14" s="32"/>
      <c r="UF14" s="30"/>
      <c r="UG14" s="30"/>
      <c r="UH14" s="31"/>
      <c r="UI14" s="31"/>
      <c r="UJ14" s="39" t="s">
        <v>81</v>
      </c>
      <c r="UK14" s="32"/>
      <c r="UL14" s="30"/>
      <c r="UM14" s="30"/>
      <c r="UN14" s="31"/>
      <c r="UO14" s="31"/>
      <c r="UP14" s="32"/>
      <c r="UQ14" s="32"/>
      <c r="UR14" s="30"/>
      <c r="US14" s="30"/>
      <c r="UT14" s="31"/>
      <c r="UU14" s="31"/>
      <c r="UV14" s="32"/>
      <c r="UW14" s="32"/>
      <c r="UX14" s="30"/>
      <c r="UY14" s="30"/>
      <c r="UZ14" s="31"/>
      <c r="VA14" s="31"/>
      <c r="VB14" s="32"/>
      <c r="VC14" s="32"/>
      <c r="VD14" s="30"/>
      <c r="VE14" s="30"/>
      <c r="VF14" s="31"/>
      <c r="VG14" s="31"/>
      <c r="VH14" s="32"/>
      <c r="VI14" s="32"/>
      <c r="VJ14" s="30"/>
      <c r="VK14" s="30"/>
      <c r="VL14" s="31"/>
      <c r="VM14" s="31"/>
      <c r="VN14" s="32"/>
      <c r="VO14" s="32"/>
      <c r="VP14" s="30"/>
      <c r="VQ14" s="30"/>
      <c r="VR14" s="31"/>
      <c r="VS14" s="31"/>
      <c r="VT14" s="32"/>
      <c r="VU14" s="32"/>
      <c r="VV14" s="30"/>
      <c r="VW14" s="30"/>
      <c r="VX14" s="31"/>
      <c r="VY14" s="31"/>
      <c r="VZ14" s="32"/>
      <c r="WA14" s="32"/>
      <c r="WB14" s="30"/>
      <c r="WC14" s="30"/>
      <c r="WD14" s="31"/>
      <c r="WE14" s="31"/>
      <c r="WF14" s="32"/>
      <c r="WG14" s="32"/>
      <c r="WH14" s="30"/>
      <c r="WI14" s="30"/>
      <c r="WJ14" s="31"/>
      <c r="WK14" s="31"/>
      <c r="WL14" s="32"/>
      <c r="WM14" s="32"/>
      <c r="WN14" s="30"/>
      <c r="WO14" s="30"/>
      <c r="WP14" s="31"/>
      <c r="WQ14" s="31"/>
      <c r="WR14" s="32"/>
      <c r="WS14" s="32"/>
      <c r="WT14" s="30"/>
      <c r="WU14" s="30"/>
      <c r="WV14" s="31"/>
      <c r="WW14" s="31"/>
      <c r="WX14" s="32"/>
      <c r="WY14" s="32"/>
      <c r="WZ14" s="30"/>
      <c r="XA14" s="30"/>
      <c r="XB14" s="31"/>
      <c r="XC14" s="31"/>
      <c r="XD14" s="32"/>
      <c r="XE14" s="32"/>
      <c r="XF14" s="30"/>
      <c r="XG14" s="30"/>
      <c r="XH14" s="31"/>
      <c r="XI14" s="31"/>
      <c r="XJ14" s="32"/>
      <c r="XK14" s="32"/>
      <c r="XL14" s="30"/>
      <c r="XM14" s="30"/>
      <c r="XN14" s="31"/>
      <c r="XO14" s="31"/>
      <c r="XP14" s="32"/>
      <c r="XQ14" s="32"/>
      <c r="XR14" s="30"/>
      <c r="XS14" s="30"/>
      <c r="XT14" s="31"/>
      <c r="XU14" s="31"/>
      <c r="XV14" s="32"/>
      <c r="XW14" s="32"/>
      <c r="XX14" s="30"/>
      <c r="XY14" s="30"/>
      <c r="XZ14" s="31"/>
      <c r="YA14" s="31"/>
      <c r="YB14" s="32"/>
      <c r="YC14" s="32"/>
      <c r="YD14" s="30"/>
      <c r="YE14" s="30"/>
      <c r="YF14" s="31"/>
      <c r="YG14" s="31"/>
      <c r="YH14" s="32"/>
      <c r="YI14" s="32"/>
      <c r="YJ14" s="30"/>
      <c r="YK14" s="30"/>
      <c r="YL14" s="31"/>
      <c r="YM14" s="31"/>
      <c r="YN14" s="32"/>
      <c r="YO14" s="32"/>
      <c r="YP14" s="30"/>
      <c r="YQ14" s="30"/>
      <c r="YR14" s="31"/>
      <c r="YS14" s="31"/>
      <c r="YT14" s="32"/>
      <c r="YU14" s="32"/>
      <c r="YV14" s="30"/>
      <c r="YW14" s="30"/>
      <c r="YX14" s="31"/>
      <c r="YY14" s="31"/>
      <c r="YZ14" s="32"/>
      <c r="ZA14" s="32"/>
      <c r="ZB14" s="30"/>
      <c r="ZC14" s="30"/>
      <c r="ZD14" s="31"/>
      <c r="ZE14" s="31"/>
      <c r="ZF14" s="32"/>
      <c r="ZG14" s="32"/>
      <c r="ZH14" s="30"/>
      <c r="ZI14" s="30"/>
      <c r="ZJ14" s="31"/>
      <c r="ZK14" s="31"/>
      <c r="ZL14" s="32"/>
      <c r="ZM14" s="32"/>
      <c r="ZN14" s="30"/>
      <c r="ZO14" s="30"/>
      <c r="ZP14" s="31"/>
      <c r="ZQ14" s="31"/>
      <c r="ZR14" s="32"/>
      <c r="ZS14" s="32"/>
      <c r="ZT14" s="30"/>
      <c r="ZU14" s="30"/>
      <c r="ZV14" s="31"/>
      <c r="ZW14" s="31"/>
      <c r="ZX14" s="32"/>
      <c r="ZY14" s="32"/>
      <c r="ZZ14" s="30"/>
      <c r="AAA14" s="30"/>
      <c r="AAB14" s="31"/>
      <c r="AAC14" s="31"/>
      <c r="AAD14" s="32"/>
      <c r="AAE14" s="32"/>
      <c r="AAF14" s="30"/>
      <c r="AAG14" s="30"/>
      <c r="AAH14" s="31"/>
      <c r="AAI14" s="31"/>
      <c r="AAJ14" s="32"/>
      <c r="AAK14" s="32"/>
      <c r="AAL14" s="30"/>
      <c r="AAM14" s="30"/>
      <c r="AAN14" s="31"/>
      <c r="AAO14" s="31"/>
      <c r="AAP14" s="32"/>
      <c r="AAQ14" s="32"/>
      <c r="AAR14" s="30"/>
      <c r="AAS14" s="30"/>
      <c r="AAT14" s="31"/>
      <c r="AAU14" s="31"/>
      <c r="AAV14" s="32"/>
      <c r="AAW14" s="32"/>
      <c r="AAX14" s="30"/>
      <c r="AAY14" s="30"/>
      <c r="AAZ14" s="31"/>
      <c r="ABA14" s="31"/>
      <c r="ABB14" s="32"/>
      <c r="ABC14" s="32"/>
      <c r="ABD14" s="30"/>
      <c r="ABE14" s="30"/>
      <c r="ABF14" s="31"/>
      <c r="ABG14" s="31"/>
      <c r="ABH14" s="32"/>
      <c r="ABI14" s="32"/>
      <c r="ABJ14" s="30"/>
      <c r="ABK14" s="30"/>
      <c r="ABL14" s="31"/>
      <c r="ABM14" s="31"/>
      <c r="ABN14" s="32"/>
      <c r="ABO14" s="32"/>
      <c r="ABP14" s="30"/>
      <c r="ABQ14" s="30"/>
      <c r="ABR14" s="31"/>
      <c r="ABS14" s="31"/>
      <c r="ABT14" s="32"/>
      <c r="ABU14" s="32"/>
      <c r="ABV14" s="30"/>
      <c r="ABW14" s="30"/>
      <c r="ABX14" s="31"/>
      <c r="ABY14" s="31"/>
      <c r="ABZ14" s="32"/>
      <c r="ACA14" s="32"/>
      <c r="ACB14" s="30"/>
      <c r="ACC14" s="30"/>
      <c r="ACD14" s="31"/>
      <c r="ACE14" s="31"/>
      <c r="ACF14" s="32"/>
      <c r="ACG14" s="32"/>
      <c r="ACH14" s="30"/>
      <c r="ACI14" s="30"/>
      <c r="ACJ14" s="31"/>
      <c r="ACK14" s="31"/>
      <c r="ACL14" s="32"/>
      <c r="ACM14" s="32"/>
      <c r="ACN14" s="30"/>
      <c r="ACO14" s="30"/>
      <c r="ACP14" s="31"/>
      <c r="ACQ14" s="31"/>
      <c r="ACR14" s="32"/>
      <c r="ACS14" s="32"/>
      <c r="ACT14" s="30"/>
      <c r="ACU14" s="30"/>
      <c r="ACV14" s="31"/>
      <c r="ACW14" s="31"/>
      <c r="ACX14" s="32"/>
      <c r="ACY14" s="32"/>
      <c r="ACZ14" s="30"/>
      <c r="ADA14" s="30"/>
      <c r="ADB14" s="31"/>
      <c r="ADC14" s="31"/>
      <c r="ADD14" s="32"/>
      <c r="ADE14" s="32"/>
      <c r="ADF14" s="30"/>
      <c r="ADG14" s="30"/>
      <c r="ADH14" s="31"/>
      <c r="ADI14" s="31"/>
      <c r="ADJ14" s="32"/>
      <c r="ADK14" s="32"/>
      <c r="ADL14" s="30"/>
      <c r="ADM14" s="30"/>
      <c r="ADN14" s="31"/>
      <c r="ADO14" s="31"/>
      <c r="ADP14" s="32"/>
      <c r="ADQ14" s="32"/>
      <c r="ADR14" s="30"/>
      <c r="ADS14" s="30"/>
      <c r="ADT14" s="31"/>
      <c r="ADU14" s="31"/>
      <c r="ADV14" s="32"/>
      <c r="ADW14" s="32"/>
      <c r="ADX14" s="30"/>
      <c r="ADY14" s="30"/>
      <c r="ADZ14" s="31"/>
      <c r="AEA14" s="31"/>
      <c r="AEB14" s="32"/>
      <c r="AEC14" s="32"/>
      <c r="AED14" s="30"/>
      <c r="AEE14" s="30"/>
      <c r="AEF14" s="31"/>
      <c r="AEG14" s="31"/>
      <c r="AEH14" s="32"/>
      <c r="AEI14" s="32"/>
      <c r="AEJ14" s="30"/>
      <c r="AEK14" s="30"/>
      <c r="AEL14" s="31"/>
      <c r="AEM14" s="31"/>
      <c r="AEN14" s="32"/>
      <c r="AEO14" s="32"/>
      <c r="AEP14" s="30"/>
      <c r="AEQ14" s="30"/>
      <c r="AER14" s="31"/>
      <c r="AES14" s="31"/>
      <c r="AET14" s="32"/>
      <c r="AEU14" s="32"/>
      <c r="AEV14" s="30"/>
      <c r="AEW14" s="30"/>
      <c r="AEX14" s="31"/>
      <c r="AEY14" s="31"/>
      <c r="AEZ14" s="32"/>
      <c r="AFA14" s="32"/>
      <c r="AFB14" s="30"/>
      <c r="AFC14" s="30"/>
      <c r="AFD14" s="31"/>
      <c r="AFE14" s="31"/>
      <c r="AFF14" s="32"/>
      <c r="AFG14" s="32"/>
      <c r="AFH14" s="30"/>
      <c r="AFI14" s="30"/>
      <c r="AFJ14" s="31"/>
      <c r="AFK14" s="31"/>
      <c r="AFL14" s="32"/>
      <c r="AFM14" s="32"/>
      <c r="AFN14" s="30"/>
      <c r="AFO14" s="30"/>
      <c r="AFP14" s="31"/>
      <c r="AFQ14" s="31"/>
      <c r="AFR14" s="32"/>
      <c r="AFS14" s="32"/>
      <c r="AFT14" s="30"/>
      <c r="AFU14" s="30"/>
      <c r="AFV14" s="31"/>
      <c r="AFW14" s="31"/>
      <c r="AFX14" s="32"/>
      <c r="AFY14" s="32"/>
      <c r="AFZ14" s="30"/>
      <c r="AGA14" s="30"/>
      <c r="AGB14" s="31"/>
      <c r="AGC14" s="31"/>
      <c r="AGD14" s="32"/>
      <c r="AGE14" s="32"/>
      <c r="AGF14" s="30"/>
      <c r="AGG14" s="30"/>
      <c r="AGH14" s="31"/>
      <c r="AGI14" s="31"/>
      <c r="AGJ14" s="32"/>
      <c r="AGK14" s="32"/>
      <c r="AGL14" s="30"/>
      <c r="AGM14" s="30"/>
      <c r="AGN14" s="31"/>
      <c r="AGO14" s="31"/>
      <c r="AGP14" s="32"/>
      <c r="AGQ14" s="32"/>
      <c r="AGR14" s="30"/>
      <c r="AGS14" s="30"/>
      <c r="AGT14" s="31"/>
      <c r="AGU14" s="31"/>
      <c r="AGV14" s="32"/>
      <c r="AGW14" s="32"/>
      <c r="AGX14" s="30"/>
      <c r="AGY14" s="30"/>
      <c r="AGZ14" s="31"/>
      <c r="AHA14" s="31"/>
      <c r="AHB14" s="32"/>
      <c r="AHC14" s="32"/>
      <c r="AHD14" s="30"/>
      <c r="AHE14" s="30"/>
      <c r="AHF14" s="31"/>
      <c r="AHG14" s="31"/>
      <c r="AHH14" s="32"/>
      <c r="AHI14" s="32"/>
      <c r="AHJ14" s="30"/>
      <c r="AHK14" s="30"/>
      <c r="AHL14" s="31"/>
      <c r="AHM14" s="31"/>
      <c r="AHN14" s="32"/>
      <c r="AHO14" s="32"/>
      <c r="AHP14" s="30"/>
      <c r="AHQ14" s="30"/>
      <c r="AHR14" s="31"/>
      <c r="AHS14" s="31"/>
      <c r="AHT14" s="32"/>
      <c r="AHU14" s="32"/>
      <c r="AHV14" s="30"/>
      <c r="AHW14" s="30"/>
      <c r="AHX14" s="31"/>
      <c r="AHY14" s="31"/>
      <c r="AHZ14" s="32"/>
      <c r="AIA14" s="32"/>
      <c r="AIB14" s="30"/>
      <c r="AIC14" s="30"/>
      <c r="AID14" s="31"/>
      <c r="AIE14" s="31"/>
      <c r="AIF14" s="32"/>
      <c r="AIG14" s="32"/>
      <c r="AIH14" s="30"/>
      <c r="AII14" s="30"/>
      <c r="AIJ14" s="31"/>
      <c r="AIK14" s="31"/>
      <c r="AIL14" s="32"/>
      <c r="AIM14" s="32"/>
      <c r="AIN14" s="30"/>
      <c r="AIO14" s="30"/>
      <c r="AIP14" s="31"/>
      <c r="AIQ14" s="31"/>
      <c r="AIR14" s="32"/>
      <c r="AIS14" s="32"/>
      <c r="AIT14" s="30"/>
      <c r="AIU14" s="30"/>
      <c r="AIV14" s="31"/>
      <c r="AIW14" s="31"/>
      <c r="AIX14" s="32"/>
      <c r="AIY14" s="32"/>
      <c r="AIZ14" s="30"/>
      <c r="AJA14" s="30"/>
      <c r="AJB14" s="31"/>
      <c r="AJC14" s="31"/>
      <c r="AJD14" s="32"/>
      <c r="AJE14" s="32"/>
      <c r="AJF14" s="30"/>
      <c r="AJG14" s="30"/>
      <c r="AJH14" s="31"/>
      <c r="AJI14" s="31"/>
      <c r="AJJ14" s="32"/>
      <c r="AJK14" s="32"/>
      <c r="AJL14" s="30"/>
      <c r="AJM14" s="30"/>
      <c r="AJN14" s="31"/>
      <c r="AJO14" s="31"/>
      <c r="AJP14" s="32"/>
      <c r="AJQ14" s="32"/>
      <c r="AJR14" s="30"/>
      <c r="AJS14" s="30"/>
      <c r="AJT14" s="31"/>
      <c r="AJU14" s="31"/>
      <c r="AJV14" s="32"/>
      <c r="AJW14" s="32"/>
      <c r="AJX14" s="30"/>
      <c r="AJY14" s="30"/>
      <c r="AJZ14" s="31"/>
      <c r="AKA14" s="31"/>
      <c r="AKB14" s="32"/>
      <c r="AKC14" s="32"/>
      <c r="AKD14" s="30"/>
      <c r="AKE14" s="30"/>
      <c r="AKF14" s="31"/>
      <c r="AKG14" s="31"/>
      <c r="AKH14" s="32"/>
      <c r="AKI14" s="32"/>
      <c r="AKJ14" s="30"/>
      <c r="AKK14" s="30"/>
      <c r="AKL14" s="31"/>
      <c r="AKM14" s="31"/>
      <c r="AKN14" s="32"/>
      <c r="AKO14" s="32"/>
      <c r="AKP14" s="30"/>
      <c r="AKQ14" s="30"/>
      <c r="AKR14" s="31"/>
      <c r="AKS14" s="31"/>
      <c r="AKT14" s="32"/>
      <c r="AKU14" s="32"/>
      <c r="AKV14" s="30"/>
      <c r="AKW14" s="30"/>
      <c r="AKX14" s="31"/>
      <c r="AKY14" s="31"/>
      <c r="AKZ14" s="32"/>
      <c r="ALA14" s="32"/>
      <c r="ALB14" s="30"/>
      <c r="ALC14" s="30"/>
      <c r="ALD14" s="31"/>
      <c r="ALE14" s="31"/>
      <c r="ALF14" s="32"/>
      <c r="ALG14" s="32"/>
      <c r="ALH14" s="30"/>
      <c r="ALI14" s="30"/>
      <c r="ALJ14" s="31"/>
      <c r="ALK14" s="31"/>
      <c r="ALL14" s="32"/>
      <c r="ALM14" s="32"/>
      <c r="ALN14" s="30"/>
      <c r="ALO14" s="30"/>
      <c r="ALP14" s="31"/>
      <c r="ALQ14" s="31"/>
      <c r="ALR14" s="32"/>
      <c r="ALS14" s="32"/>
      <c r="ALT14" s="30"/>
      <c r="ALU14" s="30"/>
      <c r="ALV14" s="31"/>
      <c r="ALW14" s="31"/>
      <c r="ALX14" s="32"/>
      <c r="ALY14" s="32"/>
      <c r="ALZ14" s="30"/>
      <c r="AMA14" s="30"/>
      <c r="AMB14" s="31"/>
      <c r="AMC14" s="31"/>
      <c r="AMD14" s="32"/>
      <c r="AME14" s="32"/>
      <c r="AMF14" s="30"/>
      <c r="AMG14" s="30"/>
      <c r="AMH14" s="31"/>
      <c r="AMI14" s="31"/>
      <c r="AMJ14" s="32"/>
      <c r="AMK14" s="32"/>
      <c r="AML14" s="30"/>
      <c r="AMM14" s="30"/>
      <c r="AMN14" s="31"/>
      <c r="AMO14" s="31"/>
      <c r="AMP14" s="32"/>
      <c r="AMQ14" s="32"/>
      <c r="AMR14" s="30"/>
      <c r="AMS14" s="30"/>
      <c r="AMT14" s="31"/>
      <c r="AMU14" s="31"/>
      <c r="AMV14" s="32"/>
      <c r="AMW14" s="32"/>
      <c r="AMX14" s="30"/>
      <c r="AMY14" s="30"/>
      <c r="AMZ14" s="31"/>
      <c r="ANA14" s="31"/>
      <c r="ANB14" s="32"/>
      <c r="ANC14" s="32"/>
      <c r="AND14" s="30"/>
      <c r="ANE14" s="30"/>
      <c r="ANF14" s="31"/>
      <c r="ANG14" s="31"/>
      <c r="ANH14" s="33" t="s">
        <v>314</v>
      </c>
      <c r="ANI14" s="32"/>
      <c r="ANJ14" s="30"/>
      <c r="ANK14" s="30"/>
      <c r="ANL14" s="31"/>
      <c r="ANM14" s="31"/>
      <c r="ANN14" s="32"/>
      <c r="ANO14" s="32"/>
      <c r="ANP14" s="30"/>
      <c r="ANQ14" s="30"/>
      <c r="ANR14" s="31" t="s">
        <v>86</v>
      </c>
      <c r="ANS14" s="31"/>
      <c r="ANT14" s="32"/>
      <c r="ANU14" s="32"/>
      <c r="ANV14" s="30"/>
      <c r="ANW14" s="30"/>
      <c r="ANX14" s="31"/>
      <c r="ANY14" s="31"/>
      <c r="ANZ14" s="32"/>
      <c r="AOA14" s="32"/>
      <c r="AOB14" s="30"/>
      <c r="AOC14" s="30"/>
      <c r="AOD14" s="31"/>
      <c r="AOE14" s="31"/>
      <c r="AOF14" s="32"/>
      <c r="AOG14" s="32"/>
      <c r="AOH14" s="30"/>
      <c r="AOI14" s="30"/>
      <c r="AOJ14" s="31"/>
      <c r="AOK14" s="31"/>
      <c r="AOL14" s="32"/>
      <c r="AOM14" s="32"/>
      <c r="AON14" s="30"/>
      <c r="AOO14" s="30"/>
      <c r="AOP14" s="31"/>
      <c r="AOQ14" s="31"/>
      <c r="AOR14" s="32"/>
      <c r="AOS14" s="32"/>
      <c r="AOT14" s="30"/>
      <c r="AOU14" s="30"/>
      <c r="AOV14" s="31" t="s">
        <v>124</v>
      </c>
      <c r="AOW14" s="31"/>
      <c r="AOX14" s="32"/>
      <c r="AOY14" s="32"/>
      <c r="AOZ14" s="30"/>
      <c r="APA14" s="30"/>
      <c r="APB14" s="31"/>
      <c r="APC14" s="31"/>
      <c r="APD14" s="32"/>
      <c r="APE14" s="32"/>
      <c r="APF14" s="30"/>
      <c r="APG14" s="30"/>
      <c r="APH14" s="32"/>
      <c r="API14" s="32"/>
      <c r="APJ14" s="31"/>
      <c r="APK14" s="31"/>
      <c r="APL14" s="30"/>
      <c r="APM14" s="30"/>
      <c r="APN14" s="32"/>
      <c r="APO14" s="32"/>
      <c r="APP14" s="31"/>
      <c r="APQ14" s="31"/>
      <c r="APR14" s="30"/>
      <c r="APS14" s="30"/>
      <c r="APT14" s="32"/>
      <c r="APU14" s="32"/>
      <c r="APV14" s="31"/>
      <c r="APW14" s="31"/>
      <c r="APX14" s="30"/>
      <c r="APY14" s="30"/>
      <c r="APZ14" s="32"/>
      <c r="AQA14" s="32"/>
      <c r="AQB14" s="31"/>
      <c r="AQC14" s="31"/>
      <c r="AQD14" s="30"/>
      <c r="AQE14" s="30"/>
      <c r="AQF14" s="32"/>
      <c r="AQG14" s="32"/>
      <c r="AQH14" s="31"/>
      <c r="AQI14" s="31"/>
      <c r="AQJ14" s="30"/>
      <c r="AQK14" s="30"/>
      <c r="AQL14" s="32" t="s">
        <v>327</v>
      </c>
      <c r="AQM14" s="32"/>
      <c r="AQN14" s="31"/>
      <c r="AQO14" s="31"/>
      <c r="AQP14" s="30"/>
      <c r="AQQ14" s="30"/>
      <c r="AQR14" s="32"/>
      <c r="AQS14" s="32"/>
      <c r="AQT14" s="31"/>
      <c r="AQU14" s="31"/>
      <c r="AQV14" s="30"/>
      <c r="AQW14" s="30"/>
      <c r="AQX14" s="32"/>
      <c r="AQY14" s="32"/>
      <c r="AQZ14" s="31"/>
      <c r="ARA14" s="31"/>
      <c r="ARB14" s="30"/>
      <c r="ARC14" s="30"/>
      <c r="ARD14" s="32"/>
      <c r="ARE14" s="32"/>
      <c r="ARF14" s="31"/>
      <c r="ARG14" s="31"/>
      <c r="ARH14" s="30"/>
      <c r="ARI14" s="30"/>
      <c r="ARJ14" s="32"/>
      <c r="ARK14" s="32"/>
      <c r="ARL14" s="31"/>
      <c r="ARM14" s="31"/>
      <c r="ARN14" s="30"/>
      <c r="ARO14" s="30"/>
      <c r="ARP14" s="32"/>
      <c r="ARQ14" s="32"/>
      <c r="ARR14" s="31"/>
      <c r="ARS14" s="31"/>
      <c r="ART14" s="30"/>
      <c r="ARU14" s="30"/>
      <c r="ARV14" s="32"/>
      <c r="ARW14" s="32"/>
      <c r="ARX14" s="31"/>
      <c r="ARY14" s="31"/>
      <c r="ARZ14" s="30"/>
      <c r="ASA14" s="30"/>
      <c r="ASB14" s="32"/>
      <c r="ASC14" s="32"/>
      <c r="ASD14" s="31"/>
      <c r="ASE14" s="31"/>
      <c r="ASF14" s="30"/>
      <c r="ASG14" s="30"/>
      <c r="ASH14" s="32"/>
      <c r="ASI14" s="32"/>
      <c r="ASJ14" s="31"/>
      <c r="ASK14" s="31"/>
      <c r="ASL14" s="30"/>
      <c r="ASM14" s="30"/>
      <c r="ASN14" s="32"/>
      <c r="ASO14" s="32"/>
      <c r="ASP14" s="31"/>
      <c r="ASQ14" s="31"/>
      <c r="ASR14" s="30"/>
      <c r="ASS14" s="30"/>
      <c r="AST14" s="32"/>
      <c r="ASU14" s="32"/>
      <c r="ASV14" s="31"/>
      <c r="ASW14" s="31"/>
      <c r="ASX14" s="30"/>
      <c r="ASY14" s="30"/>
      <c r="ASZ14" s="32"/>
      <c r="ATA14" s="32"/>
      <c r="ATB14" s="31"/>
      <c r="ATC14" s="31"/>
      <c r="ATD14" s="30"/>
      <c r="ATE14" s="30"/>
      <c r="ATF14" s="32"/>
      <c r="ATG14" s="32"/>
      <c r="ATH14" s="31"/>
      <c r="ATI14" s="31"/>
      <c r="ATJ14" s="30"/>
      <c r="ATK14" s="30"/>
      <c r="ATL14" s="32"/>
      <c r="ATM14" s="32"/>
      <c r="ATN14" s="31"/>
      <c r="ATO14" s="31"/>
      <c r="ATP14" s="30"/>
      <c r="ATQ14" s="30"/>
      <c r="ATR14" s="32"/>
      <c r="ATS14" s="32"/>
      <c r="ATT14" s="31"/>
      <c r="ATU14" s="31"/>
      <c r="ATV14" s="30"/>
      <c r="ATW14" s="30"/>
      <c r="ATX14" s="32"/>
      <c r="ATY14" s="32"/>
      <c r="ATZ14" s="31"/>
      <c r="AUA14" s="31"/>
      <c r="AUB14" s="30"/>
      <c r="AUC14" s="30"/>
      <c r="AUD14" s="32"/>
      <c r="AUE14" s="32"/>
      <c r="AUF14" s="31"/>
      <c r="AUG14" s="31"/>
      <c r="AUH14" s="30"/>
      <c r="AUI14" s="30"/>
      <c r="AUJ14" s="32"/>
      <c r="AUK14" s="32"/>
      <c r="AUL14" s="31"/>
      <c r="AUM14" s="31"/>
      <c r="AUN14" s="30"/>
      <c r="AUO14" s="30"/>
      <c r="AUP14" s="32"/>
      <c r="AUQ14" s="32"/>
      <c r="AUR14" s="31"/>
      <c r="AUS14" s="31"/>
      <c r="AUT14" s="30"/>
      <c r="AUU14" s="30"/>
      <c r="AUV14" s="32"/>
      <c r="AUW14" s="32"/>
      <c r="AUX14" s="31"/>
      <c r="AUY14" s="31"/>
      <c r="AUZ14" s="30"/>
      <c r="AVA14" s="30"/>
      <c r="AVB14" s="32"/>
      <c r="AVC14" s="32"/>
      <c r="AVD14" s="31"/>
      <c r="AVE14" s="31"/>
      <c r="AVF14" s="30"/>
      <c r="AVG14" s="30"/>
      <c r="AVH14" s="32" t="s">
        <v>81</v>
      </c>
      <c r="AVI14" s="32"/>
      <c r="AVJ14" s="31"/>
      <c r="AVK14" s="31"/>
      <c r="AVL14" s="30"/>
      <c r="AVM14" s="30"/>
      <c r="AVN14" s="32"/>
      <c r="AVO14" s="32"/>
      <c r="AVP14" s="31"/>
      <c r="AVQ14" s="31" t="s">
        <v>59</v>
      </c>
      <c r="AVR14" s="30"/>
      <c r="AVS14" s="30"/>
      <c r="AVT14" s="32"/>
      <c r="AVU14" s="32"/>
      <c r="AVV14" s="31" t="s">
        <v>48</v>
      </c>
      <c r="AVW14" s="31"/>
      <c r="AVX14" s="30"/>
      <c r="AVY14" s="30"/>
      <c r="AVZ14" s="32"/>
      <c r="AWA14" s="32"/>
      <c r="AWB14" s="31"/>
      <c r="AWC14" s="31"/>
      <c r="AWD14" s="30"/>
      <c r="AWE14" s="30"/>
      <c r="AWF14" s="32"/>
      <c r="AWG14" s="32"/>
      <c r="AWH14" s="31"/>
      <c r="AWI14" s="31"/>
      <c r="AWJ14" s="30"/>
      <c r="AWK14" s="30"/>
      <c r="AWL14" s="32"/>
      <c r="AWM14" s="32"/>
      <c r="AWN14" s="31"/>
      <c r="AWO14" s="31"/>
      <c r="AWP14" s="30"/>
      <c r="AWQ14" s="30"/>
      <c r="AWR14" s="32"/>
      <c r="AWS14" s="32"/>
      <c r="AWT14" s="31"/>
      <c r="AWU14" s="31"/>
      <c r="AWV14" s="30"/>
      <c r="AWW14" s="30"/>
      <c r="AWX14" s="32"/>
      <c r="AWY14" s="32"/>
      <c r="AWZ14" s="31"/>
      <c r="AXA14" s="31"/>
      <c r="AXB14" s="30"/>
      <c r="AXC14" s="30"/>
      <c r="AXD14" s="32"/>
      <c r="AXE14" s="32"/>
      <c r="AXF14" s="31"/>
      <c r="AXG14" s="31"/>
      <c r="AXH14" s="30"/>
      <c r="AXI14" s="30"/>
      <c r="AXJ14" s="32"/>
      <c r="AXK14" s="32"/>
      <c r="AXL14" s="31"/>
      <c r="AXM14" s="31"/>
      <c r="AXN14" s="30"/>
      <c r="AXO14" s="30"/>
      <c r="AXP14" s="32"/>
      <c r="AXQ14" s="32"/>
      <c r="AXR14" s="31"/>
      <c r="AXS14" s="31"/>
      <c r="AXT14" s="30"/>
      <c r="AXU14" s="30"/>
      <c r="AXV14" s="32"/>
      <c r="AXW14" s="32"/>
      <c r="AXX14" s="31"/>
      <c r="AXY14" s="31"/>
      <c r="AXZ14" s="30"/>
      <c r="AYA14" s="30"/>
      <c r="AYB14" s="32"/>
      <c r="AYC14" s="32"/>
      <c r="AYD14" s="31"/>
      <c r="AYE14" s="31"/>
      <c r="AYF14" s="30"/>
      <c r="AYG14" s="30"/>
      <c r="AYH14" s="32"/>
      <c r="AYI14" s="32"/>
      <c r="AYJ14" s="31"/>
      <c r="AYK14" s="31"/>
      <c r="AYL14" s="30"/>
      <c r="AYM14" s="30"/>
      <c r="AYN14" s="32"/>
      <c r="AYO14" s="32"/>
      <c r="AYP14" s="31"/>
      <c r="AYQ14" s="31"/>
      <c r="AYR14" s="30"/>
      <c r="AYS14" s="30"/>
      <c r="AYT14" s="32"/>
      <c r="AYU14" s="32"/>
      <c r="AYV14" s="31"/>
      <c r="AYW14" s="31"/>
      <c r="AYX14" s="30"/>
      <c r="AYY14" s="30"/>
      <c r="AYZ14" s="32"/>
      <c r="AZA14" s="32"/>
      <c r="AZB14" s="31"/>
      <c r="AZC14" s="31"/>
      <c r="AZD14" s="30"/>
      <c r="AZE14" s="30"/>
      <c r="AZF14" s="32"/>
      <c r="AZG14" s="32"/>
      <c r="AZH14" s="31"/>
      <c r="AZI14" s="31"/>
      <c r="AZJ14" s="30"/>
      <c r="AZK14" s="30"/>
      <c r="AZL14" s="32"/>
      <c r="AZM14" s="32"/>
      <c r="AZN14" s="31"/>
      <c r="AZO14" s="31"/>
      <c r="AZP14" s="30"/>
      <c r="AZQ14" s="30"/>
      <c r="AZR14" s="32"/>
      <c r="AZS14" s="32"/>
      <c r="AZT14" s="31"/>
      <c r="AZU14" s="31"/>
      <c r="AZV14" s="30"/>
      <c r="AZW14" s="30"/>
      <c r="AZX14" s="32"/>
      <c r="AZY14" s="32"/>
      <c r="AZZ14" s="31"/>
      <c r="BAA14" s="31"/>
      <c r="BAB14" s="30"/>
      <c r="BAC14" s="30"/>
      <c r="BAD14" s="32"/>
      <c r="BAE14" s="32"/>
      <c r="BAF14" s="31"/>
      <c r="BAG14" s="31"/>
      <c r="BAH14" s="30"/>
      <c r="BAI14" s="30"/>
      <c r="BAJ14" s="32"/>
      <c r="BAK14" s="32"/>
      <c r="BAL14" s="31"/>
      <c r="BAM14" s="31"/>
      <c r="BAN14" s="30"/>
      <c r="BAO14" s="30"/>
      <c r="BAP14" s="32"/>
      <c r="BAQ14" s="32"/>
      <c r="BAR14" s="31"/>
      <c r="BAS14" s="31"/>
      <c r="BAT14" s="30"/>
      <c r="BAU14" s="30"/>
      <c r="BAV14" s="32"/>
      <c r="BAW14" s="32"/>
      <c r="BAX14" s="31"/>
      <c r="BAY14" s="31"/>
      <c r="BAZ14" s="30"/>
      <c r="BBA14" s="30"/>
      <c r="BBB14" s="32"/>
      <c r="BBC14" s="32"/>
      <c r="BBD14" s="31"/>
      <c r="BBE14" s="31"/>
      <c r="BBF14" s="30"/>
      <c r="BBG14" s="30"/>
      <c r="BBH14" s="32"/>
      <c r="BBI14" s="32"/>
      <c r="BBJ14" s="31"/>
      <c r="BBK14" s="31"/>
      <c r="BBL14" s="30"/>
      <c r="BBM14" s="30"/>
      <c r="BBN14" s="32"/>
      <c r="BBO14" s="32"/>
      <c r="BBP14" s="31"/>
      <c r="BBQ14" s="31"/>
      <c r="BBR14" s="30"/>
      <c r="BBS14" s="30"/>
      <c r="BBT14" s="32"/>
      <c r="BBU14" s="32"/>
      <c r="BBV14" s="31"/>
      <c r="BBW14" s="31"/>
      <c r="BBX14" s="30"/>
      <c r="BBY14" s="30"/>
      <c r="BBZ14" s="32"/>
      <c r="BCA14" s="32"/>
      <c r="BCB14" s="31"/>
      <c r="BCC14" s="31"/>
      <c r="BCD14" s="30"/>
      <c r="BCE14" s="30"/>
      <c r="BCF14" s="32"/>
      <c r="BCG14" s="32"/>
      <c r="BCH14" s="31"/>
      <c r="BCI14" s="31"/>
      <c r="BCJ14" s="30"/>
      <c r="BCK14" s="30"/>
      <c r="BCL14" s="32"/>
      <c r="BCM14" s="32"/>
      <c r="BCN14" s="31"/>
      <c r="BCO14" s="31"/>
      <c r="BCP14" s="30"/>
      <c r="BCQ14" s="30"/>
    </row>
    <row r="15" spans="1:1447">
      <c r="A15" s="30"/>
      <c r="B15" s="30"/>
      <c r="C15" s="31"/>
      <c r="D15" s="31"/>
      <c r="E15" s="32"/>
      <c r="F15" s="32"/>
      <c r="G15" s="30"/>
      <c r="H15" s="30"/>
      <c r="I15" s="31"/>
      <c r="J15" s="31"/>
      <c r="K15" s="32"/>
      <c r="L15" s="32"/>
      <c r="M15" s="30"/>
      <c r="N15" s="30"/>
      <c r="O15" s="31"/>
      <c r="P15" s="31"/>
      <c r="Q15" s="32"/>
      <c r="R15" s="32"/>
      <c r="S15" s="30"/>
      <c r="T15" s="30"/>
      <c r="U15" s="31"/>
      <c r="V15" s="31"/>
      <c r="W15" s="32"/>
      <c r="X15" s="32"/>
      <c r="Y15" s="30"/>
      <c r="Z15" s="30"/>
      <c r="AA15" s="31"/>
      <c r="AB15" s="31"/>
      <c r="AC15" s="32"/>
      <c r="AD15" s="32"/>
      <c r="AE15" s="30"/>
      <c r="AF15" s="30"/>
      <c r="AG15" s="31"/>
      <c r="AH15" s="31"/>
      <c r="AI15" s="32"/>
      <c r="AJ15" s="32"/>
      <c r="AK15" s="30"/>
      <c r="AL15" s="30"/>
      <c r="AM15" s="31"/>
      <c r="AN15" s="31"/>
      <c r="AO15" s="32"/>
      <c r="AP15" s="32"/>
      <c r="AQ15" s="30"/>
      <c r="AR15" s="30"/>
      <c r="AS15" s="31"/>
      <c r="AT15" s="31"/>
      <c r="AU15" s="32"/>
      <c r="AV15" s="32"/>
      <c r="AW15" s="30"/>
      <c r="AX15" s="30"/>
      <c r="AY15" s="31"/>
      <c r="AZ15" s="31"/>
      <c r="BA15" s="32"/>
      <c r="BB15" s="32"/>
      <c r="BC15" s="30"/>
      <c r="BD15" s="30"/>
      <c r="BE15" s="31"/>
      <c r="BF15" s="31"/>
      <c r="BG15" s="32"/>
      <c r="BH15" s="32"/>
      <c r="BI15" s="30"/>
      <c r="BJ15" s="30"/>
      <c r="BK15" s="31"/>
      <c r="BL15" s="31"/>
      <c r="BM15" s="32"/>
      <c r="BN15" s="32"/>
      <c r="BO15" s="30"/>
      <c r="BP15" s="30"/>
      <c r="BQ15" s="31"/>
      <c r="BR15" s="31"/>
      <c r="BS15" s="32"/>
      <c r="BT15" s="32"/>
      <c r="BU15" s="30"/>
      <c r="BV15" s="30"/>
      <c r="BW15" s="31"/>
      <c r="BX15" s="31"/>
      <c r="BY15" s="32"/>
      <c r="BZ15" s="32"/>
      <c r="CA15" s="30"/>
      <c r="CB15" s="30"/>
      <c r="CC15" s="31"/>
      <c r="CD15" s="31"/>
      <c r="CE15" s="32"/>
      <c r="CF15" s="32"/>
      <c r="CG15" s="30"/>
      <c r="CH15" s="30"/>
      <c r="CI15" s="31"/>
      <c r="CJ15" s="31"/>
      <c r="CK15" s="32"/>
      <c r="CL15" s="32"/>
      <c r="CM15" s="30"/>
      <c r="CN15" s="30"/>
      <c r="CO15" s="31"/>
      <c r="CP15" s="31"/>
      <c r="CQ15" s="32"/>
      <c r="CR15" s="32"/>
      <c r="CS15" s="30"/>
      <c r="CT15" s="30"/>
      <c r="CU15" s="31"/>
      <c r="CV15" s="31"/>
      <c r="CW15" s="32"/>
      <c r="CX15" s="32"/>
      <c r="CY15" s="30"/>
      <c r="CZ15" s="30"/>
      <c r="DA15" s="31"/>
      <c r="DB15" s="31"/>
      <c r="DC15" s="32"/>
      <c r="DD15" s="32"/>
      <c r="DE15" s="30"/>
      <c r="DF15" s="30"/>
      <c r="DG15" s="31"/>
      <c r="DH15" s="31"/>
      <c r="DI15" s="32"/>
      <c r="DJ15" s="32"/>
      <c r="DK15" s="30"/>
      <c r="DL15" s="30"/>
      <c r="DM15" s="31"/>
      <c r="DN15" s="31"/>
      <c r="DO15" s="32"/>
      <c r="DP15" s="32"/>
      <c r="DQ15" s="30"/>
      <c r="DR15" s="30"/>
      <c r="DS15" s="31"/>
      <c r="DT15" s="31"/>
      <c r="DU15" s="32"/>
      <c r="DV15" s="32"/>
      <c r="DW15" s="30"/>
      <c r="DX15" s="30"/>
      <c r="DY15" s="31"/>
      <c r="DZ15" s="31"/>
      <c r="EA15" s="32"/>
      <c r="EB15" s="32"/>
      <c r="EC15" s="30"/>
      <c r="ED15" s="30"/>
      <c r="EE15" s="31"/>
      <c r="EF15" s="31"/>
      <c r="EG15" s="32"/>
      <c r="EH15" s="32"/>
      <c r="EI15" s="30"/>
      <c r="EJ15" s="30"/>
      <c r="EK15" s="31"/>
      <c r="EL15" s="31"/>
      <c r="EM15" s="32"/>
      <c r="EN15" s="32"/>
      <c r="EO15" s="30"/>
      <c r="EP15" s="30"/>
      <c r="EQ15" s="31"/>
      <c r="ER15" s="31"/>
      <c r="ES15" s="32"/>
      <c r="ET15" s="32"/>
      <c r="EU15" s="30"/>
      <c r="EV15" s="30"/>
      <c r="EW15" s="31"/>
      <c r="EX15" s="31"/>
      <c r="EY15" s="32"/>
      <c r="EZ15" s="32"/>
      <c r="FA15" s="30"/>
      <c r="FB15" s="30"/>
      <c r="FC15" s="31"/>
      <c r="FD15" s="31"/>
      <c r="FE15" s="32"/>
      <c r="FF15" s="32"/>
      <c r="FG15" s="30"/>
      <c r="FH15" s="30"/>
      <c r="FI15" s="32"/>
      <c r="FJ15" s="32"/>
      <c r="FK15" s="30"/>
      <c r="FL15" s="30"/>
      <c r="FM15" s="31"/>
      <c r="FN15" s="31"/>
      <c r="FO15" s="32"/>
      <c r="FP15" s="32"/>
      <c r="FQ15" s="30"/>
      <c r="FR15" s="30"/>
      <c r="FS15" s="31"/>
      <c r="FT15" s="31"/>
      <c r="FU15" s="32"/>
      <c r="FV15" s="32"/>
      <c r="FW15" s="30"/>
      <c r="FX15" s="30"/>
      <c r="FY15" s="31"/>
      <c r="FZ15" s="31"/>
      <c r="GA15" s="32"/>
      <c r="GB15" s="32"/>
      <c r="GC15" s="30"/>
      <c r="GD15" s="30"/>
      <c r="GE15" s="31"/>
      <c r="GF15" s="31"/>
      <c r="GG15" s="32"/>
      <c r="GH15" s="32"/>
      <c r="GI15" s="30"/>
      <c r="GJ15" s="30"/>
      <c r="GK15" s="31"/>
      <c r="GL15" s="31"/>
      <c r="GM15" s="32"/>
      <c r="GN15" s="32"/>
      <c r="GO15" s="30"/>
      <c r="GP15" s="30"/>
      <c r="GQ15" s="31"/>
      <c r="GR15" s="31"/>
      <c r="GS15" s="32"/>
      <c r="GT15" s="32"/>
      <c r="GU15" s="30"/>
      <c r="GV15" s="30"/>
      <c r="GW15" s="31"/>
      <c r="GX15" s="31"/>
      <c r="GY15" s="32"/>
      <c r="GZ15" s="32"/>
      <c r="HA15" s="30"/>
      <c r="HB15" s="30"/>
      <c r="HC15" s="31"/>
      <c r="HD15" s="31"/>
      <c r="HE15" s="32"/>
      <c r="HF15" s="32"/>
      <c r="HG15" s="30"/>
      <c r="HH15" s="30"/>
      <c r="HI15" s="31"/>
      <c r="HJ15" s="31"/>
      <c r="HK15" s="32"/>
      <c r="HL15" s="32"/>
      <c r="HM15" s="30"/>
      <c r="HN15" s="30"/>
      <c r="HO15" s="31"/>
      <c r="HP15" s="31"/>
      <c r="HQ15" s="32"/>
      <c r="HR15" s="32"/>
      <c r="HS15" s="30"/>
      <c r="HT15" s="30"/>
      <c r="HU15" s="31"/>
      <c r="HV15" s="31"/>
      <c r="HW15" s="32"/>
      <c r="HX15" s="32"/>
      <c r="HY15" s="30"/>
      <c r="HZ15" s="30"/>
      <c r="IA15" s="31"/>
      <c r="IB15" s="31"/>
      <c r="IC15" s="32"/>
      <c r="ID15" s="32"/>
      <c r="IE15" s="30"/>
      <c r="IF15" s="30"/>
      <c r="IG15" s="31"/>
      <c r="IH15" s="31"/>
      <c r="II15" s="32"/>
      <c r="IJ15" s="32"/>
      <c r="IK15" s="30"/>
      <c r="IL15" s="30"/>
      <c r="IM15" s="31"/>
      <c r="IN15" s="31"/>
      <c r="IO15" s="32"/>
      <c r="IP15" s="32"/>
      <c r="IQ15" s="30"/>
      <c r="IR15" s="30"/>
      <c r="IS15" s="31"/>
      <c r="IT15" s="31"/>
      <c r="IU15" s="32"/>
      <c r="IV15" s="32"/>
      <c r="IW15" s="30"/>
      <c r="IX15" s="30"/>
      <c r="IY15" s="31"/>
      <c r="IZ15" s="31"/>
      <c r="JA15" s="32"/>
      <c r="JB15" s="32"/>
      <c r="JC15" s="30"/>
      <c r="JD15" s="30"/>
      <c r="JE15" s="31"/>
      <c r="JF15" s="31"/>
      <c r="JG15" s="32"/>
      <c r="JH15" s="32"/>
      <c r="JI15" s="30"/>
      <c r="JJ15" s="30"/>
      <c r="JK15" s="31"/>
      <c r="JL15" s="31"/>
      <c r="JM15" s="32"/>
      <c r="JN15" s="32"/>
      <c r="JO15" s="30"/>
      <c r="JP15" s="30"/>
      <c r="JQ15" s="31"/>
      <c r="JR15" s="31"/>
      <c r="JS15" s="32"/>
      <c r="JT15" s="32"/>
      <c r="JU15" s="30"/>
      <c r="JV15" s="30"/>
      <c r="JW15" s="31"/>
      <c r="JX15" s="31"/>
      <c r="JY15" s="32"/>
      <c r="JZ15" s="32"/>
      <c r="KA15" s="30"/>
      <c r="KB15" s="30"/>
      <c r="KC15" s="31"/>
      <c r="KD15" s="31"/>
      <c r="KE15" s="32"/>
      <c r="KF15" s="32"/>
      <c r="KG15" s="30"/>
      <c r="KH15" s="30"/>
      <c r="KI15" s="31"/>
      <c r="KJ15" s="31"/>
      <c r="KK15" s="32"/>
      <c r="KL15" s="32" t="s">
        <v>593</v>
      </c>
      <c r="KM15" s="30"/>
      <c r="KN15" s="30"/>
      <c r="KO15" s="31"/>
      <c r="KP15" s="31"/>
      <c r="KQ15" s="32"/>
      <c r="KR15" s="32"/>
      <c r="KS15" s="30"/>
      <c r="KT15" s="30"/>
      <c r="KU15" s="31"/>
      <c r="KV15" s="31"/>
      <c r="KW15" s="32"/>
      <c r="KX15" s="32"/>
      <c r="KY15" s="30"/>
      <c r="KZ15" s="30"/>
      <c r="LA15" s="31"/>
      <c r="LB15" s="31"/>
      <c r="LC15" s="32"/>
      <c r="LD15" s="32"/>
      <c r="LE15" s="30"/>
      <c r="LF15" s="30"/>
      <c r="LG15" s="31"/>
      <c r="LH15" s="31"/>
      <c r="LI15" s="32"/>
      <c r="LJ15" s="32"/>
      <c r="LK15" s="30"/>
      <c r="LL15" s="30"/>
      <c r="LM15" s="31"/>
      <c r="LN15" s="31"/>
      <c r="LO15" s="32"/>
      <c r="LP15" s="32"/>
      <c r="LQ15" s="30"/>
      <c r="LR15" s="30"/>
      <c r="LS15" s="31"/>
      <c r="LT15" s="31"/>
      <c r="LU15" s="32"/>
      <c r="LV15" s="32"/>
      <c r="LW15" s="30"/>
      <c r="LX15" s="30"/>
      <c r="LY15" s="31"/>
      <c r="LZ15" s="31"/>
      <c r="MA15" s="32"/>
      <c r="MB15" s="32"/>
      <c r="MC15" s="30"/>
      <c r="MD15" s="30"/>
      <c r="ME15" s="31"/>
      <c r="MF15" s="31"/>
      <c r="MG15" s="32"/>
      <c r="MH15" s="32"/>
      <c r="MI15" s="30"/>
      <c r="MJ15" s="30"/>
      <c r="MK15" s="31"/>
      <c r="ML15" s="31"/>
      <c r="MM15" s="32"/>
      <c r="MN15" s="32"/>
      <c r="MO15" s="30"/>
      <c r="MP15" s="30"/>
      <c r="MQ15" s="31"/>
      <c r="MR15" s="31"/>
      <c r="MS15" s="32"/>
      <c r="MT15" s="32"/>
      <c r="MU15" s="30" t="s">
        <v>185</v>
      </c>
      <c r="MV15" s="30"/>
      <c r="MW15" s="31"/>
      <c r="MX15" s="31"/>
      <c r="MY15" s="32"/>
      <c r="MZ15" s="32"/>
      <c r="NA15" s="30"/>
      <c r="NB15" s="30"/>
      <c r="NC15" s="31"/>
      <c r="ND15" s="31"/>
      <c r="NE15" s="32"/>
      <c r="NF15" s="32"/>
      <c r="NG15" s="30"/>
      <c r="NH15" s="30"/>
      <c r="NI15" s="31"/>
      <c r="NJ15" s="31"/>
      <c r="NK15" s="32"/>
      <c r="NL15" s="32"/>
      <c r="NM15" s="30"/>
      <c r="NN15" s="30"/>
      <c r="NO15" s="31"/>
      <c r="NP15" s="31"/>
      <c r="NQ15" s="32"/>
      <c r="NR15" s="32"/>
      <c r="NS15" s="30"/>
      <c r="NT15" s="30"/>
      <c r="NU15" s="31"/>
      <c r="NV15" s="31"/>
      <c r="NW15" s="32"/>
      <c r="NX15" s="32"/>
      <c r="NY15" s="30"/>
      <c r="NZ15" s="30"/>
      <c r="OA15" s="31"/>
      <c r="OB15" s="31"/>
      <c r="OC15" s="32"/>
      <c r="OD15" s="32"/>
      <c r="OE15" s="30"/>
      <c r="OF15" s="30"/>
      <c r="OG15" s="31"/>
      <c r="OH15" s="31"/>
      <c r="OI15" s="32"/>
      <c r="OJ15" s="32"/>
      <c r="OK15" s="30"/>
      <c r="OL15" s="30"/>
      <c r="OM15" s="31"/>
      <c r="ON15" s="31"/>
      <c r="OO15" s="32"/>
      <c r="OP15" s="32"/>
      <c r="OQ15" s="30"/>
      <c r="OR15" s="30"/>
      <c r="OS15" s="31"/>
      <c r="OT15" s="31"/>
      <c r="OU15" s="32"/>
      <c r="OV15" s="32"/>
      <c r="OW15" s="30"/>
      <c r="OX15" s="30"/>
      <c r="OY15" s="31"/>
      <c r="OZ15" s="31"/>
      <c r="PA15" s="32"/>
      <c r="PB15" s="32"/>
      <c r="PC15" s="30"/>
      <c r="PD15" s="30"/>
      <c r="PE15" s="31"/>
      <c r="PF15" s="31"/>
      <c r="PG15" s="32"/>
      <c r="PH15" s="32"/>
      <c r="PI15" s="30"/>
      <c r="PJ15" s="30"/>
      <c r="PK15" s="31"/>
      <c r="PL15" s="31"/>
      <c r="PM15" s="32"/>
      <c r="PN15" s="32"/>
      <c r="PO15" s="30"/>
      <c r="PP15" s="30"/>
      <c r="PQ15" s="31"/>
      <c r="PR15" s="31"/>
      <c r="PS15" s="32"/>
      <c r="PT15" s="32"/>
      <c r="PU15" s="30"/>
      <c r="PV15" s="30"/>
      <c r="PW15" s="31"/>
      <c r="PX15" s="31"/>
      <c r="PY15" s="32"/>
      <c r="PZ15" s="32"/>
      <c r="QA15" s="30"/>
      <c r="QB15" s="30"/>
      <c r="QC15" s="31"/>
      <c r="QD15" s="31"/>
      <c r="QE15" s="32"/>
      <c r="QF15" s="32"/>
      <c r="QG15" s="30"/>
      <c r="QH15" s="30"/>
      <c r="QI15" s="31"/>
      <c r="QJ15" s="31"/>
      <c r="QK15" s="32"/>
      <c r="QL15" s="32"/>
      <c r="QM15" s="30"/>
      <c r="QN15" s="30"/>
      <c r="QO15" s="31"/>
      <c r="QP15" s="31"/>
      <c r="QQ15" s="32" t="s">
        <v>36</v>
      </c>
      <c r="QR15" s="32"/>
      <c r="QS15" s="30"/>
      <c r="QT15" s="30"/>
      <c r="QU15" s="31"/>
      <c r="QV15" s="31"/>
      <c r="QW15" s="32"/>
      <c r="QX15" s="32"/>
      <c r="QY15" s="30"/>
      <c r="QZ15" s="30"/>
      <c r="RA15" s="31"/>
      <c r="RB15" s="31"/>
      <c r="RC15" s="32"/>
      <c r="RD15" s="32"/>
      <c r="RE15" s="30"/>
      <c r="RF15" s="30"/>
      <c r="RG15" s="31"/>
      <c r="RH15" s="31"/>
      <c r="RI15" s="32"/>
      <c r="RJ15" s="32"/>
      <c r="RK15" s="30"/>
      <c r="RL15" s="30"/>
      <c r="RM15" s="31"/>
      <c r="RN15" s="31"/>
      <c r="RO15" s="32"/>
      <c r="RP15" s="32"/>
      <c r="RQ15" s="30"/>
      <c r="RR15" s="30"/>
      <c r="RS15" s="31"/>
      <c r="RT15" s="31"/>
      <c r="RU15" s="32"/>
      <c r="RV15" s="32"/>
      <c r="RW15" s="30"/>
      <c r="RX15" s="30"/>
      <c r="RY15" s="31"/>
      <c r="RZ15" s="31"/>
      <c r="SA15" s="32"/>
      <c r="SB15" s="32"/>
      <c r="SC15" s="30"/>
      <c r="SD15" s="30"/>
      <c r="SE15" s="31"/>
      <c r="SF15" s="31"/>
      <c r="SG15" s="32"/>
      <c r="SH15" s="32"/>
      <c r="SI15" s="30"/>
      <c r="SJ15" s="30"/>
      <c r="SK15" s="30"/>
      <c r="SL15" s="31"/>
      <c r="SM15" s="31"/>
      <c r="SN15" s="32"/>
      <c r="SO15" s="32"/>
      <c r="SP15" s="30"/>
      <c r="SQ15" s="30"/>
      <c r="SR15" s="31"/>
      <c r="SS15" s="31"/>
      <c r="ST15" s="32"/>
      <c r="SU15" s="32"/>
      <c r="SV15" s="30"/>
      <c r="SW15" s="30"/>
      <c r="SX15" s="31"/>
      <c r="SY15" s="31"/>
      <c r="SZ15" s="32"/>
      <c r="TA15" s="32"/>
      <c r="TB15" s="30"/>
      <c r="TC15" s="30"/>
      <c r="TD15" s="31"/>
      <c r="TE15" s="31"/>
      <c r="TF15" s="32"/>
      <c r="TG15" s="32"/>
      <c r="TH15" s="30"/>
      <c r="TI15" s="30"/>
      <c r="TJ15" s="31"/>
      <c r="TK15" s="31"/>
      <c r="TL15" s="32"/>
      <c r="TM15" s="32"/>
      <c r="TN15" s="30"/>
      <c r="TO15" s="30"/>
      <c r="TP15" s="31"/>
      <c r="TQ15" s="31"/>
      <c r="TR15" s="32"/>
      <c r="TS15" s="32"/>
      <c r="TT15" s="30"/>
      <c r="TU15" s="30"/>
      <c r="TV15" s="31" t="s">
        <v>451</v>
      </c>
      <c r="TW15" s="31"/>
      <c r="TX15" s="32"/>
      <c r="TY15" s="32"/>
      <c r="TZ15" s="30"/>
      <c r="UA15" s="30"/>
      <c r="UB15" s="31"/>
      <c r="UC15" s="31"/>
      <c r="UD15" s="32"/>
      <c r="UE15" s="32"/>
      <c r="UF15" s="30"/>
      <c r="UG15" s="30"/>
      <c r="UH15" s="31"/>
      <c r="UI15" s="31"/>
      <c r="UJ15" s="32"/>
      <c r="UK15" s="32"/>
      <c r="UL15" s="30"/>
      <c r="UM15" s="30"/>
      <c r="UN15" s="31"/>
      <c r="UO15" s="31"/>
      <c r="UP15" s="32"/>
      <c r="UQ15" s="32"/>
      <c r="UR15" s="30"/>
      <c r="US15" s="30"/>
      <c r="UT15" s="31"/>
      <c r="UU15" s="31"/>
      <c r="UV15" s="32"/>
      <c r="UW15" s="32"/>
      <c r="UX15" s="30"/>
      <c r="UY15" s="30"/>
      <c r="UZ15" s="31"/>
      <c r="VA15" s="31"/>
      <c r="VB15" s="32"/>
      <c r="VC15" s="32"/>
      <c r="VD15" s="30"/>
      <c r="VE15" s="30"/>
      <c r="VF15" s="31"/>
      <c r="VG15" s="31"/>
      <c r="VH15" s="32"/>
      <c r="VI15" s="32"/>
      <c r="VJ15" s="30"/>
      <c r="VK15" s="30"/>
      <c r="VL15" s="31"/>
      <c r="VM15" s="31"/>
      <c r="VN15" s="32"/>
      <c r="VO15" s="32"/>
      <c r="VP15" s="30"/>
      <c r="VQ15" s="30"/>
      <c r="VR15" s="31"/>
      <c r="VS15" s="31"/>
      <c r="VT15" s="32"/>
      <c r="VU15" s="32"/>
      <c r="VV15" s="30"/>
      <c r="VW15" s="30"/>
      <c r="VX15" s="31"/>
      <c r="VY15" s="31"/>
      <c r="VZ15" s="32"/>
      <c r="WA15" s="32"/>
      <c r="WB15" s="30"/>
      <c r="WC15" s="30"/>
      <c r="WD15" s="31"/>
      <c r="WE15" s="31"/>
      <c r="WF15" s="32"/>
      <c r="WG15" s="32"/>
      <c r="WH15" s="30"/>
      <c r="WI15" s="30"/>
      <c r="WJ15" s="31"/>
      <c r="WK15" s="31"/>
      <c r="WL15" s="32"/>
      <c r="WM15" s="32"/>
      <c r="WN15" s="30"/>
      <c r="WO15" s="30"/>
      <c r="WP15" s="31"/>
      <c r="WQ15" s="31"/>
      <c r="WR15" s="32"/>
      <c r="WS15" s="32"/>
      <c r="WT15" s="30"/>
      <c r="WU15" s="30"/>
      <c r="WV15" s="31"/>
      <c r="WW15" s="31"/>
      <c r="WX15" s="32"/>
      <c r="WY15" s="32"/>
      <c r="WZ15" s="30"/>
      <c r="XA15" s="30"/>
      <c r="XB15" s="31"/>
      <c r="XC15" s="31"/>
      <c r="XD15" s="32"/>
      <c r="XE15" s="32"/>
      <c r="XF15" s="30"/>
      <c r="XG15" s="30"/>
      <c r="XH15" s="31"/>
      <c r="XI15" s="31"/>
      <c r="XJ15" s="32"/>
      <c r="XK15" s="32"/>
      <c r="XL15" s="30"/>
      <c r="XM15" s="30"/>
      <c r="XN15" s="31"/>
      <c r="XO15" s="31"/>
      <c r="XP15" s="32"/>
      <c r="XQ15" s="32"/>
      <c r="XR15" s="30"/>
      <c r="XS15" s="30"/>
      <c r="XT15" s="31"/>
      <c r="XU15" s="31"/>
      <c r="XV15" s="32"/>
      <c r="XW15" s="32"/>
      <c r="XX15" s="30"/>
      <c r="XY15" s="30"/>
      <c r="XZ15" s="31"/>
      <c r="YA15" s="31"/>
      <c r="YB15" s="32"/>
      <c r="YC15" s="32"/>
      <c r="YD15" s="30"/>
      <c r="YE15" s="30"/>
      <c r="YF15" s="31"/>
      <c r="YG15" s="31"/>
      <c r="YH15" s="32"/>
      <c r="YI15" s="32"/>
      <c r="YJ15" s="30"/>
      <c r="YK15" s="30"/>
      <c r="YL15" s="31"/>
      <c r="YM15" s="31"/>
      <c r="YN15" s="32"/>
      <c r="YO15" s="32"/>
      <c r="YP15" s="30"/>
      <c r="YQ15" s="30"/>
      <c r="YR15" s="31"/>
      <c r="YS15" s="31"/>
      <c r="YT15" s="32"/>
      <c r="YU15" s="32"/>
      <c r="YV15" s="30"/>
      <c r="YW15" s="30"/>
      <c r="YX15" s="31"/>
      <c r="YY15" s="31"/>
      <c r="YZ15" s="32"/>
      <c r="ZA15" s="32"/>
      <c r="ZB15" s="30"/>
      <c r="ZC15" s="30"/>
      <c r="ZD15" s="31"/>
      <c r="ZE15" s="31"/>
      <c r="ZF15" s="32"/>
      <c r="ZG15" s="32"/>
      <c r="ZH15" s="30"/>
      <c r="ZI15" s="30"/>
      <c r="ZJ15" s="31"/>
      <c r="ZK15" s="31"/>
      <c r="ZL15" s="32"/>
      <c r="ZM15" s="32"/>
      <c r="ZN15" s="30"/>
      <c r="ZO15" s="30"/>
      <c r="ZP15" s="31"/>
      <c r="ZQ15" s="31"/>
      <c r="ZR15" s="32"/>
      <c r="ZS15" s="32"/>
      <c r="ZT15" s="30"/>
      <c r="ZU15" s="30"/>
      <c r="ZV15" s="31"/>
      <c r="ZW15" s="31"/>
      <c r="ZX15" s="32"/>
      <c r="ZY15" s="32"/>
      <c r="ZZ15" s="30"/>
      <c r="AAA15" s="30"/>
      <c r="AAB15" s="31"/>
      <c r="AAC15" s="31"/>
      <c r="AAD15" s="32"/>
      <c r="AAE15" s="32"/>
      <c r="AAF15" s="30"/>
      <c r="AAG15" s="30"/>
      <c r="AAH15" s="31"/>
      <c r="AAI15" s="31"/>
      <c r="AAJ15" s="32"/>
      <c r="AAK15" s="32"/>
      <c r="AAL15" s="30"/>
      <c r="AAM15" s="30"/>
      <c r="AAN15" s="31"/>
      <c r="AAO15" s="31"/>
      <c r="AAP15" s="32"/>
      <c r="AAQ15" s="32"/>
      <c r="AAR15" s="30"/>
      <c r="AAS15" s="30"/>
      <c r="AAT15" s="31"/>
      <c r="AAU15" s="31"/>
      <c r="AAV15" s="32"/>
      <c r="AAW15" s="32"/>
      <c r="AAX15" s="30"/>
      <c r="AAY15" s="30"/>
      <c r="AAZ15" s="31"/>
      <c r="ABA15" s="31"/>
      <c r="ABB15" s="32"/>
      <c r="ABC15" s="32"/>
      <c r="ABD15" s="30"/>
      <c r="ABE15" s="30"/>
      <c r="ABF15" s="31"/>
      <c r="ABG15" s="31"/>
      <c r="ABH15" s="32"/>
      <c r="ABI15" s="32"/>
      <c r="ABJ15" s="30"/>
      <c r="ABK15" s="30"/>
      <c r="ABL15" s="31"/>
      <c r="ABM15" s="31"/>
      <c r="ABN15" s="32"/>
      <c r="ABO15" s="32"/>
      <c r="ABP15" s="30"/>
      <c r="ABQ15" s="30"/>
      <c r="ABR15" s="31"/>
      <c r="ABS15" s="31"/>
      <c r="ABT15" s="32"/>
      <c r="ABU15" s="32"/>
      <c r="ABV15" s="30"/>
      <c r="ABW15" s="30"/>
      <c r="ABX15" s="31"/>
      <c r="ABY15" s="31"/>
      <c r="ABZ15" s="32"/>
      <c r="ACA15" s="32"/>
      <c r="ACB15" s="30"/>
      <c r="ACC15" s="30"/>
      <c r="ACD15" s="31"/>
      <c r="ACE15" s="31"/>
      <c r="ACF15" s="32"/>
      <c r="ACG15" s="32"/>
      <c r="ACH15" s="30"/>
      <c r="ACI15" s="30"/>
      <c r="ACJ15" s="31"/>
      <c r="ACK15" s="31"/>
      <c r="ACL15" s="32"/>
      <c r="ACM15" s="32"/>
      <c r="ACN15" s="30"/>
      <c r="ACO15" s="30"/>
      <c r="ACP15" s="31"/>
      <c r="ACQ15" s="31"/>
      <c r="ACR15" s="32"/>
      <c r="ACS15" s="32"/>
      <c r="ACT15" s="30"/>
      <c r="ACU15" s="30"/>
      <c r="ACV15" s="31"/>
      <c r="ACW15" s="31"/>
      <c r="ACX15" s="32"/>
      <c r="ACY15" s="32"/>
      <c r="ACZ15" s="30"/>
      <c r="ADA15" s="30"/>
      <c r="ADB15" s="31"/>
      <c r="ADC15" s="31"/>
      <c r="ADD15" s="32"/>
      <c r="ADE15" s="32"/>
      <c r="ADF15" s="30"/>
      <c r="ADG15" s="30"/>
      <c r="ADH15" s="31"/>
      <c r="ADI15" s="31"/>
      <c r="ADJ15" s="32"/>
      <c r="ADK15" s="32"/>
      <c r="ADL15" s="30"/>
      <c r="ADM15" s="30"/>
      <c r="ADN15" s="31"/>
      <c r="ADO15" s="31"/>
      <c r="ADP15" s="32"/>
      <c r="ADQ15" s="32"/>
      <c r="ADR15" s="30"/>
      <c r="ADS15" s="30"/>
      <c r="ADT15" s="31"/>
      <c r="ADU15" s="31"/>
      <c r="ADV15" s="32"/>
      <c r="ADW15" s="32"/>
      <c r="ADX15" s="30"/>
      <c r="ADY15" s="30"/>
      <c r="ADZ15" s="31"/>
      <c r="AEA15" s="31"/>
      <c r="AEB15" s="32"/>
      <c r="AEC15" s="32"/>
      <c r="AED15" s="30"/>
      <c r="AEE15" s="30"/>
      <c r="AEF15" s="31"/>
      <c r="AEG15" s="31"/>
      <c r="AEH15" s="32"/>
      <c r="AEI15" s="32"/>
      <c r="AEJ15" s="30"/>
      <c r="AEK15" s="30"/>
      <c r="AEL15" s="31"/>
      <c r="AEM15" s="31"/>
      <c r="AEN15" s="32"/>
      <c r="AEO15" s="32"/>
      <c r="AEP15" s="30"/>
      <c r="AEQ15" s="30"/>
      <c r="AER15" s="31"/>
      <c r="AES15" s="31"/>
      <c r="AET15" s="32"/>
      <c r="AEU15" s="32"/>
      <c r="AEV15" s="30"/>
      <c r="AEW15" s="30"/>
      <c r="AEX15" s="31"/>
      <c r="AEY15" s="31"/>
      <c r="AEZ15" s="32"/>
      <c r="AFA15" s="32"/>
      <c r="AFB15" s="30"/>
      <c r="AFC15" s="30"/>
      <c r="AFD15" s="31"/>
      <c r="AFE15" s="31"/>
      <c r="AFF15" s="32"/>
      <c r="AFG15" s="32"/>
      <c r="AFH15" s="30"/>
      <c r="AFI15" s="30"/>
      <c r="AFJ15" s="31"/>
      <c r="AFK15" s="31"/>
      <c r="AFL15" s="32"/>
      <c r="AFM15" s="32"/>
      <c r="AFN15" s="30"/>
      <c r="AFO15" s="30"/>
      <c r="AFP15" s="31"/>
      <c r="AFQ15" s="31"/>
      <c r="AFR15" s="32"/>
      <c r="AFS15" s="32"/>
      <c r="AFT15" s="30"/>
      <c r="AFU15" s="30"/>
      <c r="AFV15" s="31"/>
      <c r="AFW15" s="31"/>
      <c r="AFX15" s="32"/>
      <c r="AFY15" s="32"/>
      <c r="AFZ15" s="30"/>
      <c r="AGA15" s="30"/>
      <c r="AGB15" s="31"/>
      <c r="AGC15" s="31"/>
      <c r="AGD15" s="32"/>
      <c r="AGE15" s="32"/>
      <c r="AGF15" s="30"/>
      <c r="AGG15" s="30"/>
      <c r="AGH15" s="31"/>
      <c r="AGI15" s="31"/>
      <c r="AGJ15" s="32"/>
      <c r="AGK15" s="32"/>
      <c r="AGL15" s="30"/>
      <c r="AGM15" s="30"/>
      <c r="AGN15" s="31"/>
      <c r="AGO15" s="31"/>
      <c r="AGP15" s="32"/>
      <c r="AGQ15" s="32"/>
      <c r="AGR15" s="30"/>
      <c r="AGS15" s="30"/>
      <c r="AGT15" s="31"/>
      <c r="AGU15" s="31"/>
      <c r="AGV15" s="32"/>
      <c r="AGW15" s="32"/>
      <c r="AGX15" s="30"/>
      <c r="AGY15" s="30"/>
      <c r="AGZ15" s="31"/>
      <c r="AHA15" s="31"/>
      <c r="AHB15" s="32"/>
      <c r="AHC15" s="32"/>
      <c r="AHD15" s="30"/>
      <c r="AHE15" s="30"/>
      <c r="AHF15" s="31"/>
      <c r="AHG15" s="31"/>
      <c r="AHH15" s="32"/>
      <c r="AHI15" s="32"/>
      <c r="AHJ15" s="30"/>
      <c r="AHK15" s="30"/>
      <c r="AHL15" s="31"/>
      <c r="AHM15" s="31"/>
      <c r="AHN15" s="32"/>
      <c r="AHO15" s="32"/>
      <c r="AHP15" s="30"/>
      <c r="AHQ15" s="30"/>
      <c r="AHR15" s="31"/>
      <c r="AHS15" s="31"/>
      <c r="AHT15" s="32"/>
      <c r="AHU15" s="32"/>
      <c r="AHV15" s="30"/>
      <c r="AHW15" s="30"/>
      <c r="AHX15" s="31"/>
      <c r="AHY15" s="31"/>
      <c r="AHZ15" s="32"/>
      <c r="AIA15" s="32"/>
      <c r="AIB15" s="30"/>
      <c r="AIC15" s="30"/>
      <c r="AID15" s="31"/>
      <c r="AIE15" s="31"/>
      <c r="AIF15" s="32"/>
      <c r="AIG15" s="32"/>
      <c r="AIH15" s="30"/>
      <c r="AII15" s="30"/>
      <c r="AIJ15" s="31"/>
      <c r="AIK15" s="31"/>
      <c r="AIL15" s="32"/>
      <c r="AIM15" s="32"/>
      <c r="AIN15" s="30"/>
      <c r="AIO15" s="30"/>
      <c r="AIP15" s="31"/>
      <c r="AIQ15" s="31"/>
      <c r="AIR15" s="32"/>
      <c r="AIS15" s="32"/>
      <c r="AIT15" s="30"/>
      <c r="AIU15" s="30"/>
      <c r="AIV15" s="31"/>
      <c r="AIW15" s="31"/>
      <c r="AIX15" s="32"/>
      <c r="AIY15" s="32"/>
      <c r="AIZ15" s="30"/>
      <c r="AJA15" s="30"/>
      <c r="AJB15" s="31"/>
      <c r="AJC15" s="31"/>
      <c r="AJD15" s="32"/>
      <c r="AJE15" s="32"/>
      <c r="AJF15" s="30"/>
      <c r="AJG15" s="30"/>
      <c r="AJH15" s="31"/>
      <c r="AJI15" s="31"/>
      <c r="AJJ15" s="32"/>
      <c r="AJK15" s="32"/>
      <c r="AJL15" s="30"/>
      <c r="AJM15" s="30"/>
      <c r="AJN15" s="31"/>
      <c r="AJO15" s="31"/>
      <c r="AJP15" s="32"/>
      <c r="AJQ15" s="32"/>
      <c r="AJR15" s="30"/>
      <c r="AJS15" s="30"/>
      <c r="AJT15" s="31"/>
      <c r="AJU15" s="31"/>
      <c r="AJV15" s="32"/>
      <c r="AJW15" s="32"/>
      <c r="AJX15" s="30"/>
      <c r="AJY15" s="30"/>
      <c r="AJZ15" s="31"/>
      <c r="AKA15" s="31"/>
      <c r="AKB15" s="32"/>
      <c r="AKC15" s="32"/>
      <c r="AKD15" s="30"/>
      <c r="AKE15" s="30"/>
      <c r="AKF15" s="31"/>
      <c r="AKG15" s="31"/>
      <c r="AKH15" s="32"/>
      <c r="AKI15" s="32"/>
      <c r="AKJ15" s="30"/>
      <c r="AKK15" s="30"/>
      <c r="AKL15" s="31"/>
      <c r="AKM15" s="31"/>
      <c r="AKN15" s="32"/>
      <c r="AKO15" s="32"/>
      <c r="AKP15" s="30"/>
      <c r="AKQ15" s="30"/>
      <c r="AKR15" s="31"/>
      <c r="AKS15" s="31"/>
      <c r="AKT15" s="32"/>
      <c r="AKU15" s="32"/>
      <c r="AKV15" s="30"/>
      <c r="AKW15" s="30"/>
      <c r="AKX15" s="31"/>
      <c r="AKY15" s="31"/>
      <c r="AKZ15" s="32"/>
      <c r="ALA15" s="32"/>
      <c r="ALB15" s="30"/>
      <c r="ALC15" s="30"/>
      <c r="ALD15" s="31"/>
      <c r="ALE15" s="31"/>
      <c r="ALF15" s="32"/>
      <c r="ALG15" s="32"/>
      <c r="ALH15" s="30"/>
      <c r="ALI15" s="30"/>
      <c r="ALJ15" s="31"/>
      <c r="ALK15" s="31"/>
      <c r="ALL15" s="32"/>
      <c r="ALM15" s="32"/>
      <c r="ALN15" s="30"/>
      <c r="ALO15" s="30"/>
      <c r="ALP15" s="31"/>
      <c r="ALQ15" s="31"/>
      <c r="ALR15" s="32"/>
      <c r="ALS15" s="32"/>
      <c r="ALT15" s="30"/>
      <c r="ALU15" s="30"/>
      <c r="ALV15" s="31"/>
      <c r="ALW15" s="31"/>
      <c r="ALX15" s="32"/>
      <c r="ALY15" s="32"/>
      <c r="ALZ15" s="30"/>
      <c r="AMA15" s="30"/>
      <c r="AMB15" s="31"/>
      <c r="AMC15" s="31"/>
      <c r="AMD15" s="32"/>
      <c r="AME15" s="32"/>
      <c r="AMF15" s="30"/>
      <c r="AMG15" s="30"/>
      <c r="AMH15" s="31"/>
      <c r="AMI15" s="31"/>
      <c r="AMJ15" s="32"/>
      <c r="AMK15" s="32"/>
      <c r="AML15" s="30"/>
      <c r="AMM15" s="30"/>
      <c r="AMN15" s="31"/>
      <c r="AMO15" s="31"/>
      <c r="AMP15" s="32"/>
      <c r="AMQ15" s="32"/>
      <c r="AMR15" s="30"/>
      <c r="AMS15" s="30"/>
      <c r="AMT15" s="31"/>
      <c r="AMU15" s="31"/>
      <c r="AMV15" s="32"/>
      <c r="AMW15" s="32"/>
      <c r="AMX15" s="30"/>
      <c r="AMY15" s="30"/>
      <c r="AMZ15" s="31"/>
      <c r="ANA15" s="31"/>
      <c r="ANB15" s="32"/>
      <c r="ANC15" s="32"/>
      <c r="AND15" s="30"/>
      <c r="ANE15" s="30"/>
      <c r="ANF15" s="31"/>
      <c r="ANG15" s="31"/>
      <c r="ANH15" s="32"/>
      <c r="ANI15" s="32"/>
      <c r="ANJ15" s="30"/>
      <c r="ANK15" s="30"/>
      <c r="ANL15" s="31"/>
      <c r="ANM15" s="31"/>
      <c r="ANN15" s="32"/>
      <c r="ANO15" s="32"/>
      <c r="ANP15" s="30"/>
      <c r="ANQ15" s="30"/>
      <c r="ANR15" s="31" t="s">
        <v>594</v>
      </c>
      <c r="ANS15" s="31"/>
      <c r="ANT15" s="32"/>
      <c r="ANU15" s="32"/>
      <c r="ANV15" s="30"/>
      <c r="ANW15" s="30"/>
      <c r="ANX15" s="31"/>
      <c r="ANY15" s="31"/>
      <c r="ANZ15" s="32"/>
      <c r="AOA15" s="32"/>
      <c r="AOB15" s="30"/>
      <c r="AOC15" s="30"/>
      <c r="AOD15" s="31"/>
      <c r="AOE15" s="31"/>
      <c r="AOF15" s="32"/>
      <c r="AOG15" s="32"/>
      <c r="AOH15" s="30"/>
      <c r="AOI15" s="30"/>
      <c r="AOJ15" s="31"/>
      <c r="AOK15" s="31"/>
      <c r="AOL15" s="32"/>
      <c r="AOM15" s="32"/>
      <c r="AON15" s="30"/>
      <c r="AOO15" s="30"/>
      <c r="AOP15" s="31"/>
      <c r="AOQ15" s="31"/>
      <c r="AOR15" s="32"/>
      <c r="AOS15" s="32"/>
      <c r="AOT15" s="30"/>
      <c r="AOU15" s="30"/>
      <c r="AOV15" s="33" t="s">
        <v>69</v>
      </c>
      <c r="AOW15" s="31"/>
      <c r="AOX15" s="32"/>
      <c r="AOY15" s="32"/>
      <c r="AOZ15" s="30"/>
      <c r="APA15" s="30"/>
      <c r="APB15" s="31"/>
      <c r="APC15" s="31"/>
      <c r="APD15" s="32"/>
      <c r="APE15" s="32"/>
      <c r="APF15" s="30"/>
      <c r="APG15" s="30"/>
      <c r="APH15" s="32"/>
      <c r="API15" s="32"/>
      <c r="APJ15" s="31"/>
      <c r="APK15" s="31"/>
      <c r="APL15" s="30"/>
      <c r="APM15" s="30"/>
      <c r="APN15" s="32"/>
      <c r="APO15" s="32"/>
      <c r="APP15" s="31"/>
      <c r="APQ15" s="31"/>
      <c r="APR15" s="30"/>
      <c r="APS15" s="30"/>
      <c r="APT15" s="32"/>
      <c r="APU15" s="32"/>
      <c r="APV15" s="31"/>
      <c r="APW15" s="31"/>
      <c r="APX15" s="30"/>
      <c r="APY15" s="30"/>
      <c r="APZ15" s="32"/>
      <c r="AQA15" s="32"/>
      <c r="AQB15" s="31"/>
      <c r="AQC15" s="31"/>
      <c r="AQD15" s="30"/>
      <c r="AQE15" s="30"/>
      <c r="AQF15" s="32"/>
      <c r="AQG15" s="32"/>
      <c r="AQH15" s="31"/>
      <c r="AQI15" s="31"/>
      <c r="AQJ15" s="30"/>
      <c r="AQK15" s="30"/>
      <c r="AQL15" s="32" t="s">
        <v>69</v>
      </c>
      <c r="AQM15" s="32"/>
      <c r="AQN15" s="31"/>
      <c r="AQO15" s="31"/>
      <c r="AQP15" s="30"/>
      <c r="AQQ15" s="30"/>
      <c r="AQR15" s="32"/>
      <c r="AQS15" s="32"/>
      <c r="AQT15" s="31"/>
      <c r="AQU15" s="31"/>
      <c r="AQV15" s="30"/>
      <c r="AQW15" s="30"/>
      <c r="AQX15" s="32"/>
      <c r="AQY15" s="32"/>
      <c r="AQZ15" s="31"/>
      <c r="ARA15" s="31"/>
      <c r="ARB15" s="30"/>
      <c r="ARC15" s="30"/>
      <c r="ARD15" s="32"/>
      <c r="ARE15" s="32"/>
      <c r="ARF15" s="31"/>
      <c r="ARG15" s="31"/>
      <c r="ARH15" s="30"/>
      <c r="ARI15" s="30"/>
      <c r="ARJ15" s="32"/>
      <c r="ARK15" s="32"/>
      <c r="ARL15" s="31"/>
      <c r="ARM15" s="31"/>
      <c r="ARN15" s="30"/>
      <c r="ARO15" s="30"/>
      <c r="ARP15" s="32"/>
      <c r="ARQ15" s="32"/>
      <c r="ARR15" s="31"/>
      <c r="ARS15" s="31"/>
      <c r="ART15" s="30"/>
      <c r="ARU15" s="30"/>
      <c r="ARV15" s="32"/>
      <c r="ARW15" s="32"/>
      <c r="ARX15" s="31"/>
      <c r="ARY15" s="31"/>
      <c r="ARZ15" s="30"/>
      <c r="ASA15" s="30"/>
      <c r="ASB15" s="32"/>
      <c r="ASC15" s="32"/>
      <c r="ASD15" s="31"/>
      <c r="ASE15" s="31"/>
      <c r="ASF15" s="30"/>
      <c r="ASG15" s="30"/>
      <c r="ASH15" s="32"/>
      <c r="ASI15" s="32"/>
      <c r="ASJ15" s="31"/>
      <c r="ASK15" s="31"/>
      <c r="ASL15" s="30"/>
      <c r="ASM15" s="30"/>
      <c r="ASN15" s="32"/>
      <c r="ASO15" s="32"/>
      <c r="ASP15" s="31"/>
      <c r="ASQ15" s="31"/>
      <c r="ASR15" s="30"/>
      <c r="ASS15" s="30"/>
      <c r="AST15" s="32"/>
      <c r="ASU15" s="32"/>
      <c r="ASV15" s="31"/>
      <c r="ASW15" s="31"/>
      <c r="ASX15" s="30"/>
      <c r="ASY15" s="30"/>
      <c r="ASZ15" s="32"/>
      <c r="ATA15" s="32"/>
      <c r="ATB15" s="31"/>
      <c r="ATC15" s="31"/>
      <c r="ATD15" s="30"/>
      <c r="ATE15" s="30"/>
      <c r="ATF15" s="32"/>
      <c r="ATG15" s="32"/>
      <c r="ATH15" s="31"/>
      <c r="ATI15" s="31"/>
      <c r="ATJ15" s="30"/>
      <c r="ATK15" s="30"/>
      <c r="ATL15" s="32"/>
      <c r="ATM15" s="32"/>
      <c r="ATN15" s="31"/>
      <c r="ATO15" s="31"/>
      <c r="ATP15" s="30"/>
      <c r="ATQ15" s="30"/>
      <c r="ATR15" s="32"/>
      <c r="ATS15" s="32"/>
      <c r="ATT15" s="31"/>
      <c r="ATU15" s="31"/>
      <c r="ATV15" s="30"/>
      <c r="ATW15" s="30"/>
      <c r="ATX15" s="32"/>
      <c r="ATY15" s="32"/>
      <c r="ATZ15" s="31"/>
      <c r="AUA15" s="31"/>
      <c r="AUB15" s="30"/>
      <c r="AUC15" s="30"/>
      <c r="AUD15" s="32"/>
      <c r="AUE15" s="32"/>
      <c r="AUF15" s="31"/>
      <c r="AUG15" s="31"/>
      <c r="AUH15" s="30"/>
      <c r="AUI15" s="30"/>
      <c r="AUJ15" s="32"/>
      <c r="AUK15" s="32"/>
      <c r="AUL15" s="31"/>
      <c r="AUM15" s="31"/>
      <c r="AUN15" s="30"/>
      <c r="AUO15" s="30"/>
      <c r="AUP15" s="32"/>
      <c r="AUQ15" s="32"/>
      <c r="AUR15" s="31"/>
      <c r="AUS15" s="31"/>
      <c r="AUT15" s="30"/>
      <c r="AUU15" s="30"/>
      <c r="AUV15" s="32"/>
      <c r="AUW15" s="32"/>
      <c r="AUX15" s="31"/>
      <c r="AUY15" s="31"/>
      <c r="AUZ15" s="30"/>
      <c r="AVA15" s="30"/>
      <c r="AVB15" s="32"/>
      <c r="AVC15" s="32"/>
      <c r="AVD15" s="31"/>
      <c r="AVE15" s="31"/>
      <c r="AVF15" s="30"/>
      <c r="AVG15" s="30"/>
      <c r="AVH15" s="32"/>
      <c r="AVI15" s="32"/>
      <c r="AVJ15" s="31"/>
      <c r="AVK15" s="31"/>
      <c r="AVL15" s="30"/>
      <c r="AVM15" s="30"/>
      <c r="AVN15" s="32"/>
      <c r="AVO15" s="32"/>
      <c r="AVP15" s="31"/>
      <c r="AVQ15" s="31" t="s">
        <v>327</v>
      </c>
      <c r="AVR15" s="30"/>
      <c r="AVS15" s="30"/>
      <c r="AVT15" s="32"/>
      <c r="AVU15" s="32"/>
      <c r="AVV15" s="31" t="s">
        <v>607</v>
      </c>
      <c r="AVW15" s="31"/>
      <c r="AVX15" s="30"/>
      <c r="AVY15" s="30"/>
      <c r="AVZ15" s="32"/>
      <c r="AWA15" s="32"/>
      <c r="AWB15" s="31"/>
      <c r="AWC15" s="31"/>
      <c r="AWD15" s="30"/>
      <c r="AWE15" s="30"/>
      <c r="AWF15" s="32"/>
      <c r="AWG15" s="32"/>
      <c r="AWH15" s="31"/>
      <c r="AWI15" s="31"/>
      <c r="AWJ15" s="30"/>
      <c r="AWK15" s="30"/>
      <c r="AWL15" s="32"/>
      <c r="AWM15" s="32"/>
      <c r="AWN15" s="31"/>
      <c r="AWO15" s="31"/>
      <c r="AWP15" s="30"/>
      <c r="AWQ15" s="30"/>
      <c r="AWR15" s="32"/>
      <c r="AWS15" s="32"/>
      <c r="AWT15" s="31"/>
      <c r="AWU15" s="31"/>
      <c r="AWV15" s="30"/>
      <c r="AWW15" s="30"/>
      <c r="AWX15" s="32"/>
      <c r="AWY15" s="32"/>
      <c r="AWZ15" s="31"/>
      <c r="AXA15" s="31"/>
      <c r="AXB15" s="30"/>
      <c r="AXC15" s="30"/>
      <c r="AXD15" s="32"/>
      <c r="AXE15" s="32"/>
      <c r="AXF15" s="31"/>
      <c r="AXG15" s="31"/>
      <c r="AXH15" s="30"/>
      <c r="AXI15" s="30"/>
      <c r="AXJ15" s="32"/>
      <c r="AXK15" s="32"/>
      <c r="AXL15" s="31"/>
      <c r="AXM15" s="31"/>
      <c r="AXN15" s="30"/>
      <c r="AXO15" s="30"/>
      <c r="AXP15" s="32"/>
      <c r="AXQ15" s="32"/>
      <c r="AXR15" s="31"/>
      <c r="AXS15" s="31"/>
      <c r="AXT15" s="30"/>
      <c r="AXU15" s="30"/>
      <c r="AXV15" s="32"/>
      <c r="AXW15" s="32"/>
      <c r="AXX15" s="31"/>
      <c r="AXY15" s="31"/>
      <c r="AXZ15" s="30"/>
      <c r="AYA15" s="30"/>
      <c r="AYB15" s="32"/>
      <c r="AYC15" s="32"/>
      <c r="AYD15" s="31"/>
      <c r="AYE15" s="31"/>
      <c r="AYF15" s="30"/>
      <c r="AYG15" s="30"/>
      <c r="AYH15" s="32"/>
      <c r="AYI15" s="32"/>
      <c r="AYJ15" s="31"/>
      <c r="AYK15" s="31"/>
      <c r="AYL15" s="30"/>
      <c r="AYM15" s="30"/>
      <c r="AYN15" s="32"/>
      <c r="AYO15" s="32"/>
      <c r="AYP15" s="31"/>
      <c r="AYQ15" s="31"/>
      <c r="AYR15" s="30"/>
      <c r="AYS15" s="30"/>
      <c r="AYT15" s="32"/>
      <c r="AYU15" s="32"/>
      <c r="AYV15" s="31"/>
      <c r="AYW15" s="31"/>
      <c r="AYX15" s="30"/>
      <c r="AYY15" s="30"/>
      <c r="AYZ15" s="32"/>
      <c r="AZA15" s="32"/>
      <c r="AZB15" s="31"/>
      <c r="AZC15" s="31"/>
      <c r="AZD15" s="30"/>
      <c r="AZE15" s="30"/>
      <c r="AZF15" s="32"/>
      <c r="AZG15" s="32"/>
      <c r="AZH15" s="31"/>
      <c r="AZI15" s="31"/>
      <c r="AZJ15" s="30"/>
      <c r="AZK15" s="30"/>
      <c r="AZL15" s="32"/>
      <c r="AZM15" s="32"/>
      <c r="AZN15" s="31"/>
      <c r="AZO15" s="31"/>
      <c r="AZP15" s="30"/>
      <c r="AZQ15" s="30"/>
      <c r="AZR15" s="32"/>
      <c r="AZS15" s="32"/>
      <c r="AZT15" s="31"/>
      <c r="AZU15" s="31"/>
      <c r="AZV15" s="30"/>
      <c r="AZW15" s="30"/>
      <c r="AZX15" s="32"/>
      <c r="AZY15" s="32"/>
      <c r="AZZ15" s="31"/>
      <c r="BAA15" s="31"/>
      <c r="BAB15" s="30"/>
      <c r="BAC15" s="30"/>
      <c r="BAD15" s="32"/>
      <c r="BAE15" s="32"/>
      <c r="BAF15" s="31"/>
      <c r="BAG15" s="31"/>
      <c r="BAH15" s="30"/>
      <c r="BAI15" s="30"/>
      <c r="BAJ15" s="32"/>
      <c r="BAK15" s="32"/>
      <c r="BAL15" s="31"/>
      <c r="BAM15" s="31"/>
      <c r="BAN15" s="30"/>
      <c r="BAO15" s="30"/>
      <c r="BAP15" s="32"/>
      <c r="BAQ15" s="32"/>
      <c r="BAR15" s="31"/>
      <c r="BAS15" s="31"/>
      <c r="BAT15" s="30"/>
      <c r="BAU15" s="30"/>
      <c r="BAV15" s="32"/>
      <c r="BAW15" s="32"/>
      <c r="BAX15" s="31"/>
      <c r="BAY15" s="31"/>
      <c r="BAZ15" s="30"/>
      <c r="BBA15" s="30"/>
      <c r="BBB15" s="32"/>
      <c r="BBC15" s="32"/>
      <c r="BBD15" s="31"/>
      <c r="BBE15" s="31"/>
      <c r="BBF15" s="30"/>
      <c r="BBG15" s="30"/>
      <c r="BBH15" s="32"/>
      <c r="BBI15" s="32"/>
      <c r="BBJ15" s="31"/>
      <c r="BBK15" s="31"/>
      <c r="BBL15" s="30"/>
      <c r="BBM15" s="30"/>
      <c r="BBN15" s="32"/>
      <c r="BBO15" s="32"/>
      <c r="BBP15" s="31"/>
      <c r="BBQ15" s="31"/>
      <c r="BBR15" s="30"/>
      <c r="BBS15" s="30"/>
      <c r="BBT15" s="32"/>
      <c r="BBU15" s="32"/>
      <c r="BBV15" s="31"/>
      <c r="BBW15" s="31"/>
      <c r="BBX15" s="30"/>
      <c r="BBY15" s="30"/>
      <c r="BBZ15" s="32"/>
      <c r="BCA15" s="32"/>
      <c r="BCB15" s="31"/>
      <c r="BCC15" s="31"/>
      <c r="BCD15" s="30"/>
      <c r="BCE15" s="30"/>
      <c r="BCF15" s="32"/>
      <c r="BCG15" s="32"/>
      <c r="BCH15" s="31"/>
      <c r="BCI15" s="31"/>
      <c r="BCJ15" s="30"/>
      <c r="BCK15" s="30"/>
      <c r="BCL15" s="32"/>
      <c r="BCM15" s="32"/>
      <c r="BCN15" s="31"/>
      <c r="BCO15" s="31"/>
      <c r="BCP15" s="30"/>
      <c r="BCQ15" s="30"/>
    </row>
    <row r="16" spans="1:1447">
      <c r="A16" s="30"/>
      <c r="B16" s="30"/>
      <c r="C16" s="31"/>
      <c r="D16" s="31"/>
      <c r="E16" s="32"/>
      <c r="F16" s="32"/>
      <c r="G16" s="30"/>
      <c r="H16" s="30"/>
      <c r="I16" s="31"/>
      <c r="J16" s="31"/>
      <c r="K16" s="32"/>
      <c r="L16" s="32"/>
      <c r="M16" s="30"/>
      <c r="N16" s="30"/>
      <c r="O16" s="31"/>
      <c r="P16" s="31"/>
      <c r="Q16" s="32"/>
      <c r="R16" s="32"/>
      <c r="S16" s="30"/>
      <c r="T16" s="30"/>
      <c r="U16" s="31"/>
      <c r="V16" s="31"/>
      <c r="W16" s="32"/>
      <c r="X16" s="32"/>
      <c r="Y16" s="30"/>
      <c r="Z16" s="30"/>
      <c r="AA16" s="31"/>
      <c r="AB16" s="31"/>
      <c r="AC16" s="32"/>
      <c r="AD16" s="32"/>
      <c r="AE16" s="30"/>
      <c r="AF16" s="30"/>
      <c r="AG16" s="31"/>
      <c r="AH16" s="31"/>
      <c r="AI16" s="32"/>
      <c r="AJ16" s="32"/>
      <c r="AK16" s="30"/>
      <c r="AL16" s="30"/>
      <c r="AM16" s="31"/>
      <c r="AN16" s="31"/>
      <c r="AO16" s="32"/>
      <c r="AP16" s="32"/>
      <c r="AQ16" s="30"/>
      <c r="AR16" s="30"/>
      <c r="AS16" s="31"/>
      <c r="AT16" s="31"/>
      <c r="AU16" s="32"/>
      <c r="AV16" s="32"/>
      <c r="AW16" s="30"/>
      <c r="AX16" s="30"/>
      <c r="AY16" s="31"/>
      <c r="AZ16" s="31"/>
      <c r="BA16" s="32"/>
      <c r="BB16" s="32"/>
      <c r="BC16" s="30"/>
      <c r="BD16" s="30"/>
      <c r="BE16" s="31"/>
      <c r="BF16" s="31"/>
      <c r="BG16" s="32"/>
      <c r="BH16" s="32"/>
      <c r="BI16" s="30"/>
      <c r="BJ16" s="30"/>
      <c r="BK16" s="31"/>
      <c r="BL16" s="31"/>
      <c r="BM16" s="32"/>
      <c r="BN16" s="32"/>
      <c r="BO16" s="30"/>
      <c r="BP16" s="30"/>
      <c r="BQ16" s="31"/>
      <c r="BR16" s="31"/>
      <c r="BS16" s="32"/>
      <c r="BT16" s="32"/>
      <c r="BU16" s="30"/>
      <c r="BV16" s="30"/>
      <c r="BW16" s="31"/>
      <c r="BX16" s="31"/>
      <c r="BY16" s="32"/>
      <c r="BZ16" s="32"/>
      <c r="CA16" s="30"/>
      <c r="CB16" s="30"/>
      <c r="CC16" s="31"/>
      <c r="CD16" s="31"/>
      <c r="CE16" s="32"/>
      <c r="CF16" s="32"/>
      <c r="CG16" s="30"/>
      <c r="CH16" s="30"/>
      <c r="CI16" s="31"/>
      <c r="CJ16" s="31"/>
      <c r="CK16" s="32"/>
      <c r="CL16" s="32"/>
      <c r="CM16" s="30"/>
      <c r="CN16" s="30"/>
      <c r="CO16" s="31"/>
      <c r="CP16" s="31"/>
      <c r="CQ16" s="32"/>
      <c r="CR16" s="32"/>
      <c r="CS16" s="30"/>
      <c r="CT16" s="30"/>
      <c r="CU16" s="31"/>
      <c r="CV16" s="31"/>
      <c r="CW16" s="32"/>
      <c r="CX16" s="32"/>
      <c r="CY16" s="30"/>
      <c r="CZ16" s="30"/>
      <c r="DA16" s="31"/>
      <c r="DB16" s="31"/>
      <c r="DC16" s="32"/>
      <c r="DD16" s="32"/>
      <c r="DE16" s="30"/>
      <c r="DF16" s="30"/>
      <c r="DG16" s="31"/>
      <c r="DH16" s="31"/>
      <c r="DI16" s="32"/>
      <c r="DJ16" s="32"/>
      <c r="DK16" s="30"/>
      <c r="DL16" s="30"/>
      <c r="DM16" s="31"/>
      <c r="DN16" s="31"/>
      <c r="DO16" s="32"/>
      <c r="DP16" s="32"/>
      <c r="DQ16" s="30"/>
      <c r="DR16" s="30"/>
      <c r="DS16" s="31"/>
      <c r="DT16" s="31"/>
      <c r="DU16" s="32"/>
      <c r="DV16" s="32"/>
      <c r="DW16" s="30"/>
      <c r="DX16" s="30"/>
      <c r="DY16" s="31"/>
      <c r="DZ16" s="31"/>
      <c r="EA16" s="32"/>
      <c r="EB16" s="32"/>
      <c r="EC16" s="30"/>
      <c r="ED16" s="30"/>
      <c r="EE16" s="31"/>
      <c r="EF16" s="31"/>
      <c r="EG16" s="32"/>
      <c r="EH16" s="32"/>
      <c r="EI16" s="30"/>
      <c r="EJ16" s="30"/>
      <c r="EK16" s="31"/>
      <c r="EL16" s="31"/>
      <c r="EM16" s="32"/>
      <c r="EN16" s="32"/>
      <c r="EO16" s="30"/>
      <c r="EP16" s="30"/>
      <c r="EQ16" s="31"/>
      <c r="ER16" s="31"/>
      <c r="ES16" s="32"/>
      <c r="ET16" s="32"/>
      <c r="EU16" s="30"/>
      <c r="EV16" s="30"/>
      <c r="EW16" s="31"/>
      <c r="EX16" s="31"/>
      <c r="EY16" s="32"/>
      <c r="EZ16" s="32"/>
      <c r="FA16" s="30"/>
      <c r="FB16" s="30"/>
      <c r="FC16" s="31"/>
      <c r="FD16" s="31"/>
      <c r="FE16" s="32"/>
      <c r="FF16" s="32"/>
      <c r="FG16" s="30"/>
      <c r="FH16" s="30"/>
      <c r="FI16" s="32"/>
      <c r="FJ16" s="32"/>
      <c r="FK16" s="30"/>
      <c r="FL16" s="30"/>
      <c r="FM16" s="31"/>
      <c r="FN16" s="31"/>
      <c r="FO16" s="32"/>
      <c r="FP16" s="32"/>
      <c r="FQ16" s="30"/>
      <c r="FR16" s="30"/>
      <c r="FS16" s="31"/>
      <c r="FT16" s="31"/>
      <c r="FU16" s="32"/>
      <c r="FV16" s="32"/>
      <c r="FW16" s="30"/>
      <c r="FX16" s="30"/>
      <c r="FY16" s="31"/>
      <c r="FZ16" s="31"/>
      <c r="GA16" s="32"/>
      <c r="GB16" s="32"/>
      <c r="GC16" s="30"/>
      <c r="GD16" s="30"/>
      <c r="GE16" s="31"/>
      <c r="GF16" s="31"/>
      <c r="GG16" s="32"/>
      <c r="GH16" s="32"/>
      <c r="GI16" s="30"/>
      <c r="GJ16" s="30"/>
      <c r="GK16" s="31"/>
      <c r="GL16" s="31"/>
      <c r="GM16" s="32"/>
      <c r="GN16" s="32"/>
      <c r="GO16" s="30"/>
      <c r="GP16" s="30"/>
      <c r="GQ16" s="31"/>
      <c r="GR16" s="31"/>
      <c r="GS16" s="32"/>
      <c r="GT16" s="32"/>
      <c r="GU16" s="30"/>
      <c r="GV16" s="30"/>
      <c r="GW16" s="31"/>
      <c r="GX16" s="31"/>
      <c r="GY16" s="32"/>
      <c r="GZ16" s="32"/>
      <c r="HA16" s="30"/>
      <c r="HB16" s="30"/>
      <c r="HC16" s="31"/>
      <c r="HD16" s="31"/>
      <c r="HE16" s="32"/>
      <c r="HF16" s="32"/>
      <c r="HG16" s="30"/>
      <c r="HH16" s="30"/>
      <c r="HI16" s="31"/>
      <c r="HJ16" s="31"/>
      <c r="HK16" s="32"/>
      <c r="HL16" s="32"/>
      <c r="HM16" s="30"/>
      <c r="HN16" s="30"/>
      <c r="HO16" s="31"/>
      <c r="HP16" s="31"/>
      <c r="HQ16" s="32"/>
      <c r="HR16" s="32"/>
      <c r="HS16" s="30"/>
      <c r="HT16" s="30"/>
      <c r="HU16" s="31"/>
      <c r="HV16" s="31"/>
      <c r="HW16" s="32"/>
      <c r="HX16" s="32"/>
      <c r="HY16" s="30"/>
      <c r="HZ16" s="30"/>
      <c r="IA16" s="31"/>
      <c r="IB16" s="31"/>
      <c r="IC16" s="32"/>
      <c r="ID16" s="32"/>
      <c r="IE16" s="30"/>
      <c r="IF16" s="30"/>
      <c r="IG16" s="31"/>
      <c r="IH16" s="31"/>
      <c r="II16" s="32"/>
      <c r="IJ16" s="32"/>
      <c r="IK16" s="30"/>
      <c r="IL16" s="30"/>
      <c r="IM16" s="31"/>
      <c r="IN16" s="31"/>
      <c r="IO16" s="32"/>
      <c r="IP16" s="32"/>
      <c r="IQ16" s="30"/>
      <c r="IR16" s="30"/>
      <c r="IS16" s="31"/>
      <c r="IT16" s="31"/>
      <c r="IU16" s="32"/>
      <c r="IV16" s="32"/>
      <c r="IW16" s="30"/>
      <c r="IX16" s="30"/>
      <c r="IY16" s="31"/>
      <c r="IZ16" s="31"/>
      <c r="JA16" s="32"/>
      <c r="JB16" s="32"/>
      <c r="JC16" s="30"/>
      <c r="JD16" s="30"/>
      <c r="JE16" s="31"/>
      <c r="JF16" s="31"/>
      <c r="JG16" s="32"/>
      <c r="JH16" s="32"/>
      <c r="JI16" s="30"/>
      <c r="JJ16" s="30"/>
      <c r="JK16" s="31"/>
      <c r="JL16" s="31"/>
      <c r="JM16" s="32"/>
      <c r="JN16" s="32"/>
      <c r="JO16" s="30"/>
      <c r="JP16" s="30"/>
      <c r="JQ16" s="31"/>
      <c r="JR16" s="31"/>
      <c r="JS16" s="32"/>
      <c r="JT16" s="32"/>
      <c r="JU16" s="30"/>
      <c r="JV16" s="30"/>
      <c r="JW16" s="31"/>
      <c r="JX16" s="31"/>
      <c r="JY16" s="32"/>
      <c r="JZ16" s="32"/>
      <c r="KA16" s="30"/>
      <c r="KB16" s="30"/>
      <c r="KC16" s="31"/>
      <c r="KD16" s="31"/>
      <c r="KE16" s="32"/>
      <c r="KF16" s="32"/>
      <c r="KG16" s="30"/>
      <c r="KH16" s="30"/>
      <c r="KI16" s="31"/>
      <c r="KJ16" s="31"/>
      <c r="KK16" s="32"/>
      <c r="KL16" s="32" t="s">
        <v>598</v>
      </c>
      <c r="KM16" s="30"/>
      <c r="KN16" s="30"/>
      <c r="KO16" s="31"/>
      <c r="KP16" s="31"/>
      <c r="KQ16" s="32"/>
      <c r="KR16" s="32"/>
      <c r="KS16" s="30"/>
      <c r="KT16" s="30"/>
      <c r="KU16" s="31"/>
      <c r="KV16" s="31"/>
      <c r="KW16" s="32"/>
      <c r="KX16" s="32"/>
      <c r="KY16" s="30"/>
      <c r="KZ16" s="30"/>
      <c r="LA16" s="31"/>
      <c r="LB16" s="31"/>
      <c r="LC16" s="32"/>
      <c r="LD16" s="32"/>
      <c r="LE16" s="30"/>
      <c r="LF16" s="30"/>
      <c r="LG16" s="31"/>
      <c r="LH16" s="31"/>
      <c r="LI16" s="32"/>
      <c r="LJ16" s="32"/>
      <c r="LK16" s="30"/>
      <c r="LL16" s="30"/>
      <c r="LM16" s="31"/>
      <c r="LN16" s="31"/>
      <c r="LO16" s="32"/>
      <c r="LP16" s="32"/>
      <c r="LQ16" s="30"/>
      <c r="LR16" s="30"/>
      <c r="LS16" s="31"/>
      <c r="LT16" s="31"/>
      <c r="LU16" s="32"/>
      <c r="LV16" s="32"/>
      <c r="LW16" s="30"/>
      <c r="LX16" s="30"/>
      <c r="LY16" s="31"/>
      <c r="LZ16" s="31"/>
      <c r="MA16" s="32"/>
      <c r="MB16" s="32"/>
      <c r="MC16" s="30"/>
      <c r="MD16" s="30"/>
      <c r="ME16" s="31"/>
      <c r="MF16" s="31"/>
      <c r="MG16" s="32"/>
      <c r="MH16" s="32"/>
      <c r="MI16" s="30"/>
      <c r="MJ16" s="30"/>
      <c r="MK16" s="31"/>
      <c r="ML16" s="31"/>
      <c r="MM16" s="32"/>
      <c r="MN16" s="32"/>
      <c r="MO16" s="30"/>
      <c r="MP16" s="30"/>
      <c r="MQ16" s="31"/>
      <c r="MR16" s="31"/>
      <c r="MS16" s="32"/>
      <c r="MT16" s="32"/>
      <c r="MU16" s="33" t="s">
        <v>74</v>
      </c>
      <c r="MV16" s="30"/>
      <c r="MW16" s="31"/>
      <c r="MX16" s="31"/>
      <c r="MY16" s="32"/>
      <c r="MZ16" s="32"/>
      <c r="NA16" s="30"/>
      <c r="NB16" s="30"/>
      <c r="NC16" s="31"/>
      <c r="ND16" s="31"/>
      <c r="NE16" s="32"/>
      <c r="NF16" s="32"/>
      <c r="NG16" s="30"/>
      <c r="NH16" s="30"/>
      <c r="NI16" s="31"/>
      <c r="NJ16" s="31"/>
      <c r="NK16" s="32"/>
      <c r="NL16" s="32"/>
      <c r="NM16" s="30"/>
      <c r="NN16" s="30"/>
      <c r="NO16" s="31"/>
      <c r="NP16" s="31"/>
      <c r="NQ16" s="32"/>
      <c r="NR16" s="32"/>
      <c r="NS16" s="30"/>
      <c r="NT16" s="30"/>
      <c r="NU16" s="31"/>
      <c r="NV16" s="31"/>
      <c r="NW16" s="32"/>
      <c r="NX16" s="32"/>
      <c r="NY16" s="30"/>
      <c r="NZ16" s="30"/>
      <c r="OA16" s="31"/>
      <c r="OB16" s="31"/>
      <c r="OC16" s="32"/>
      <c r="OD16" s="32"/>
      <c r="OE16" s="30"/>
      <c r="OF16" s="30"/>
      <c r="OG16" s="31"/>
      <c r="OH16" s="31"/>
      <c r="OI16" s="32"/>
      <c r="OJ16" s="32"/>
      <c r="OK16" s="30"/>
      <c r="OL16" s="30"/>
      <c r="OM16" s="31"/>
      <c r="ON16" s="31"/>
      <c r="OO16" s="32"/>
      <c r="OP16" s="32"/>
      <c r="OQ16" s="30"/>
      <c r="OR16" s="30"/>
      <c r="OS16" s="31"/>
      <c r="OT16" s="31"/>
      <c r="OU16" s="32"/>
      <c r="OV16" s="32"/>
      <c r="OW16" s="30"/>
      <c r="OX16" s="30"/>
      <c r="OY16" s="31"/>
      <c r="OZ16" s="31"/>
      <c r="PA16" s="32"/>
      <c r="PB16" s="32"/>
      <c r="PC16" s="30"/>
      <c r="PD16" s="30"/>
      <c r="PE16" s="31"/>
      <c r="PF16" s="31"/>
      <c r="PG16" s="32"/>
      <c r="PH16" s="32"/>
      <c r="PI16" s="30"/>
      <c r="PJ16" s="30"/>
      <c r="PK16" s="31"/>
      <c r="PL16" s="31"/>
      <c r="PM16" s="32"/>
      <c r="PN16" s="32"/>
      <c r="PO16" s="30"/>
      <c r="PP16" s="30"/>
      <c r="PQ16" s="31"/>
      <c r="PR16" s="31"/>
      <c r="PS16" s="32"/>
      <c r="PT16" s="32"/>
      <c r="PU16" s="30"/>
      <c r="PV16" s="30"/>
      <c r="PW16" s="31"/>
      <c r="PX16" s="31"/>
      <c r="PY16" s="32"/>
      <c r="PZ16" s="32"/>
      <c r="QA16" s="30"/>
      <c r="QB16" s="30"/>
      <c r="QC16" s="31"/>
      <c r="QD16" s="31"/>
      <c r="QE16" s="32"/>
      <c r="QF16" s="32"/>
      <c r="QG16" s="30"/>
      <c r="QH16" s="30"/>
      <c r="QI16" s="31"/>
      <c r="QJ16" s="31"/>
      <c r="QK16" s="32"/>
      <c r="QL16" s="32"/>
      <c r="QM16" s="30"/>
      <c r="QN16" s="30"/>
      <c r="QO16" s="31"/>
      <c r="QP16" s="31"/>
      <c r="QQ16" s="32" t="s">
        <v>54</v>
      </c>
      <c r="QR16" s="32"/>
      <c r="QS16" s="30"/>
      <c r="QT16" s="30"/>
      <c r="QU16" s="31"/>
      <c r="QV16" s="31"/>
      <c r="QW16" s="32"/>
      <c r="QX16" s="32"/>
      <c r="QY16" s="30"/>
      <c r="QZ16" s="30"/>
      <c r="RA16" s="31"/>
      <c r="RB16" s="31"/>
      <c r="RC16" s="32"/>
      <c r="RD16" s="32"/>
      <c r="RE16" s="30"/>
      <c r="RF16" s="30"/>
      <c r="RG16" s="31"/>
      <c r="RH16" s="31"/>
      <c r="RI16" s="32"/>
      <c r="RJ16" s="32"/>
      <c r="RK16" s="30"/>
      <c r="RL16" s="30"/>
      <c r="RM16" s="31"/>
      <c r="RN16" s="31"/>
      <c r="RO16" s="32"/>
      <c r="RP16" s="32"/>
      <c r="RQ16" s="30"/>
      <c r="RR16" s="30"/>
      <c r="RS16" s="31"/>
      <c r="RT16" s="31"/>
      <c r="RU16" s="32"/>
      <c r="RV16" s="32"/>
      <c r="RW16" s="30"/>
      <c r="RX16" s="30"/>
      <c r="RY16" s="31"/>
      <c r="RZ16" s="31"/>
      <c r="SA16" s="32"/>
      <c r="SB16" s="32"/>
      <c r="SC16" s="30"/>
      <c r="SD16" s="30"/>
      <c r="SE16" s="31"/>
      <c r="SF16" s="31"/>
      <c r="SG16" s="32"/>
      <c r="SH16" s="32"/>
      <c r="SI16" s="30"/>
      <c r="SJ16" s="30"/>
      <c r="SK16" s="30"/>
      <c r="SL16" s="31"/>
      <c r="SM16" s="31"/>
      <c r="SN16" s="32"/>
      <c r="SO16" s="32"/>
      <c r="SP16" s="30"/>
      <c r="SQ16" s="30"/>
      <c r="SR16" s="31"/>
      <c r="SS16" s="31"/>
      <c r="ST16" s="32"/>
      <c r="SU16" s="32"/>
      <c r="SV16" s="30"/>
      <c r="SW16" s="30"/>
      <c r="SX16" s="31"/>
      <c r="SY16" s="31"/>
      <c r="SZ16" s="32"/>
      <c r="TA16" s="32"/>
      <c r="TB16" s="30"/>
      <c r="TC16" s="30"/>
      <c r="TD16" s="31"/>
      <c r="TE16" s="31"/>
      <c r="TF16" s="32"/>
      <c r="TG16" s="32"/>
      <c r="TH16" s="30"/>
      <c r="TI16" s="30"/>
      <c r="TJ16" s="31"/>
      <c r="TK16" s="31"/>
      <c r="TL16" s="32"/>
      <c r="TM16" s="32"/>
      <c r="TN16" s="30"/>
      <c r="TO16" s="30"/>
      <c r="TP16" s="31"/>
      <c r="TQ16" s="31"/>
      <c r="TR16" s="32"/>
      <c r="TS16" s="32"/>
      <c r="TT16" s="30"/>
      <c r="TU16" s="30"/>
      <c r="TV16" s="31" t="s">
        <v>36</v>
      </c>
      <c r="TW16" s="31"/>
      <c r="TX16" s="32"/>
      <c r="TY16" s="32"/>
      <c r="TZ16" s="30"/>
      <c r="UA16" s="30"/>
      <c r="UB16" s="31"/>
      <c r="UC16" s="31"/>
      <c r="UD16" s="32"/>
      <c r="UE16" s="32"/>
      <c r="UF16" s="30"/>
      <c r="UG16" s="30"/>
      <c r="UH16" s="31"/>
      <c r="UI16" s="31"/>
      <c r="UJ16" s="32"/>
      <c r="UK16" s="32"/>
      <c r="UL16" s="30"/>
      <c r="UM16" s="30"/>
      <c r="UN16" s="31"/>
      <c r="UO16" s="31"/>
      <c r="UP16" s="32"/>
      <c r="UQ16" s="32"/>
      <c r="UR16" s="30"/>
      <c r="US16" s="30"/>
      <c r="UT16" s="31"/>
      <c r="UU16" s="31"/>
      <c r="UV16" s="32"/>
      <c r="UW16" s="32"/>
      <c r="UX16" s="30"/>
      <c r="UY16" s="30"/>
      <c r="UZ16" s="31"/>
      <c r="VA16" s="31"/>
      <c r="VB16" s="32"/>
      <c r="VC16" s="32"/>
      <c r="VD16" s="30"/>
      <c r="VE16" s="30"/>
      <c r="VF16" s="31"/>
      <c r="VG16" s="31"/>
      <c r="VH16" s="32"/>
      <c r="VI16" s="32"/>
      <c r="VJ16" s="30"/>
      <c r="VK16" s="30"/>
      <c r="VL16" s="31"/>
      <c r="VM16" s="31"/>
      <c r="VN16" s="32"/>
      <c r="VO16" s="32"/>
      <c r="VP16" s="30"/>
      <c r="VQ16" s="30"/>
      <c r="VR16" s="31"/>
      <c r="VS16" s="31"/>
      <c r="VT16" s="32"/>
      <c r="VU16" s="32"/>
      <c r="VV16" s="30"/>
      <c r="VW16" s="30"/>
      <c r="VX16" s="31"/>
      <c r="VY16" s="31"/>
      <c r="VZ16" s="32"/>
      <c r="WA16" s="32"/>
      <c r="WB16" s="30"/>
      <c r="WC16" s="30"/>
      <c r="WD16" s="31"/>
      <c r="WE16" s="31"/>
      <c r="WF16" s="32"/>
      <c r="WG16" s="32"/>
      <c r="WH16" s="30"/>
      <c r="WI16" s="30"/>
      <c r="WJ16" s="31"/>
      <c r="WK16" s="31"/>
      <c r="WL16" s="32"/>
      <c r="WM16" s="32"/>
      <c r="WN16" s="30"/>
      <c r="WO16" s="30"/>
      <c r="WP16" s="31"/>
      <c r="WQ16" s="31"/>
      <c r="WR16" s="32"/>
      <c r="WS16" s="32"/>
      <c r="WT16" s="30"/>
      <c r="WU16" s="30"/>
      <c r="WV16" s="31"/>
      <c r="WW16" s="31"/>
      <c r="WX16" s="32"/>
      <c r="WY16" s="32"/>
      <c r="WZ16" s="30"/>
      <c r="XA16" s="30"/>
      <c r="XB16" s="31"/>
      <c r="XC16" s="31"/>
      <c r="XD16" s="32"/>
      <c r="XE16" s="32"/>
      <c r="XF16" s="30"/>
      <c r="XG16" s="30"/>
      <c r="XH16" s="31"/>
      <c r="XI16" s="31"/>
      <c r="XJ16" s="32"/>
      <c r="XK16" s="32"/>
      <c r="XL16" s="30"/>
      <c r="XM16" s="30"/>
      <c r="XN16" s="31"/>
      <c r="XO16" s="31"/>
      <c r="XP16" s="32"/>
      <c r="XQ16" s="32"/>
      <c r="XR16" s="30"/>
      <c r="XS16" s="30"/>
      <c r="XT16" s="31"/>
      <c r="XU16" s="31"/>
      <c r="XV16" s="32"/>
      <c r="XW16" s="32"/>
      <c r="XX16" s="30"/>
      <c r="XY16" s="30"/>
      <c r="XZ16" s="31"/>
      <c r="YA16" s="31"/>
      <c r="YB16" s="32"/>
      <c r="YC16" s="32"/>
      <c r="YD16" s="30"/>
      <c r="YE16" s="30"/>
      <c r="YF16" s="31"/>
      <c r="YG16" s="31"/>
      <c r="YH16" s="32"/>
      <c r="YI16" s="32"/>
      <c r="YJ16" s="30"/>
      <c r="YK16" s="30"/>
      <c r="YL16" s="31"/>
      <c r="YM16" s="31"/>
      <c r="YN16" s="32"/>
      <c r="YO16" s="32"/>
      <c r="YP16" s="30"/>
      <c r="YQ16" s="30"/>
      <c r="YR16" s="31"/>
      <c r="YS16" s="31"/>
      <c r="YT16" s="32"/>
      <c r="YU16" s="32"/>
      <c r="YV16" s="30"/>
      <c r="YW16" s="30"/>
      <c r="YX16" s="31"/>
      <c r="YY16" s="31"/>
      <c r="YZ16" s="32"/>
      <c r="ZA16" s="32"/>
      <c r="ZB16" s="30"/>
      <c r="ZC16" s="30"/>
      <c r="ZD16" s="31"/>
      <c r="ZE16" s="31"/>
      <c r="ZF16" s="32"/>
      <c r="ZG16" s="32"/>
      <c r="ZH16" s="30"/>
      <c r="ZI16" s="30"/>
      <c r="ZJ16" s="31"/>
      <c r="ZK16" s="31"/>
      <c r="ZL16" s="32"/>
      <c r="ZM16" s="32"/>
      <c r="ZN16" s="30"/>
      <c r="ZO16" s="30"/>
      <c r="ZP16" s="31"/>
      <c r="ZQ16" s="31"/>
      <c r="ZR16" s="32"/>
      <c r="ZS16" s="32"/>
      <c r="ZT16" s="30"/>
      <c r="ZU16" s="30"/>
      <c r="ZV16" s="31"/>
      <c r="ZW16" s="31"/>
      <c r="ZX16" s="32"/>
      <c r="ZY16" s="32"/>
      <c r="ZZ16" s="30"/>
      <c r="AAA16" s="30"/>
      <c r="AAB16" s="31"/>
      <c r="AAC16" s="31"/>
      <c r="AAD16" s="32"/>
      <c r="AAE16" s="32"/>
      <c r="AAF16" s="30"/>
      <c r="AAG16" s="30"/>
      <c r="AAH16" s="31"/>
      <c r="AAI16" s="31"/>
      <c r="AAJ16" s="32"/>
      <c r="AAK16" s="32"/>
      <c r="AAL16" s="30"/>
      <c r="AAM16" s="30"/>
      <c r="AAN16" s="31"/>
      <c r="AAO16" s="31"/>
      <c r="AAP16" s="32"/>
      <c r="AAQ16" s="32"/>
      <c r="AAR16" s="30"/>
      <c r="AAS16" s="30"/>
      <c r="AAT16" s="31"/>
      <c r="AAU16" s="31"/>
      <c r="AAV16" s="32"/>
      <c r="AAW16" s="32"/>
      <c r="AAX16" s="30"/>
      <c r="AAY16" s="30"/>
      <c r="AAZ16" s="31"/>
      <c r="ABA16" s="31"/>
      <c r="ABB16" s="32"/>
      <c r="ABC16" s="32"/>
      <c r="ABD16" s="30"/>
      <c r="ABE16" s="30"/>
      <c r="ABF16" s="31"/>
      <c r="ABG16" s="31"/>
      <c r="ABH16" s="32"/>
      <c r="ABI16" s="32"/>
      <c r="ABJ16" s="30"/>
      <c r="ABK16" s="30"/>
      <c r="ABL16" s="31"/>
      <c r="ABM16" s="31"/>
      <c r="ABN16" s="32"/>
      <c r="ABO16" s="32"/>
      <c r="ABP16" s="30"/>
      <c r="ABQ16" s="30"/>
      <c r="ABR16" s="31"/>
      <c r="ABS16" s="31"/>
      <c r="ABT16" s="32"/>
      <c r="ABU16" s="32"/>
      <c r="ABV16" s="30"/>
      <c r="ABW16" s="30"/>
      <c r="ABX16" s="31"/>
      <c r="ABY16" s="31"/>
      <c r="ABZ16" s="32"/>
      <c r="ACA16" s="32"/>
      <c r="ACB16" s="30"/>
      <c r="ACC16" s="30"/>
      <c r="ACD16" s="31"/>
      <c r="ACE16" s="31"/>
      <c r="ACF16" s="32"/>
      <c r="ACG16" s="32"/>
      <c r="ACH16" s="30"/>
      <c r="ACI16" s="30"/>
      <c r="ACJ16" s="31"/>
      <c r="ACK16" s="31"/>
      <c r="ACL16" s="32"/>
      <c r="ACM16" s="32"/>
      <c r="ACN16" s="30"/>
      <c r="ACO16" s="30"/>
      <c r="ACP16" s="31"/>
      <c r="ACQ16" s="31"/>
      <c r="ACR16" s="32"/>
      <c r="ACS16" s="32"/>
      <c r="ACT16" s="30"/>
      <c r="ACU16" s="30"/>
      <c r="ACV16" s="31"/>
      <c r="ACW16" s="31"/>
      <c r="ACX16" s="32"/>
      <c r="ACY16" s="32"/>
      <c r="ACZ16" s="30"/>
      <c r="ADA16" s="30"/>
      <c r="ADB16" s="31"/>
      <c r="ADC16" s="31"/>
      <c r="ADD16" s="32"/>
      <c r="ADE16" s="32"/>
      <c r="ADF16" s="30"/>
      <c r="ADG16" s="30"/>
      <c r="ADH16" s="31"/>
      <c r="ADI16" s="31"/>
      <c r="ADJ16" s="32"/>
      <c r="ADK16" s="32"/>
      <c r="ADL16" s="30"/>
      <c r="ADM16" s="30"/>
      <c r="ADN16" s="31"/>
      <c r="ADO16" s="31"/>
      <c r="ADP16" s="32"/>
      <c r="ADQ16" s="32"/>
      <c r="ADR16" s="30"/>
      <c r="ADS16" s="30"/>
      <c r="ADT16" s="31"/>
      <c r="ADU16" s="31"/>
      <c r="ADV16" s="32"/>
      <c r="ADW16" s="32"/>
      <c r="ADX16" s="30"/>
      <c r="ADY16" s="30"/>
      <c r="ADZ16" s="31"/>
      <c r="AEA16" s="31"/>
      <c r="AEB16" s="32"/>
      <c r="AEC16" s="32"/>
      <c r="AED16" s="30"/>
      <c r="AEE16" s="30"/>
      <c r="AEF16" s="31"/>
      <c r="AEG16" s="31"/>
      <c r="AEH16" s="32"/>
      <c r="AEI16" s="32"/>
      <c r="AEJ16" s="30"/>
      <c r="AEK16" s="30"/>
      <c r="AEL16" s="31"/>
      <c r="AEM16" s="31"/>
      <c r="AEN16" s="32"/>
      <c r="AEO16" s="32"/>
      <c r="AEP16" s="30"/>
      <c r="AEQ16" s="30"/>
      <c r="AER16" s="31"/>
      <c r="AES16" s="31"/>
      <c r="AET16" s="32"/>
      <c r="AEU16" s="32"/>
      <c r="AEV16" s="30"/>
      <c r="AEW16" s="30"/>
      <c r="AEX16" s="31"/>
      <c r="AEY16" s="31"/>
      <c r="AEZ16" s="32"/>
      <c r="AFA16" s="32"/>
      <c r="AFB16" s="30"/>
      <c r="AFC16" s="30"/>
      <c r="AFD16" s="31"/>
      <c r="AFE16" s="31"/>
      <c r="AFF16" s="32"/>
      <c r="AFG16" s="32"/>
      <c r="AFH16" s="30"/>
      <c r="AFI16" s="30"/>
      <c r="AFJ16" s="31"/>
      <c r="AFK16" s="31"/>
      <c r="AFL16" s="32"/>
      <c r="AFM16" s="32"/>
      <c r="AFN16" s="30"/>
      <c r="AFO16" s="30"/>
      <c r="AFP16" s="31"/>
      <c r="AFQ16" s="31"/>
      <c r="AFR16" s="32"/>
      <c r="AFS16" s="32"/>
      <c r="AFT16" s="30"/>
      <c r="AFU16" s="30"/>
      <c r="AFV16" s="31"/>
      <c r="AFW16" s="31"/>
      <c r="AFX16" s="32"/>
      <c r="AFY16" s="32"/>
      <c r="AFZ16" s="30"/>
      <c r="AGA16" s="30"/>
      <c r="AGB16" s="31"/>
      <c r="AGC16" s="31"/>
      <c r="AGD16" s="32"/>
      <c r="AGE16" s="32"/>
      <c r="AGF16" s="30"/>
      <c r="AGG16" s="30"/>
      <c r="AGH16" s="31"/>
      <c r="AGI16" s="31"/>
      <c r="AGJ16" s="32"/>
      <c r="AGK16" s="32"/>
      <c r="AGL16" s="30"/>
      <c r="AGM16" s="30"/>
      <c r="AGN16" s="31"/>
      <c r="AGO16" s="31"/>
      <c r="AGP16" s="32"/>
      <c r="AGQ16" s="32"/>
      <c r="AGR16" s="30"/>
      <c r="AGS16" s="30"/>
      <c r="AGT16" s="31"/>
      <c r="AGU16" s="31"/>
      <c r="AGV16" s="32"/>
      <c r="AGW16" s="32"/>
      <c r="AGX16" s="30"/>
      <c r="AGY16" s="30"/>
      <c r="AGZ16" s="31"/>
      <c r="AHA16" s="31"/>
      <c r="AHB16" s="32"/>
      <c r="AHC16" s="32"/>
      <c r="AHD16" s="30"/>
      <c r="AHE16" s="30"/>
      <c r="AHF16" s="31"/>
      <c r="AHG16" s="31"/>
      <c r="AHH16" s="32"/>
      <c r="AHI16" s="32"/>
      <c r="AHJ16" s="30"/>
      <c r="AHK16" s="30"/>
      <c r="AHL16" s="31"/>
      <c r="AHM16" s="31"/>
      <c r="AHN16" s="32"/>
      <c r="AHO16" s="32"/>
      <c r="AHP16" s="30"/>
      <c r="AHQ16" s="30"/>
      <c r="AHR16" s="31"/>
      <c r="AHS16" s="31"/>
      <c r="AHT16" s="32"/>
      <c r="AHU16" s="32"/>
      <c r="AHV16" s="30"/>
      <c r="AHW16" s="30"/>
      <c r="AHX16" s="31"/>
      <c r="AHY16" s="31"/>
      <c r="AHZ16" s="32"/>
      <c r="AIA16" s="32"/>
      <c r="AIB16" s="30"/>
      <c r="AIC16" s="30"/>
      <c r="AID16" s="31"/>
      <c r="AIE16" s="31"/>
      <c r="AIF16" s="32"/>
      <c r="AIG16" s="32"/>
      <c r="AIH16" s="30"/>
      <c r="AII16" s="30"/>
      <c r="AIJ16" s="31"/>
      <c r="AIK16" s="31"/>
      <c r="AIL16" s="32"/>
      <c r="AIM16" s="32"/>
      <c r="AIN16" s="30"/>
      <c r="AIO16" s="30"/>
      <c r="AIP16" s="31"/>
      <c r="AIQ16" s="31"/>
      <c r="AIR16" s="32"/>
      <c r="AIS16" s="32"/>
      <c r="AIT16" s="30"/>
      <c r="AIU16" s="30"/>
      <c r="AIV16" s="31"/>
      <c r="AIW16" s="31"/>
      <c r="AIX16" s="32"/>
      <c r="AIY16" s="32"/>
      <c r="AIZ16" s="30"/>
      <c r="AJA16" s="30"/>
      <c r="AJB16" s="31"/>
      <c r="AJC16" s="31"/>
      <c r="AJD16" s="32"/>
      <c r="AJE16" s="32"/>
      <c r="AJF16" s="30"/>
      <c r="AJG16" s="30"/>
      <c r="AJH16" s="31"/>
      <c r="AJI16" s="31"/>
      <c r="AJJ16" s="32"/>
      <c r="AJK16" s="32"/>
      <c r="AJL16" s="30"/>
      <c r="AJM16" s="30"/>
      <c r="AJN16" s="31"/>
      <c r="AJO16" s="31"/>
      <c r="AJP16" s="32"/>
      <c r="AJQ16" s="32"/>
      <c r="AJR16" s="30"/>
      <c r="AJS16" s="30"/>
      <c r="AJT16" s="31"/>
      <c r="AJU16" s="31"/>
      <c r="AJV16" s="32"/>
      <c r="AJW16" s="32"/>
      <c r="AJX16" s="30"/>
      <c r="AJY16" s="30"/>
      <c r="AJZ16" s="31"/>
      <c r="AKA16" s="31"/>
      <c r="AKB16" s="32"/>
      <c r="AKC16" s="32"/>
      <c r="AKD16" s="30"/>
      <c r="AKE16" s="30"/>
      <c r="AKF16" s="31"/>
      <c r="AKG16" s="31"/>
      <c r="AKH16" s="32"/>
      <c r="AKI16" s="32"/>
      <c r="AKJ16" s="30"/>
      <c r="AKK16" s="30"/>
      <c r="AKL16" s="31"/>
      <c r="AKM16" s="31"/>
      <c r="AKN16" s="32"/>
      <c r="AKO16" s="32"/>
      <c r="AKP16" s="30"/>
      <c r="AKQ16" s="30"/>
      <c r="AKR16" s="31"/>
      <c r="AKS16" s="31"/>
      <c r="AKT16" s="32"/>
      <c r="AKU16" s="32"/>
      <c r="AKV16" s="30"/>
      <c r="AKW16" s="30"/>
      <c r="AKX16" s="31"/>
      <c r="AKY16" s="31"/>
      <c r="AKZ16" s="32"/>
      <c r="ALA16" s="32"/>
      <c r="ALB16" s="30"/>
      <c r="ALC16" s="30"/>
      <c r="ALD16" s="31"/>
      <c r="ALE16" s="31"/>
      <c r="ALF16" s="32"/>
      <c r="ALG16" s="32"/>
      <c r="ALH16" s="30"/>
      <c r="ALI16" s="30"/>
      <c r="ALJ16" s="31"/>
      <c r="ALK16" s="31"/>
      <c r="ALL16" s="32"/>
      <c r="ALM16" s="32"/>
      <c r="ALN16" s="30"/>
      <c r="ALO16" s="30"/>
      <c r="ALP16" s="31"/>
      <c r="ALQ16" s="31"/>
      <c r="ALR16" s="32"/>
      <c r="ALS16" s="32"/>
      <c r="ALT16" s="30"/>
      <c r="ALU16" s="30"/>
      <c r="ALV16" s="31"/>
      <c r="ALW16" s="31"/>
      <c r="ALX16" s="32"/>
      <c r="ALY16" s="32"/>
      <c r="ALZ16" s="30"/>
      <c r="AMA16" s="30"/>
      <c r="AMB16" s="31"/>
      <c r="AMC16" s="31"/>
      <c r="AMD16" s="32"/>
      <c r="AME16" s="32"/>
      <c r="AMF16" s="30"/>
      <c r="AMG16" s="30"/>
      <c r="AMH16" s="31"/>
      <c r="AMI16" s="31"/>
      <c r="AMJ16" s="32"/>
      <c r="AMK16" s="32"/>
      <c r="AML16" s="30"/>
      <c r="AMM16" s="30"/>
      <c r="AMN16" s="31"/>
      <c r="AMO16" s="31"/>
      <c r="AMP16" s="32"/>
      <c r="AMQ16" s="32"/>
      <c r="AMR16" s="30"/>
      <c r="AMS16" s="30"/>
      <c r="AMT16" s="31"/>
      <c r="AMU16" s="31"/>
      <c r="AMV16" s="32"/>
      <c r="AMW16" s="32"/>
      <c r="AMX16" s="30"/>
      <c r="AMY16" s="30"/>
      <c r="AMZ16" s="31"/>
      <c r="ANA16" s="31"/>
      <c r="ANB16" s="32"/>
      <c r="ANC16" s="32"/>
      <c r="AND16" s="30"/>
      <c r="ANE16" s="30"/>
      <c r="ANF16" s="31"/>
      <c r="ANG16" s="31"/>
      <c r="ANH16" s="32"/>
      <c r="ANI16" s="32"/>
      <c r="ANJ16" s="30"/>
      <c r="ANK16" s="30"/>
      <c r="ANL16" s="31"/>
      <c r="ANM16" s="31"/>
      <c r="ANN16" s="32"/>
      <c r="ANO16" s="32"/>
      <c r="ANP16" s="30"/>
      <c r="ANQ16" s="30"/>
      <c r="ANR16" s="31"/>
      <c r="ANS16" s="31"/>
      <c r="ANT16" s="32"/>
      <c r="ANU16" s="32"/>
      <c r="ANV16" s="30"/>
      <c r="ANW16" s="30"/>
      <c r="ANX16" s="31"/>
      <c r="ANY16" s="31"/>
      <c r="ANZ16" s="32"/>
      <c r="AOA16" s="32"/>
      <c r="AOB16" s="30"/>
      <c r="AOC16" s="30"/>
      <c r="AOD16" s="31"/>
      <c r="AOE16" s="31"/>
      <c r="AOF16" s="32"/>
      <c r="AOG16" s="32"/>
      <c r="AOH16" s="30"/>
      <c r="AOI16" s="30"/>
      <c r="AOJ16" s="31"/>
      <c r="AOK16" s="31"/>
      <c r="AOL16" s="32"/>
      <c r="AOM16" s="32"/>
      <c r="AON16" s="30"/>
      <c r="AOO16" s="30"/>
      <c r="AOP16" s="31"/>
      <c r="AOQ16" s="31"/>
      <c r="AOR16" s="32"/>
      <c r="AOS16" s="32"/>
      <c r="AOT16" s="30"/>
      <c r="AOU16" s="30"/>
      <c r="AOV16" s="31"/>
      <c r="AOW16" s="31"/>
      <c r="AOX16" s="32"/>
      <c r="AOY16" s="32"/>
      <c r="AOZ16" s="30"/>
      <c r="APA16" s="30"/>
      <c r="APB16" s="31"/>
      <c r="APC16" s="31"/>
      <c r="APD16" s="32"/>
      <c r="APE16" s="32"/>
      <c r="APF16" s="30"/>
      <c r="APG16" s="30"/>
      <c r="APH16" s="32"/>
      <c r="API16" s="32"/>
      <c r="APJ16" s="31"/>
      <c r="APK16" s="31"/>
      <c r="APL16" s="30"/>
      <c r="APM16" s="30"/>
      <c r="APN16" s="32"/>
      <c r="APO16" s="32"/>
      <c r="APP16" s="31"/>
      <c r="APQ16" s="31"/>
      <c r="APR16" s="30"/>
      <c r="APS16" s="30"/>
      <c r="APT16" s="32"/>
      <c r="APU16" s="32"/>
      <c r="APV16" s="31"/>
      <c r="APW16" s="31"/>
      <c r="APX16" s="30"/>
      <c r="APY16" s="30"/>
      <c r="APZ16" s="32"/>
      <c r="AQA16" s="32"/>
      <c r="AQB16" s="31"/>
      <c r="AQC16" s="31"/>
      <c r="AQD16" s="30"/>
      <c r="AQE16" s="30"/>
      <c r="AQF16" s="32"/>
      <c r="AQG16" s="32"/>
      <c r="AQH16" s="31"/>
      <c r="AQI16" s="31"/>
      <c r="AQJ16" s="30"/>
      <c r="AQK16" s="30"/>
      <c r="AQL16" s="32" t="s">
        <v>36</v>
      </c>
      <c r="AQM16" s="32"/>
      <c r="AQN16" s="31"/>
      <c r="AQO16" s="31"/>
      <c r="AQP16" s="30"/>
      <c r="AQQ16" s="30"/>
      <c r="AQR16" s="32"/>
      <c r="AQS16" s="32"/>
      <c r="AQT16" s="31"/>
      <c r="AQU16" s="31"/>
      <c r="AQV16" s="30"/>
      <c r="AQW16" s="30"/>
      <c r="AQX16" s="32"/>
      <c r="AQY16" s="32"/>
      <c r="AQZ16" s="31"/>
      <c r="ARA16" s="31"/>
      <c r="ARB16" s="30"/>
      <c r="ARC16" s="30"/>
      <c r="ARD16" s="32"/>
      <c r="ARE16" s="32"/>
      <c r="ARF16" s="31"/>
      <c r="ARG16" s="31"/>
      <c r="ARH16" s="30"/>
      <c r="ARI16" s="30"/>
      <c r="ARJ16" s="32"/>
      <c r="ARK16" s="32"/>
      <c r="ARL16" s="31"/>
      <c r="ARM16" s="31"/>
      <c r="ARN16" s="30"/>
      <c r="ARO16" s="30"/>
      <c r="ARP16" s="32"/>
      <c r="ARQ16" s="32"/>
      <c r="ARR16" s="31"/>
      <c r="ARS16" s="31"/>
      <c r="ART16" s="30"/>
      <c r="ARU16" s="30"/>
      <c r="ARV16" s="32"/>
      <c r="ARW16" s="32"/>
      <c r="ARX16" s="31"/>
      <c r="ARY16" s="31"/>
      <c r="ARZ16" s="30"/>
      <c r="ASA16" s="30"/>
      <c r="ASB16" s="32"/>
      <c r="ASC16" s="32"/>
      <c r="ASD16" s="31"/>
      <c r="ASE16" s="31"/>
      <c r="ASF16" s="30"/>
      <c r="ASG16" s="30"/>
      <c r="ASH16" s="32"/>
      <c r="ASI16" s="32"/>
      <c r="ASJ16" s="31"/>
      <c r="ASK16" s="31"/>
      <c r="ASL16" s="30"/>
      <c r="ASM16" s="30"/>
      <c r="ASN16" s="32"/>
      <c r="ASO16" s="32"/>
      <c r="ASP16" s="31"/>
      <c r="ASQ16" s="31"/>
      <c r="ASR16" s="30"/>
      <c r="ASS16" s="30"/>
      <c r="AST16" s="32"/>
      <c r="ASU16" s="32"/>
      <c r="ASV16" s="31"/>
      <c r="ASW16" s="31"/>
      <c r="ASX16" s="30"/>
      <c r="ASY16" s="30"/>
      <c r="ASZ16" s="32"/>
      <c r="ATA16" s="32"/>
      <c r="ATB16" s="31"/>
      <c r="ATC16" s="31"/>
      <c r="ATD16" s="30"/>
      <c r="ATE16" s="30"/>
      <c r="ATF16" s="32"/>
      <c r="ATG16" s="32"/>
      <c r="ATH16" s="31"/>
      <c r="ATI16" s="31"/>
      <c r="ATJ16" s="30"/>
      <c r="ATK16" s="30"/>
      <c r="ATL16" s="32"/>
      <c r="ATM16" s="32"/>
      <c r="ATN16" s="31"/>
      <c r="ATO16" s="31"/>
      <c r="ATP16" s="30"/>
      <c r="ATQ16" s="30"/>
      <c r="ATR16" s="32"/>
      <c r="ATS16" s="32"/>
      <c r="ATT16" s="31"/>
      <c r="ATU16" s="31"/>
      <c r="ATV16" s="30"/>
      <c r="ATW16" s="30"/>
      <c r="ATX16" s="32"/>
      <c r="ATY16" s="32"/>
      <c r="ATZ16" s="31"/>
      <c r="AUA16" s="31"/>
      <c r="AUB16" s="30"/>
      <c r="AUC16" s="30"/>
      <c r="AUD16" s="32"/>
      <c r="AUE16" s="32"/>
      <c r="AUF16" s="31"/>
      <c r="AUG16" s="31"/>
      <c r="AUH16" s="30"/>
      <c r="AUI16" s="30"/>
      <c r="AUJ16" s="32"/>
      <c r="AUK16" s="32"/>
      <c r="AUL16" s="31"/>
      <c r="AUM16" s="31"/>
      <c r="AUN16" s="30"/>
      <c r="AUO16" s="30"/>
      <c r="AUP16" s="32"/>
      <c r="AUQ16" s="32"/>
      <c r="AUR16" s="31"/>
      <c r="AUS16" s="31"/>
      <c r="AUT16" s="30"/>
      <c r="AUU16" s="30"/>
      <c r="AUV16" s="32"/>
      <c r="AUW16" s="32"/>
      <c r="AUX16" s="31"/>
      <c r="AUY16" s="31"/>
      <c r="AUZ16" s="30"/>
      <c r="AVA16" s="30"/>
      <c r="AVB16" s="32"/>
      <c r="AVC16" s="32"/>
      <c r="AVD16" s="31"/>
      <c r="AVE16" s="31"/>
      <c r="AVF16" s="30"/>
      <c r="AVG16" s="30"/>
      <c r="AVH16" s="32"/>
      <c r="AVI16" s="32"/>
      <c r="AVJ16" s="31"/>
      <c r="AVK16" s="31"/>
      <c r="AVL16" s="30"/>
      <c r="AVM16" s="30"/>
      <c r="AVN16" s="32"/>
      <c r="AVO16" s="32"/>
      <c r="AVP16" s="31"/>
      <c r="AVQ16" s="31"/>
      <c r="AVR16" s="30"/>
      <c r="AVS16" s="30"/>
      <c r="AVT16" s="32"/>
      <c r="AVU16" s="32"/>
      <c r="AVV16" s="31"/>
      <c r="AVW16" s="31"/>
      <c r="AVX16" s="30"/>
      <c r="AVY16" s="30"/>
      <c r="AVZ16" s="32"/>
      <c r="AWA16" s="32"/>
      <c r="AWB16" s="31"/>
      <c r="AWC16" s="31"/>
      <c r="AWD16" s="30"/>
      <c r="AWE16" s="30"/>
      <c r="AWF16" s="32"/>
      <c r="AWG16" s="32"/>
      <c r="AWH16" s="31"/>
      <c r="AWI16" s="31"/>
      <c r="AWJ16" s="30"/>
      <c r="AWK16" s="30"/>
      <c r="AWL16" s="32"/>
      <c r="AWM16" s="32"/>
      <c r="AWN16" s="31"/>
      <c r="AWO16" s="31"/>
      <c r="AWP16" s="30"/>
      <c r="AWQ16" s="30"/>
      <c r="AWR16" s="32"/>
      <c r="AWS16" s="32"/>
      <c r="AWT16" s="31"/>
      <c r="AWU16" s="31"/>
      <c r="AWV16" s="30"/>
      <c r="AWW16" s="30"/>
      <c r="AWX16" s="32"/>
      <c r="AWY16" s="32"/>
      <c r="AWZ16" s="31"/>
      <c r="AXA16" s="31"/>
      <c r="AXB16" s="30"/>
      <c r="AXC16" s="30"/>
      <c r="AXD16" s="32"/>
      <c r="AXE16" s="32"/>
      <c r="AXF16" s="31"/>
      <c r="AXG16" s="31"/>
      <c r="AXH16" s="30"/>
      <c r="AXI16" s="30"/>
      <c r="AXJ16" s="32"/>
      <c r="AXK16" s="32"/>
      <c r="AXL16" s="31"/>
      <c r="AXM16" s="31"/>
      <c r="AXN16" s="30"/>
      <c r="AXO16" s="30"/>
      <c r="AXP16" s="32"/>
      <c r="AXQ16" s="32"/>
      <c r="AXR16" s="31"/>
      <c r="AXS16" s="31"/>
      <c r="AXT16" s="30"/>
      <c r="AXU16" s="30"/>
      <c r="AXV16" s="32"/>
      <c r="AXW16" s="32"/>
      <c r="AXX16" s="31"/>
      <c r="AXY16" s="31"/>
      <c r="AXZ16" s="30"/>
      <c r="AYA16" s="30"/>
      <c r="AYB16" s="32"/>
      <c r="AYC16" s="32"/>
      <c r="AYD16" s="31"/>
      <c r="AYE16" s="31"/>
      <c r="AYF16" s="30"/>
      <c r="AYG16" s="30"/>
      <c r="AYH16" s="32"/>
      <c r="AYI16" s="32"/>
      <c r="AYJ16" s="31"/>
      <c r="AYK16" s="31"/>
      <c r="AYL16" s="30"/>
      <c r="AYM16" s="30"/>
      <c r="AYN16" s="32"/>
      <c r="AYO16" s="32"/>
      <c r="AYP16" s="31"/>
      <c r="AYQ16" s="31"/>
      <c r="AYR16" s="30"/>
      <c r="AYS16" s="30"/>
      <c r="AYT16" s="32"/>
      <c r="AYU16" s="32"/>
      <c r="AYV16" s="31"/>
      <c r="AYW16" s="31"/>
      <c r="AYX16" s="30"/>
      <c r="AYY16" s="30"/>
      <c r="AYZ16" s="32"/>
      <c r="AZA16" s="32"/>
      <c r="AZB16" s="31"/>
      <c r="AZC16" s="31"/>
      <c r="AZD16" s="30"/>
      <c r="AZE16" s="30"/>
      <c r="AZF16" s="32"/>
      <c r="AZG16" s="32"/>
      <c r="AZH16" s="31"/>
      <c r="AZI16" s="31"/>
      <c r="AZJ16" s="30"/>
      <c r="AZK16" s="30"/>
      <c r="AZL16" s="32"/>
      <c r="AZM16" s="32"/>
      <c r="AZN16" s="31"/>
      <c r="AZO16" s="31"/>
      <c r="AZP16" s="30"/>
      <c r="AZQ16" s="30"/>
      <c r="AZR16" s="32"/>
      <c r="AZS16" s="32"/>
      <c r="AZT16" s="31"/>
      <c r="AZU16" s="31"/>
      <c r="AZV16" s="30"/>
      <c r="AZW16" s="30"/>
      <c r="AZX16" s="32"/>
      <c r="AZY16" s="32"/>
      <c r="AZZ16" s="31"/>
      <c r="BAA16" s="31"/>
      <c r="BAB16" s="30"/>
      <c r="BAC16" s="30"/>
      <c r="BAD16" s="32"/>
      <c r="BAE16" s="32"/>
      <c r="BAF16" s="31"/>
      <c r="BAG16" s="31"/>
      <c r="BAH16" s="30"/>
      <c r="BAI16" s="30"/>
      <c r="BAJ16" s="32"/>
      <c r="BAK16" s="32"/>
      <c r="BAL16" s="31"/>
      <c r="BAM16" s="31"/>
      <c r="BAN16" s="30"/>
      <c r="BAO16" s="30"/>
      <c r="BAP16" s="32"/>
      <c r="BAQ16" s="32"/>
      <c r="BAR16" s="31"/>
      <c r="BAS16" s="31"/>
      <c r="BAT16" s="30"/>
      <c r="BAU16" s="30"/>
      <c r="BAV16" s="32"/>
      <c r="BAW16" s="32"/>
      <c r="BAX16" s="31"/>
      <c r="BAY16" s="31"/>
      <c r="BAZ16" s="30"/>
      <c r="BBA16" s="30"/>
      <c r="BBB16" s="32"/>
      <c r="BBC16" s="32"/>
      <c r="BBD16" s="31"/>
      <c r="BBE16" s="31"/>
      <c r="BBF16" s="30"/>
      <c r="BBG16" s="30"/>
      <c r="BBH16" s="32"/>
      <c r="BBI16" s="32"/>
      <c r="BBJ16" s="31"/>
      <c r="BBK16" s="31"/>
      <c r="BBL16" s="30"/>
      <c r="BBM16" s="30"/>
      <c r="BBN16" s="32"/>
      <c r="BBO16" s="32"/>
      <c r="BBP16" s="31"/>
      <c r="BBQ16" s="31"/>
      <c r="BBR16" s="30"/>
      <c r="BBS16" s="30"/>
      <c r="BBT16" s="32"/>
      <c r="BBU16" s="32"/>
      <c r="BBV16" s="31"/>
      <c r="BBW16" s="31"/>
      <c r="BBX16" s="30"/>
      <c r="BBY16" s="30"/>
      <c r="BBZ16" s="32"/>
      <c r="BCA16" s="32"/>
      <c r="BCB16" s="31"/>
      <c r="BCC16" s="31"/>
      <c r="BCD16" s="30"/>
      <c r="BCE16" s="30"/>
      <c r="BCF16" s="32"/>
      <c r="BCG16" s="32"/>
      <c r="BCH16" s="31"/>
      <c r="BCI16" s="31"/>
      <c r="BCJ16" s="30"/>
      <c r="BCK16" s="30"/>
      <c r="BCL16" s="32"/>
      <c r="BCM16" s="32"/>
      <c r="BCN16" s="31"/>
      <c r="BCO16" s="31"/>
      <c r="BCP16" s="30"/>
      <c r="BCQ16" s="30"/>
    </row>
    <row r="17" spans="1:1447">
      <c r="A17" s="30"/>
      <c r="B17" s="30"/>
      <c r="C17" s="31"/>
      <c r="D17" s="31"/>
      <c r="E17" s="32"/>
      <c r="F17" s="32"/>
      <c r="G17" s="30"/>
      <c r="H17" s="30"/>
      <c r="I17" s="31"/>
      <c r="J17" s="31"/>
      <c r="K17" s="32"/>
      <c r="L17" s="32"/>
      <c r="M17" s="30"/>
      <c r="N17" s="30"/>
      <c r="O17" s="31"/>
      <c r="P17" s="31"/>
      <c r="Q17" s="32"/>
      <c r="R17" s="32"/>
      <c r="S17" s="30"/>
      <c r="T17" s="30"/>
      <c r="U17" s="31"/>
      <c r="V17" s="31"/>
      <c r="W17" s="32"/>
      <c r="X17" s="32"/>
      <c r="Y17" s="30"/>
      <c r="Z17" s="30"/>
      <c r="AA17" s="31"/>
      <c r="AB17" s="31"/>
      <c r="AC17" s="32"/>
      <c r="AD17" s="32"/>
      <c r="AE17" s="30"/>
      <c r="AF17" s="30"/>
      <c r="AG17" s="31"/>
      <c r="AH17" s="31"/>
      <c r="AI17" s="32"/>
      <c r="AJ17" s="32"/>
      <c r="AK17" s="30"/>
      <c r="AL17" s="30"/>
      <c r="AM17" s="31"/>
      <c r="AN17" s="31"/>
      <c r="AO17" s="32"/>
      <c r="AP17" s="32"/>
      <c r="AQ17" s="30"/>
      <c r="AR17" s="30"/>
      <c r="AS17" s="31"/>
      <c r="AT17" s="31"/>
      <c r="AU17" s="32"/>
      <c r="AV17" s="32"/>
      <c r="AW17" s="30"/>
      <c r="AX17" s="30"/>
      <c r="AY17" s="31"/>
      <c r="AZ17" s="31"/>
      <c r="BA17" s="32"/>
      <c r="BB17" s="32"/>
      <c r="BC17" s="30"/>
      <c r="BD17" s="30"/>
      <c r="BE17" s="31"/>
      <c r="BF17" s="31"/>
      <c r="BG17" s="32"/>
      <c r="BH17" s="32"/>
      <c r="BI17" s="30"/>
      <c r="BJ17" s="30"/>
      <c r="BK17" s="31"/>
      <c r="BL17" s="31"/>
      <c r="BM17" s="32"/>
      <c r="BN17" s="32"/>
      <c r="BO17" s="30"/>
      <c r="BP17" s="30"/>
      <c r="BQ17" s="31"/>
      <c r="BR17" s="31"/>
      <c r="BS17" s="32"/>
      <c r="BT17" s="32"/>
      <c r="BU17" s="30"/>
      <c r="BV17" s="30"/>
      <c r="BW17" s="31"/>
      <c r="BX17" s="31"/>
      <c r="BY17" s="32"/>
      <c r="BZ17" s="32"/>
      <c r="CA17" s="30"/>
      <c r="CB17" s="30"/>
      <c r="CC17" s="31"/>
      <c r="CD17" s="31"/>
      <c r="CE17" s="32"/>
      <c r="CF17" s="32"/>
      <c r="CG17" s="30"/>
      <c r="CH17" s="30"/>
      <c r="CI17" s="31"/>
      <c r="CJ17" s="31"/>
      <c r="CK17" s="32"/>
      <c r="CL17" s="32"/>
      <c r="CM17" s="30"/>
      <c r="CN17" s="30"/>
      <c r="CO17" s="31"/>
      <c r="CP17" s="31"/>
      <c r="CQ17" s="32"/>
      <c r="CR17" s="32"/>
      <c r="CS17" s="30"/>
      <c r="CT17" s="30"/>
      <c r="CU17" s="31"/>
      <c r="CV17" s="31"/>
      <c r="CW17" s="32"/>
      <c r="CX17" s="32"/>
      <c r="CY17" s="30"/>
      <c r="CZ17" s="30"/>
      <c r="DA17" s="31"/>
      <c r="DB17" s="31"/>
      <c r="DC17" s="32"/>
      <c r="DD17" s="32"/>
      <c r="DE17" s="30"/>
      <c r="DF17" s="30"/>
      <c r="DG17" s="31"/>
      <c r="DH17" s="31"/>
      <c r="DI17" s="32"/>
      <c r="DJ17" s="32"/>
      <c r="DK17" s="30"/>
      <c r="DL17" s="30"/>
      <c r="DM17" s="31"/>
      <c r="DN17" s="31"/>
      <c r="DO17" s="32"/>
      <c r="DP17" s="32"/>
      <c r="DQ17" s="30"/>
      <c r="DR17" s="30"/>
      <c r="DS17" s="31"/>
      <c r="DT17" s="31"/>
      <c r="DU17" s="32"/>
      <c r="DV17" s="32"/>
      <c r="DW17" s="30"/>
      <c r="DX17" s="30"/>
      <c r="DY17" s="31"/>
      <c r="DZ17" s="31"/>
      <c r="EA17" s="32"/>
      <c r="EB17" s="32"/>
      <c r="EC17" s="30"/>
      <c r="ED17" s="30"/>
      <c r="EE17" s="31"/>
      <c r="EF17" s="31"/>
      <c r="EG17" s="32"/>
      <c r="EH17" s="32"/>
      <c r="EI17" s="30"/>
      <c r="EJ17" s="30"/>
      <c r="EK17" s="31"/>
      <c r="EL17" s="31"/>
      <c r="EM17" s="32"/>
      <c r="EN17" s="32"/>
      <c r="EO17" s="30"/>
      <c r="EP17" s="30"/>
      <c r="EQ17" s="31"/>
      <c r="ER17" s="31"/>
      <c r="ES17" s="32"/>
      <c r="ET17" s="32"/>
      <c r="EU17" s="30"/>
      <c r="EV17" s="30"/>
      <c r="EW17" s="31"/>
      <c r="EX17" s="31"/>
      <c r="EY17" s="32"/>
      <c r="EZ17" s="32"/>
      <c r="FA17" s="30"/>
      <c r="FB17" s="30"/>
      <c r="FC17" s="31"/>
      <c r="FD17" s="31"/>
      <c r="FE17" s="32"/>
      <c r="FF17" s="32"/>
      <c r="FG17" s="30"/>
      <c r="FH17" s="30"/>
      <c r="FI17" s="32"/>
      <c r="FJ17" s="32"/>
      <c r="FK17" s="30"/>
      <c r="FL17" s="30"/>
      <c r="FM17" s="31"/>
      <c r="FN17" s="31"/>
      <c r="FO17" s="32"/>
      <c r="FP17" s="32"/>
      <c r="FQ17" s="30"/>
      <c r="FR17" s="30"/>
      <c r="FS17" s="31"/>
      <c r="FT17" s="31"/>
      <c r="FU17" s="32"/>
      <c r="FV17" s="32"/>
      <c r="FW17" s="30"/>
      <c r="FX17" s="30"/>
      <c r="FY17" s="31"/>
      <c r="FZ17" s="31"/>
      <c r="GA17" s="32"/>
      <c r="GB17" s="32"/>
      <c r="GC17" s="30"/>
      <c r="GD17" s="30"/>
      <c r="GE17" s="31"/>
      <c r="GF17" s="31"/>
      <c r="GG17" s="32"/>
      <c r="GH17" s="32"/>
      <c r="GI17" s="30"/>
      <c r="GJ17" s="30"/>
      <c r="GK17" s="31"/>
      <c r="GL17" s="31"/>
      <c r="GM17" s="32"/>
      <c r="GN17" s="32"/>
      <c r="GO17" s="30"/>
      <c r="GP17" s="30"/>
      <c r="GQ17" s="31"/>
      <c r="GR17" s="31"/>
      <c r="GS17" s="32"/>
      <c r="GT17" s="32"/>
      <c r="GU17" s="30"/>
      <c r="GV17" s="30"/>
      <c r="GW17" s="31"/>
      <c r="GX17" s="31"/>
      <c r="GY17" s="32"/>
      <c r="GZ17" s="32"/>
      <c r="HA17" s="30"/>
      <c r="HB17" s="30"/>
      <c r="HC17" s="31"/>
      <c r="HD17" s="31"/>
      <c r="HE17" s="32"/>
      <c r="HF17" s="32"/>
      <c r="HG17" s="30"/>
      <c r="HH17" s="30"/>
      <c r="HI17" s="31"/>
      <c r="HJ17" s="31"/>
      <c r="HK17" s="32"/>
      <c r="HL17" s="32"/>
      <c r="HM17" s="30"/>
      <c r="HN17" s="30"/>
      <c r="HO17" s="31"/>
      <c r="HP17" s="31"/>
      <c r="HQ17" s="32"/>
      <c r="HR17" s="32"/>
      <c r="HS17" s="30"/>
      <c r="HT17" s="30"/>
      <c r="HU17" s="31"/>
      <c r="HV17" s="31"/>
      <c r="HW17" s="32"/>
      <c r="HX17" s="32"/>
      <c r="HY17" s="30"/>
      <c r="HZ17" s="30"/>
      <c r="IA17" s="31"/>
      <c r="IB17" s="31"/>
      <c r="IC17" s="32"/>
      <c r="ID17" s="32"/>
      <c r="IE17" s="30"/>
      <c r="IF17" s="30"/>
      <c r="IG17" s="31"/>
      <c r="IH17" s="31"/>
      <c r="II17" s="32"/>
      <c r="IJ17" s="32"/>
      <c r="IK17" s="30"/>
      <c r="IL17" s="30"/>
      <c r="IM17" s="31"/>
      <c r="IN17" s="31"/>
      <c r="IO17" s="32"/>
      <c r="IP17" s="32"/>
      <c r="IQ17" s="30"/>
      <c r="IR17" s="30"/>
      <c r="IS17" s="31"/>
      <c r="IT17" s="31"/>
      <c r="IU17" s="32"/>
      <c r="IV17" s="32"/>
      <c r="IW17" s="30"/>
      <c r="IX17" s="30"/>
      <c r="IY17" s="31"/>
      <c r="IZ17" s="31"/>
      <c r="JA17" s="32"/>
      <c r="JB17" s="32"/>
      <c r="JC17" s="30"/>
      <c r="JD17" s="30"/>
      <c r="JE17" s="31"/>
      <c r="JF17" s="31"/>
      <c r="JG17" s="32"/>
      <c r="JH17" s="32"/>
      <c r="JI17" s="30"/>
      <c r="JJ17" s="30"/>
      <c r="JK17" s="31"/>
      <c r="JL17" s="31"/>
      <c r="JM17" s="32"/>
      <c r="JN17" s="32"/>
      <c r="JO17" s="30"/>
      <c r="JP17" s="30"/>
      <c r="JQ17" s="31"/>
      <c r="JR17" s="31"/>
      <c r="JS17" s="32"/>
      <c r="JT17" s="32"/>
      <c r="JU17" s="30"/>
      <c r="JV17" s="30"/>
      <c r="JW17" s="31"/>
      <c r="JX17" s="31"/>
      <c r="JY17" s="32"/>
      <c r="JZ17" s="32"/>
      <c r="KA17" s="30"/>
      <c r="KB17" s="30"/>
      <c r="KC17" s="31"/>
      <c r="KD17" s="31"/>
      <c r="KE17" s="32"/>
      <c r="KF17" s="32"/>
      <c r="KG17" s="30"/>
      <c r="KH17" s="30"/>
      <c r="KI17" s="31"/>
      <c r="KJ17" s="31"/>
      <c r="KK17" s="32"/>
      <c r="KL17" s="33" t="s">
        <v>22</v>
      </c>
      <c r="KM17" s="30"/>
      <c r="KN17" s="30"/>
      <c r="KO17" s="31"/>
      <c r="KP17" s="31"/>
      <c r="KQ17" s="32"/>
      <c r="KR17" s="32"/>
      <c r="KS17" s="30"/>
      <c r="KT17" s="30"/>
      <c r="KU17" s="31"/>
      <c r="KV17" s="31"/>
      <c r="KW17" s="32"/>
      <c r="KX17" s="32"/>
      <c r="KY17" s="30"/>
      <c r="KZ17" s="30"/>
      <c r="LA17" s="31"/>
      <c r="LB17" s="31"/>
      <c r="LC17" s="32"/>
      <c r="LD17" s="32"/>
      <c r="LE17" s="30"/>
      <c r="LF17" s="30"/>
      <c r="LG17" s="31"/>
      <c r="LH17" s="31"/>
      <c r="LI17" s="32"/>
      <c r="LJ17" s="32"/>
      <c r="LK17" s="30"/>
      <c r="LL17" s="30"/>
      <c r="LM17" s="31"/>
      <c r="LN17" s="31"/>
      <c r="LO17" s="32"/>
      <c r="LP17" s="32"/>
      <c r="LQ17" s="30"/>
      <c r="LR17" s="30"/>
      <c r="LS17" s="31"/>
      <c r="LT17" s="31"/>
      <c r="LU17" s="32"/>
      <c r="LV17" s="32"/>
      <c r="LW17" s="30"/>
      <c r="LX17" s="30"/>
      <c r="LY17" s="31"/>
      <c r="LZ17" s="31"/>
      <c r="MA17" s="32"/>
      <c r="MB17" s="32"/>
      <c r="MC17" s="30"/>
      <c r="MD17" s="30"/>
      <c r="ME17" s="31"/>
      <c r="MF17" s="31"/>
      <c r="MG17" s="32"/>
      <c r="MH17" s="32"/>
      <c r="MI17" s="30"/>
      <c r="MJ17" s="30"/>
      <c r="MK17" s="31"/>
      <c r="ML17" s="31"/>
      <c r="MM17" s="32"/>
      <c r="MN17" s="32"/>
      <c r="MO17" s="30"/>
      <c r="MP17" s="30"/>
      <c r="MQ17" s="31"/>
      <c r="MR17" s="31"/>
      <c r="MS17" s="32"/>
      <c r="MT17" s="32"/>
      <c r="MU17" s="30" t="s">
        <v>94</v>
      </c>
      <c r="MV17" s="30"/>
      <c r="MW17" s="31"/>
      <c r="MX17" s="31"/>
      <c r="MY17" s="32"/>
      <c r="MZ17" s="32"/>
      <c r="NA17" s="30"/>
      <c r="NB17" s="30"/>
      <c r="NC17" s="31"/>
      <c r="ND17" s="31"/>
      <c r="NE17" s="32"/>
      <c r="NF17" s="32"/>
      <c r="NG17" s="30"/>
      <c r="NH17" s="30"/>
      <c r="NI17" s="31"/>
      <c r="NJ17" s="31"/>
      <c r="NK17" s="32"/>
      <c r="NL17" s="32"/>
      <c r="NM17" s="30"/>
      <c r="NN17" s="30"/>
      <c r="NO17" s="31"/>
      <c r="NP17" s="31"/>
      <c r="NQ17" s="32"/>
      <c r="NR17" s="32"/>
      <c r="NS17" s="30"/>
      <c r="NT17" s="30"/>
      <c r="NU17" s="31"/>
      <c r="NV17" s="31"/>
      <c r="NW17" s="32"/>
      <c r="NX17" s="32"/>
      <c r="NY17" s="30"/>
      <c r="NZ17" s="30"/>
      <c r="OA17" s="31"/>
      <c r="OB17" s="31"/>
      <c r="OC17" s="32"/>
      <c r="OD17" s="32"/>
      <c r="OE17" s="30"/>
      <c r="OF17" s="30"/>
      <c r="OG17" s="31"/>
      <c r="OH17" s="31"/>
      <c r="OI17" s="32"/>
      <c r="OJ17" s="32"/>
      <c r="OK17" s="30"/>
      <c r="OL17" s="30"/>
      <c r="OM17" s="31"/>
      <c r="ON17" s="31"/>
      <c r="OO17" s="32"/>
      <c r="OP17" s="32"/>
      <c r="OQ17" s="30"/>
      <c r="OR17" s="30"/>
      <c r="OS17" s="31"/>
      <c r="OT17" s="31"/>
      <c r="OU17" s="32"/>
      <c r="OV17" s="32"/>
      <c r="OW17" s="30"/>
      <c r="OX17" s="30"/>
      <c r="OY17" s="31"/>
      <c r="OZ17" s="31"/>
      <c r="PA17" s="32"/>
      <c r="PB17" s="32"/>
      <c r="PC17" s="30"/>
      <c r="PD17" s="30"/>
      <c r="PE17" s="31"/>
      <c r="PF17" s="31"/>
      <c r="PG17" s="32"/>
      <c r="PH17" s="32"/>
      <c r="PI17" s="30"/>
      <c r="PJ17" s="30"/>
      <c r="PK17" s="31"/>
      <c r="PL17" s="31"/>
      <c r="PM17" s="32"/>
      <c r="PN17" s="32"/>
      <c r="PO17" s="30"/>
      <c r="PP17" s="30"/>
      <c r="PQ17" s="31"/>
      <c r="PR17" s="31"/>
      <c r="PS17" s="32"/>
      <c r="PT17" s="32"/>
      <c r="PU17" s="30"/>
      <c r="PV17" s="30"/>
      <c r="PW17" s="31"/>
      <c r="PX17" s="31"/>
      <c r="PY17" s="32"/>
      <c r="PZ17" s="32"/>
      <c r="QA17" s="30"/>
      <c r="QB17" s="30"/>
      <c r="QC17" s="31"/>
      <c r="QD17" s="31"/>
      <c r="QE17" s="32"/>
      <c r="QF17" s="32"/>
      <c r="QG17" s="30"/>
      <c r="QH17" s="30"/>
      <c r="QI17" s="31"/>
      <c r="QJ17" s="31"/>
      <c r="QK17" s="32"/>
      <c r="QL17" s="32"/>
      <c r="QM17" s="30"/>
      <c r="QN17" s="30"/>
      <c r="QO17" s="31"/>
      <c r="QP17" s="31"/>
      <c r="QQ17" s="32" t="s">
        <v>124</v>
      </c>
      <c r="QR17" s="32"/>
      <c r="QS17" s="30"/>
      <c r="QT17" s="30"/>
      <c r="QU17" s="31"/>
      <c r="QV17" s="31"/>
      <c r="QW17" s="32"/>
      <c r="QX17" s="32"/>
      <c r="QY17" s="30"/>
      <c r="QZ17" s="30"/>
      <c r="RA17" s="31"/>
      <c r="RB17" s="31"/>
      <c r="RC17" s="32"/>
      <c r="RD17" s="32"/>
      <c r="RE17" s="30"/>
      <c r="RF17" s="30"/>
      <c r="RG17" s="31"/>
      <c r="RH17" s="31"/>
      <c r="RI17" s="32"/>
      <c r="RJ17" s="32"/>
      <c r="RK17" s="30"/>
      <c r="RL17" s="30"/>
      <c r="RM17" s="31"/>
      <c r="RN17" s="31"/>
      <c r="RO17" s="32"/>
      <c r="RP17" s="32"/>
      <c r="RQ17" s="30"/>
      <c r="RR17" s="30"/>
      <c r="RS17" s="31"/>
      <c r="RT17" s="31"/>
      <c r="RU17" s="32"/>
      <c r="RV17" s="32"/>
      <c r="RW17" s="30"/>
      <c r="RX17" s="30"/>
      <c r="RY17" s="31"/>
      <c r="RZ17" s="31"/>
      <c r="SA17" s="32"/>
      <c r="SB17" s="32"/>
      <c r="SC17" s="30"/>
      <c r="SD17" s="30"/>
      <c r="SE17" s="31"/>
      <c r="SF17" s="31"/>
      <c r="SG17" s="32"/>
      <c r="SH17" s="32"/>
      <c r="SI17" s="30"/>
      <c r="SJ17" s="30"/>
      <c r="SK17" s="30"/>
      <c r="SL17" s="31"/>
      <c r="SM17" s="31"/>
      <c r="SN17" s="32"/>
      <c r="SO17" s="32"/>
      <c r="SP17" s="30"/>
      <c r="SQ17" s="30"/>
      <c r="SR17" s="31"/>
      <c r="SS17" s="31"/>
      <c r="ST17" s="32"/>
      <c r="SU17" s="32"/>
      <c r="SV17" s="30"/>
      <c r="SW17" s="30"/>
      <c r="SX17" s="31"/>
      <c r="SY17" s="31"/>
      <c r="SZ17" s="32"/>
      <c r="TA17" s="32"/>
      <c r="TB17" s="30"/>
      <c r="TC17" s="30"/>
      <c r="TD17" s="31"/>
      <c r="TE17" s="31"/>
      <c r="TF17" s="32"/>
      <c r="TG17" s="32"/>
      <c r="TH17" s="30"/>
      <c r="TI17" s="30"/>
      <c r="TJ17" s="31"/>
      <c r="TK17" s="31"/>
      <c r="TL17" s="32"/>
      <c r="TM17" s="32"/>
      <c r="TN17" s="30"/>
      <c r="TO17" s="30"/>
      <c r="TP17" s="31"/>
      <c r="TQ17" s="31"/>
      <c r="TR17" s="32"/>
      <c r="TS17" s="32"/>
      <c r="TT17" s="30"/>
      <c r="TU17" s="30"/>
      <c r="TV17" s="31" t="s">
        <v>164</v>
      </c>
      <c r="TW17" s="31"/>
      <c r="TX17" s="32"/>
      <c r="TY17" s="32"/>
      <c r="TZ17" s="30"/>
      <c r="UA17" s="30"/>
      <c r="UB17" s="31"/>
      <c r="UC17" s="31"/>
      <c r="UD17" s="32"/>
      <c r="UE17" s="32"/>
      <c r="UF17" s="30"/>
      <c r="UG17" s="30"/>
      <c r="UH17" s="31"/>
      <c r="UI17" s="31"/>
      <c r="UJ17" s="32"/>
      <c r="UK17" s="32"/>
      <c r="UL17" s="30"/>
      <c r="UM17" s="30"/>
      <c r="UN17" s="31"/>
      <c r="UO17" s="31"/>
      <c r="UP17" s="32"/>
      <c r="UQ17" s="32"/>
      <c r="UR17" s="30"/>
      <c r="US17" s="30"/>
      <c r="UT17" s="31"/>
      <c r="UU17" s="31"/>
      <c r="UV17" s="32"/>
      <c r="UW17" s="32"/>
      <c r="UX17" s="30"/>
      <c r="UY17" s="30"/>
      <c r="UZ17" s="31"/>
      <c r="VA17" s="31"/>
      <c r="VB17" s="32"/>
      <c r="VC17" s="32"/>
      <c r="VD17" s="30"/>
      <c r="VE17" s="30"/>
      <c r="VF17" s="31"/>
      <c r="VG17" s="31"/>
      <c r="VH17" s="32"/>
      <c r="VI17" s="32"/>
      <c r="VJ17" s="30"/>
      <c r="VK17" s="30"/>
      <c r="VL17" s="31"/>
      <c r="VM17" s="31"/>
      <c r="VN17" s="32"/>
      <c r="VO17" s="32"/>
      <c r="VP17" s="30"/>
      <c r="VQ17" s="30"/>
      <c r="VR17" s="31"/>
      <c r="VS17" s="31"/>
      <c r="VT17" s="32"/>
      <c r="VU17" s="32"/>
      <c r="VV17" s="30"/>
      <c r="VW17" s="30"/>
      <c r="VX17" s="31"/>
      <c r="VY17" s="31"/>
      <c r="VZ17" s="32"/>
      <c r="WA17" s="32"/>
      <c r="WB17" s="30"/>
      <c r="WC17" s="30"/>
      <c r="WD17" s="31"/>
      <c r="WE17" s="31"/>
      <c r="WF17" s="32"/>
      <c r="WG17" s="32"/>
      <c r="WH17" s="30"/>
      <c r="WI17" s="30"/>
      <c r="WJ17" s="31"/>
      <c r="WK17" s="31"/>
      <c r="WL17" s="32"/>
      <c r="WM17" s="32"/>
      <c r="WN17" s="30"/>
      <c r="WO17" s="30"/>
      <c r="WP17" s="31"/>
      <c r="WQ17" s="31"/>
      <c r="WR17" s="32"/>
      <c r="WS17" s="32"/>
      <c r="WT17" s="30"/>
      <c r="WU17" s="30"/>
      <c r="WV17" s="31"/>
      <c r="WW17" s="31"/>
      <c r="WX17" s="32"/>
      <c r="WY17" s="32"/>
      <c r="WZ17" s="30"/>
      <c r="XA17" s="30"/>
      <c r="XB17" s="31"/>
      <c r="XC17" s="31"/>
      <c r="XD17" s="32"/>
      <c r="XE17" s="32"/>
      <c r="XF17" s="30"/>
      <c r="XG17" s="30"/>
      <c r="XH17" s="31"/>
      <c r="XI17" s="31"/>
      <c r="XJ17" s="32"/>
      <c r="XK17" s="32"/>
      <c r="XL17" s="30"/>
      <c r="XM17" s="30"/>
      <c r="XN17" s="31"/>
      <c r="XO17" s="31"/>
      <c r="XP17" s="32"/>
      <c r="XQ17" s="32"/>
      <c r="XR17" s="30"/>
      <c r="XS17" s="30"/>
      <c r="XT17" s="31"/>
      <c r="XU17" s="31"/>
      <c r="XV17" s="32"/>
      <c r="XW17" s="32"/>
      <c r="XX17" s="30"/>
      <c r="XY17" s="30"/>
      <c r="XZ17" s="31"/>
      <c r="YA17" s="31"/>
      <c r="YB17" s="32"/>
      <c r="YC17" s="32"/>
      <c r="YD17" s="30"/>
      <c r="YE17" s="30"/>
      <c r="YF17" s="31"/>
      <c r="YG17" s="31"/>
      <c r="YH17" s="32"/>
      <c r="YI17" s="32"/>
      <c r="YJ17" s="30"/>
      <c r="YK17" s="30"/>
      <c r="YL17" s="31"/>
      <c r="YM17" s="31"/>
      <c r="YN17" s="32"/>
      <c r="YO17" s="32"/>
      <c r="YP17" s="30"/>
      <c r="YQ17" s="30"/>
      <c r="YR17" s="31"/>
      <c r="YS17" s="31"/>
      <c r="YT17" s="32"/>
      <c r="YU17" s="32"/>
      <c r="YV17" s="30"/>
      <c r="YW17" s="30"/>
      <c r="YX17" s="31"/>
      <c r="YY17" s="31"/>
      <c r="YZ17" s="32"/>
      <c r="ZA17" s="32"/>
      <c r="ZB17" s="30"/>
      <c r="ZC17" s="30"/>
      <c r="ZD17" s="31"/>
      <c r="ZE17" s="31"/>
      <c r="ZF17" s="32"/>
      <c r="ZG17" s="32"/>
      <c r="ZH17" s="30"/>
      <c r="ZI17" s="30"/>
      <c r="ZJ17" s="31"/>
      <c r="ZK17" s="31"/>
      <c r="ZL17" s="32"/>
      <c r="ZM17" s="32"/>
      <c r="ZN17" s="30"/>
      <c r="ZO17" s="30"/>
      <c r="ZP17" s="31"/>
      <c r="ZQ17" s="31"/>
      <c r="ZR17" s="32"/>
      <c r="ZS17" s="32"/>
      <c r="ZT17" s="30"/>
      <c r="ZU17" s="30"/>
      <c r="ZV17" s="31"/>
      <c r="ZW17" s="31"/>
      <c r="ZX17" s="32"/>
      <c r="ZY17" s="32"/>
      <c r="ZZ17" s="30"/>
      <c r="AAA17" s="30"/>
      <c r="AAB17" s="31"/>
      <c r="AAC17" s="31"/>
      <c r="AAD17" s="32"/>
      <c r="AAE17" s="32"/>
      <c r="AAF17" s="30"/>
      <c r="AAG17" s="30"/>
      <c r="AAH17" s="31"/>
      <c r="AAI17" s="31"/>
      <c r="AAJ17" s="32"/>
      <c r="AAK17" s="32"/>
      <c r="AAL17" s="30"/>
      <c r="AAM17" s="30"/>
      <c r="AAN17" s="31"/>
      <c r="AAO17" s="31"/>
      <c r="AAP17" s="32"/>
      <c r="AAQ17" s="32"/>
      <c r="AAR17" s="30"/>
      <c r="AAS17" s="30"/>
      <c r="AAT17" s="31"/>
      <c r="AAU17" s="31"/>
      <c r="AAV17" s="32"/>
      <c r="AAW17" s="32"/>
      <c r="AAX17" s="30"/>
      <c r="AAY17" s="30"/>
      <c r="AAZ17" s="31"/>
      <c r="ABA17" s="31"/>
      <c r="ABB17" s="32"/>
      <c r="ABC17" s="32"/>
      <c r="ABD17" s="30"/>
      <c r="ABE17" s="30"/>
      <c r="ABF17" s="31"/>
      <c r="ABG17" s="31"/>
      <c r="ABH17" s="32"/>
      <c r="ABI17" s="32"/>
      <c r="ABJ17" s="30"/>
      <c r="ABK17" s="30"/>
      <c r="ABL17" s="31"/>
      <c r="ABM17" s="31"/>
      <c r="ABN17" s="32"/>
      <c r="ABO17" s="32"/>
      <c r="ABP17" s="30"/>
      <c r="ABQ17" s="30"/>
      <c r="ABR17" s="31"/>
      <c r="ABS17" s="31"/>
      <c r="ABT17" s="32"/>
      <c r="ABU17" s="32"/>
      <c r="ABV17" s="30"/>
      <c r="ABW17" s="30"/>
      <c r="ABX17" s="31"/>
      <c r="ABY17" s="31"/>
      <c r="ABZ17" s="32"/>
      <c r="ACA17" s="32"/>
      <c r="ACB17" s="30"/>
      <c r="ACC17" s="30"/>
      <c r="ACD17" s="31"/>
      <c r="ACE17" s="31"/>
      <c r="ACF17" s="32"/>
      <c r="ACG17" s="32"/>
      <c r="ACH17" s="30"/>
      <c r="ACI17" s="30"/>
      <c r="ACJ17" s="31"/>
      <c r="ACK17" s="31"/>
      <c r="ACL17" s="32"/>
      <c r="ACM17" s="32"/>
      <c r="ACN17" s="30"/>
      <c r="ACO17" s="30"/>
      <c r="ACP17" s="31"/>
      <c r="ACQ17" s="31"/>
      <c r="ACR17" s="32"/>
      <c r="ACS17" s="32"/>
      <c r="ACT17" s="30"/>
      <c r="ACU17" s="30"/>
      <c r="ACV17" s="31"/>
      <c r="ACW17" s="31"/>
      <c r="ACX17" s="32"/>
      <c r="ACY17" s="32"/>
      <c r="ACZ17" s="30"/>
      <c r="ADA17" s="30"/>
      <c r="ADB17" s="31"/>
      <c r="ADC17" s="31"/>
      <c r="ADD17" s="32"/>
      <c r="ADE17" s="32"/>
      <c r="ADF17" s="30"/>
      <c r="ADG17" s="30"/>
      <c r="ADH17" s="31"/>
      <c r="ADI17" s="31"/>
      <c r="ADJ17" s="32"/>
      <c r="ADK17" s="32"/>
      <c r="ADL17" s="30"/>
      <c r="ADM17" s="30"/>
      <c r="ADN17" s="31"/>
      <c r="ADO17" s="31"/>
      <c r="ADP17" s="32"/>
      <c r="ADQ17" s="32"/>
      <c r="ADR17" s="30"/>
      <c r="ADS17" s="30"/>
      <c r="ADT17" s="31"/>
      <c r="ADU17" s="31"/>
      <c r="ADV17" s="32"/>
      <c r="ADW17" s="32"/>
      <c r="ADX17" s="30"/>
      <c r="ADY17" s="30"/>
      <c r="ADZ17" s="31"/>
      <c r="AEA17" s="31"/>
      <c r="AEB17" s="32"/>
      <c r="AEC17" s="32"/>
      <c r="AED17" s="30"/>
      <c r="AEE17" s="30"/>
      <c r="AEF17" s="31"/>
      <c r="AEG17" s="31"/>
      <c r="AEH17" s="32"/>
      <c r="AEI17" s="32"/>
      <c r="AEJ17" s="30"/>
      <c r="AEK17" s="30"/>
      <c r="AEL17" s="31"/>
      <c r="AEM17" s="31"/>
      <c r="AEN17" s="32"/>
      <c r="AEO17" s="32"/>
      <c r="AEP17" s="30"/>
      <c r="AEQ17" s="30"/>
      <c r="AER17" s="31"/>
      <c r="AES17" s="31"/>
      <c r="AET17" s="32"/>
      <c r="AEU17" s="32"/>
      <c r="AEV17" s="30"/>
      <c r="AEW17" s="30"/>
      <c r="AEX17" s="31"/>
      <c r="AEY17" s="31"/>
      <c r="AEZ17" s="32"/>
      <c r="AFA17" s="32"/>
      <c r="AFB17" s="30"/>
      <c r="AFC17" s="30"/>
      <c r="AFD17" s="31"/>
      <c r="AFE17" s="31"/>
      <c r="AFF17" s="32"/>
      <c r="AFG17" s="32"/>
      <c r="AFH17" s="30"/>
      <c r="AFI17" s="30"/>
      <c r="AFJ17" s="31"/>
      <c r="AFK17" s="31"/>
      <c r="AFL17" s="32"/>
      <c r="AFM17" s="32"/>
      <c r="AFN17" s="30"/>
      <c r="AFO17" s="30"/>
      <c r="AFP17" s="31"/>
      <c r="AFQ17" s="31"/>
      <c r="AFR17" s="32"/>
      <c r="AFS17" s="32"/>
      <c r="AFT17" s="30"/>
      <c r="AFU17" s="30"/>
      <c r="AFV17" s="31"/>
      <c r="AFW17" s="31"/>
      <c r="AFX17" s="32"/>
      <c r="AFY17" s="32"/>
      <c r="AFZ17" s="30"/>
      <c r="AGA17" s="30"/>
      <c r="AGB17" s="31"/>
      <c r="AGC17" s="31"/>
      <c r="AGD17" s="32"/>
      <c r="AGE17" s="32"/>
      <c r="AGF17" s="30"/>
      <c r="AGG17" s="30"/>
      <c r="AGH17" s="31"/>
      <c r="AGI17" s="31"/>
      <c r="AGJ17" s="32"/>
      <c r="AGK17" s="32"/>
      <c r="AGL17" s="30"/>
      <c r="AGM17" s="30"/>
      <c r="AGN17" s="31"/>
      <c r="AGO17" s="31"/>
      <c r="AGP17" s="32"/>
      <c r="AGQ17" s="32"/>
      <c r="AGR17" s="30"/>
      <c r="AGS17" s="30"/>
      <c r="AGT17" s="31"/>
      <c r="AGU17" s="31"/>
      <c r="AGV17" s="32"/>
      <c r="AGW17" s="32"/>
      <c r="AGX17" s="30"/>
      <c r="AGY17" s="30"/>
      <c r="AGZ17" s="31"/>
      <c r="AHA17" s="31"/>
      <c r="AHB17" s="32"/>
      <c r="AHC17" s="32"/>
      <c r="AHD17" s="30"/>
      <c r="AHE17" s="30"/>
      <c r="AHF17" s="31"/>
      <c r="AHG17" s="31"/>
      <c r="AHH17" s="32"/>
      <c r="AHI17" s="32"/>
      <c r="AHJ17" s="30"/>
      <c r="AHK17" s="30"/>
      <c r="AHL17" s="31"/>
      <c r="AHM17" s="31"/>
      <c r="AHN17" s="32"/>
      <c r="AHO17" s="32"/>
      <c r="AHP17" s="30"/>
      <c r="AHQ17" s="30"/>
      <c r="AHR17" s="31"/>
      <c r="AHS17" s="31"/>
      <c r="AHT17" s="32"/>
      <c r="AHU17" s="32"/>
      <c r="AHV17" s="30"/>
      <c r="AHW17" s="30"/>
      <c r="AHX17" s="31"/>
      <c r="AHY17" s="31"/>
      <c r="AHZ17" s="32"/>
      <c r="AIA17" s="32"/>
      <c r="AIB17" s="30"/>
      <c r="AIC17" s="30"/>
      <c r="AID17" s="31"/>
      <c r="AIE17" s="31"/>
      <c r="AIF17" s="32"/>
      <c r="AIG17" s="32"/>
      <c r="AIH17" s="30"/>
      <c r="AII17" s="30"/>
      <c r="AIJ17" s="31"/>
      <c r="AIK17" s="31"/>
      <c r="AIL17" s="32"/>
      <c r="AIM17" s="32"/>
      <c r="AIN17" s="30"/>
      <c r="AIO17" s="30"/>
      <c r="AIP17" s="31"/>
      <c r="AIQ17" s="31"/>
      <c r="AIR17" s="32"/>
      <c r="AIS17" s="32"/>
      <c r="AIT17" s="30"/>
      <c r="AIU17" s="30"/>
      <c r="AIV17" s="31"/>
      <c r="AIW17" s="31"/>
      <c r="AIX17" s="32"/>
      <c r="AIY17" s="32"/>
      <c r="AIZ17" s="30"/>
      <c r="AJA17" s="30"/>
      <c r="AJB17" s="31"/>
      <c r="AJC17" s="31"/>
      <c r="AJD17" s="32"/>
      <c r="AJE17" s="32"/>
      <c r="AJF17" s="30"/>
      <c r="AJG17" s="30"/>
      <c r="AJH17" s="31"/>
      <c r="AJI17" s="31"/>
      <c r="AJJ17" s="32"/>
      <c r="AJK17" s="32"/>
      <c r="AJL17" s="30"/>
      <c r="AJM17" s="30"/>
      <c r="AJN17" s="31"/>
      <c r="AJO17" s="31"/>
      <c r="AJP17" s="32"/>
      <c r="AJQ17" s="32"/>
      <c r="AJR17" s="30"/>
      <c r="AJS17" s="30"/>
      <c r="AJT17" s="31"/>
      <c r="AJU17" s="31"/>
      <c r="AJV17" s="32"/>
      <c r="AJW17" s="32"/>
      <c r="AJX17" s="30"/>
      <c r="AJY17" s="30"/>
      <c r="AJZ17" s="31"/>
      <c r="AKA17" s="31"/>
      <c r="AKB17" s="32"/>
      <c r="AKC17" s="32"/>
      <c r="AKD17" s="30"/>
      <c r="AKE17" s="30"/>
      <c r="AKF17" s="31"/>
      <c r="AKG17" s="31"/>
      <c r="AKH17" s="32"/>
      <c r="AKI17" s="32"/>
      <c r="AKJ17" s="30"/>
      <c r="AKK17" s="30"/>
      <c r="AKL17" s="31"/>
      <c r="AKM17" s="31"/>
      <c r="AKN17" s="32"/>
      <c r="AKO17" s="32"/>
      <c r="AKP17" s="30"/>
      <c r="AKQ17" s="30"/>
      <c r="AKR17" s="31"/>
      <c r="AKS17" s="31"/>
      <c r="AKT17" s="32"/>
      <c r="AKU17" s="32"/>
      <c r="AKV17" s="30"/>
      <c r="AKW17" s="30"/>
      <c r="AKX17" s="31"/>
      <c r="AKY17" s="31"/>
      <c r="AKZ17" s="32"/>
      <c r="ALA17" s="32"/>
      <c r="ALB17" s="30"/>
      <c r="ALC17" s="30"/>
      <c r="ALD17" s="31"/>
      <c r="ALE17" s="31"/>
      <c r="ALF17" s="32"/>
      <c r="ALG17" s="32"/>
      <c r="ALH17" s="30"/>
      <c r="ALI17" s="30"/>
      <c r="ALJ17" s="31"/>
      <c r="ALK17" s="31"/>
      <c r="ALL17" s="32"/>
      <c r="ALM17" s="32"/>
      <c r="ALN17" s="30"/>
      <c r="ALO17" s="30"/>
      <c r="ALP17" s="31"/>
      <c r="ALQ17" s="31"/>
      <c r="ALR17" s="32"/>
      <c r="ALS17" s="32"/>
      <c r="ALT17" s="30"/>
      <c r="ALU17" s="30"/>
      <c r="ALV17" s="31"/>
      <c r="ALW17" s="31"/>
      <c r="ALX17" s="32"/>
      <c r="ALY17" s="32"/>
      <c r="ALZ17" s="30"/>
      <c r="AMA17" s="30"/>
      <c r="AMB17" s="31"/>
      <c r="AMC17" s="31"/>
      <c r="AMD17" s="32"/>
      <c r="AME17" s="32"/>
      <c r="AMF17" s="30"/>
      <c r="AMG17" s="30"/>
      <c r="AMH17" s="31"/>
      <c r="AMI17" s="31"/>
      <c r="AMJ17" s="32"/>
      <c r="AMK17" s="32"/>
      <c r="AML17" s="30"/>
      <c r="AMM17" s="30"/>
      <c r="AMN17" s="31"/>
      <c r="AMO17" s="31"/>
      <c r="AMP17" s="32"/>
      <c r="AMQ17" s="32"/>
      <c r="AMR17" s="30"/>
      <c r="AMS17" s="30"/>
      <c r="AMT17" s="31"/>
      <c r="AMU17" s="31"/>
      <c r="AMV17" s="32"/>
      <c r="AMW17" s="32"/>
      <c r="AMX17" s="30"/>
      <c r="AMY17" s="30"/>
      <c r="AMZ17" s="31"/>
      <c r="ANA17" s="31"/>
      <c r="ANB17" s="32"/>
      <c r="ANC17" s="32"/>
      <c r="AND17" s="30"/>
      <c r="ANE17" s="30"/>
      <c r="ANF17" s="31"/>
      <c r="ANG17" s="31"/>
      <c r="ANH17" s="32"/>
      <c r="ANI17" s="32"/>
      <c r="ANJ17" s="30"/>
      <c r="ANK17" s="30"/>
      <c r="ANL17" s="31"/>
      <c r="ANM17" s="31"/>
      <c r="ANN17" s="32"/>
      <c r="ANO17" s="32"/>
      <c r="ANP17" s="30"/>
      <c r="ANQ17" s="30"/>
      <c r="ANR17" s="31"/>
      <c r="ANS17" s="31"/>
      <c r="ANT17" s="32"/>
      <c r="ANU17" s="32"/>
      <c r="ANV17" s="30"/>
      <c r="ANW17" s="30"/>
      <c r="ANX17" s="31"/>
      <c r="ANY17" s="31"/>
      <c r="ANZ17" s="32"/>
      <c r="AOA17" s="32"/>
      <c r="AOB17" s="30"/>
      <c r="AOC17" s="30"/>
      <c r="AOD17" s="31"/>
      <c r="AOE17" s="31"/>
      <c r="AOF17" s="32"/>
      <c r="AOG17" s="32"/>
      <c r="AOH17" s="30"/>
      <c r="AOI17" s="30"/>
      <c r="AOJ17" s="31"/>
      <c r="AOK17" s="31"/>
      <c r="AOL17" s="32"/>
      <c r="AOM17" s="32"/>
      <c r="AON17" s="30"/>
      <c r="AOO17" s="30"/>
      <c r="AOP17" s="31"/>
      <c r="AOQ17" s="31"/>
      <c r="AOR17" s="32"/>
      <c r="AOS17" s="32"/>
      <c r="AOT17" s="30"/>
      <c r="AOU17" s="30"/>
      <c r="AOV17" s="31"/>
      <c r="AOW17" s="31"/>
      <c r="AOX17" s="32"/>
      <c r="AOY17" s="32"/>
      <c r="AOZ17" s="30"/>
      <c r="APA17" s="30"/>
      <c r="APB17" s="31"/>
      <c r="APC17" s="31"/>
      <c r="APD17" s="32"/>
      <c r="APE17" s="32"/>
      <c r="APF17" s="30"/>
      <c r="APG17" s="30"/>
      <c r="APH17" s="32"/>
      <c r="API17" s="32"/>
      <c r="APJ17" s="31"/>
      <c r="APK17" s="31"/>
      <c r="APL17" s="30"/>
      <c r="APM17" s="30"/>
      <c r="APN17" s="32"/>
      <c r="APO17" s="32"/>
      <c r="APP17" s="31"/>
      <c r="APQ17" s="31"/>
      <c r="APR17" s="30"/>
      <c r="APS17" s="30"/>
      <c r="APT17" s="32"/>
      <c r="APU17" s="32"/>
      <c r="APV17" s="31"/>
      <c r="APW17" s="31"/>
      <c r="APX17" s="30"/>
      <c r="APY17" s="30"/>
      <c r="APZ17" s="32"/>
      <c r="AQA17" s="32"/>
      <c r="AQB17" s="31"/>
      <c r="AQC17" s="31"/>
      <c r="AQD17" s="30"/>
      <c r="AQE17" s="30"/>
      <c r="AQF17" s="32"/>
      <c r="AQG17" s="32"/>
      <c r="AQH17" s="31"/>
      <c r="AQI17" s="31"/>
      <c r="AQJ17" s="30"/>
      <c r="AQK17" s="30"/>
      <c r="AQL17" s="32" t="s">
        <v>389</v>
      </c>
      <c r="AQM17" s="32"/>
      <c r="AQN17" s="31"/>
      <c r="AQO17" s="31"/>
      <c r="AQP17" s="30"/>
      <c r="AQQ17" s="30"/>
      <c r="AQR17" s="32"/>
      <c r="AQS17" s="32"/>
      <c r="AQT17" s="31"/>
      <c r="AQU17" s="31"/>
      <c r="AQV17" s="30"/>
      <c r="AQW17" s="30"/>
      <c r="AQX17" s="32"/>
      <c r="AQY17" s="32"/>
      <c r="AQZ17" s="31"/>
      <c r="ARA17" s="31"/>
      <c r="ARB17" s="30"/>
      <c r="ARC17" s="30"/>
      <c r="ARD17" s="32"/>
      <c r="ARE17" s="32"/>
      <c r="ARF17" s="31"/>
      <c r="ARG17" s="31"/>
      <c r="ARH17" s="30"/>
      <c r="ARI17" s="30"/>
      <c r="ARJ17" s="32"/>
      <c r="ARK17" s="32"/>
      <c r="ARL17" s="31"/>
      <c r="ARM17" s="31"/>
      <c r="ARN17" s="30"/>
      <c r="ARO17" s="30"/>
      <c r="ARP17" s="32"/>
      <c r="ARQ17" s="32"/>
      <c r="ARR17" s="31"/>
      <c r="ARS17" s="31"/>
      <c r="ART17" s="30"/>
      <c r="ARU17" s="30"/>
      <c r="ARV17" s="32"/>
      <c r="ARW17" s="32"/>
      <c r="ARX17" s="31"/>
      <c r="ARY17" s="31"/>
      <c r="ARZ17" s="30"/>
      <c r="ASA17" s="30"/>
      <c r="ASB17" s="32"/>
      <c r="ASC17" s="32"/>
      <c r="ASD17" s="31"/>
      <c r="ASE17" s="31"/>
      <c r="ASF17" s="30"/>
      <c r="ASG17" s="30"/>
      <c r="ASH17" s="32"/>
      <c r="ASI17" s="32"/>
      <c r="ASJ17" s="31"/>
      <c r="ASK17" s="31"/>
      <c r="ASL17" s="30"/>
      <c r="ASM17" s="30"/>
      <c r="ASN17" s="32"/>
      <c r="ASO17" s="32"/>
      <c r="ASP17" s="31"/>
      <c r="ASQ17" s="31"/>
      <c r="ASR17" s="30"/>
      <c r="ASS17" s="30"/>
      <c r="AST17" s="32"/>
      <c r="ASU17" s="32"/>
      <c r="ASV17" s="31"/>
      <c r="ASW17" s="31"/>
      <c r="ASX17" s="30"/>
      <c r="ASY17" s="30"/>
      <c r="ASZ17" s="32"/>
      <c r="ATA17" s="32"/>
      <c r="ATB17" s="31"/>
      <c r="ATC17" s="31"/>
      <c r="ATD17" s="30"/>
      <c r="ATE17" s="30"/>
      <c r="ATF17" s="32"/>
      <c r="ATG17" s="32"/>
      <c r="ATH17" s="31"/>
      <c r="ATI17" s="31"/>
      <c r="ATJ17" s="30"/>
      <c r="ATK17" s="30"/>
      <c r="ATL17" s="32"/>
      <c r="ATM17" s="32"/>
      <c r="ATN17" s="31"/>
      <c r="ATO17" s="31"/>
      <c r="ATP17" s="30"/>
      <c r="ATQ17" s="30"/>
      <c r="ATR17" s="32"/>
      <c r="ATS17" s="32"/>
      <c r="ATT17" s="31"/>
      <c r="ATU17" s="31"/>
      <c r="ATV17" s="30"/>
      <c r="ATW17" s="30"/>
      <c r="ATX17" s="32"/>
      <c r="ATY17" s="32"/>
      <c r="ATZ17" s="31"/>
      <c r="AUA17" s="31"/>
      <c r="AUB17" s="30"/>
      <c r="AUC17" s="30"/>
      <c r="AUD17" s="32"/>
      <c r="AUE17" s="32"/>
      <c r="AUF17" s="31"/>
      <c r="AUG17" s="31"/>
      <c r="AUH17" s="30"/>
      <c r="AUI17" s="30"/>
      <c r="AUJ17" s="32"/>
      <c r="AUK17" s="32"/>
      <c r="AUL17" s="31"/>
      <c r="AUM17" s="31"/>
      <c r="AUN17" s="30"/>
      <c r="AUO17" s="30"/>
      <c r="AUP17" s="32"/>
      <c r="AUQ17" s="32"/>
      <c r="AUR17" s="31"/>
      <c r="AUS17" s="31"/>
      <c r="AUT17" s="30"/>
      <c r="AUU17" s="30"/>
      <c r="AUV17" s="32"/>
      <c r="AUW17" s="32"/>
      <c r="AUX17" s="31"/>
      <c r="AUY17" s="31"/>
      <c r="AUZ17" s="30"/>
      <c r="AVA17" s="30"/>
      <c r="AVB17" s="32"/>
      <c r="AVC17" s="32"/>
      <c r="AVD17" s="31"/>
      <c r="AVE17" s="31"/>
      <c r="AVF17" s="30"/>
      <c r="AVG17" s="30"/>
      <c r="AVH17" s="32"/>
      <c r="AVI17" s="32"/>
      <c r="AVJ17" s="31"/>
      <c r="AVK17" s="31"/>
      <c r="AVL17" s="30"/>
      <c r="AVM17" s="30"/>
      <c r="AVN17" s="32"/>
      <c r="AVO17" s="32"/>
      <c r="AVP17" s="31"/>
      <c r="AVQ17" s="31"/>
      <c r="AVR17" s="30"/>
      <c r="AVS17" s="30"/>
      <c r="AVT17" s="32"/>
      <c r="AVU17" s="32"/>
      <c r="AVV17" s="31"/>
      <c r="AVW17" s="31"/>
      <c r="AVX17" s="30"/>
      <c r="AVY17" s="30"/>
      <c r="AVZ17" s="32"/>
      <c r="AWA17" s="32"/>
      <c r="AWB17" s="31"/>
      <c r="AWC17" s="31"/>
      <c r="AWD17" s="30"/>
      <c r="AWE17" s="30"/>
      <c r="AWF17" s="32"/>
      <c r="AWG17" s="32"/>
      <c r="AWH17" s="31"/>
      <c r="AWI17" s="31"/>
      <c r="AWJ17" s="30"/>
      <c r="AWK17" s="30"/>
      <c r="AWL17" s="32"/>
      <c r="AWM17" s="32"/>
      <c r="AWN17" s="31"/>
      <c r="AWO17" s="31"/>
      <c r="AWP17" s="30"/>
      <c r="AWQ17" s="30"/>
      <c r="AWR17" s="32"/>
      <c r="AWS17" s="32"/>
      <c r="AWT17" s="31"/>
      <c r="AWU17" s="31"/>
      <c r="AWV17" s="30"/>
      <c r="AWW17" s="30"/>
      <c r="AWX17" s="32"/>
      <c r="AWY17" s="32"/>
      <c r="AWZ17" s="31"/>
      <c r="AXA17" s="31"/>
      <c r="AXB17" s="30"/>
      <c r="AXC17" s="30"/>
      <c r="AXD17" s="32"/>
      <c r="AXE17" s="32"/>
      <c r="AXF17" s="31"/>
      <c r="AXG17" s="31"/>
      <c r="AXH17" s="30"/>
      <c r="AXI17" s="30"/>
      <c r="AXJ17" s="32"/>
      <c r="AXK17" s="32"/>
      <c r="AXL17" s="31"/>
      <c r="AXM17" s="31"/>
      <c r="AXN17" s="30"/>
      <c r="AXO17" s="30"/>
      <c r="AXP17" s="32"/>
      <c r="AXQ17" s="32"/>
      <c r="AXR17" s="31"/>
      <c r="AXS17" s="31"/>
      <c r="AXT17" s="30"/>
      <c r="AXU17" s="30"/>
      <c r="AXV17" s="32"/>
      <c r="AXW17" s="32"/>
      <c r="AXX17" s="31"/>
      <c r="AXY17" s="31"/>
      <c r="AXZ17" s="30"/>
      <c r="AYA17" s="30"/>
      <c r="AYB17" s="32"/>
      <c r="AYC17" s="32"/>
      <c r="AYD17" s="31"/>
      <c r="AYE17" s="31"/>
      <c r="AYF17" s="30"/>
      <c r="AYG17" s="30"/>
      <c r="AYH17" s="32"/>
      <c r="AYI17" s="32"/>
      <c r="AYJ17" s="31"/>
      <c r="AYK17" s="31"/>
      <c r="AYL17" s="30"/>
      <c r="AYM17" s="30"/>
      <c r="AYN17" s="32"/>
      <c r="AYO17" s="32"/>
      <c r="AYP17" s="31"/>
      <c r="AYQ17" s="31"/>
      <c r="AYR17" s="30"/>
      <c r="AYS17" s="30"/>
      <c r="AYT17" s="32"/>
      <c r="AYU17" s="32"/>
      <c r="AYV17" s="31"/>
      <c r="AYW17" s="31"/>
      <c r="AYX17" s="30"/>
      <c r="AYY17" s="30"/>
      <c r="AYZ17" s="32"/>
      <c r="AZA17" s="32"/>
      <c r="AZB17" s="31"/>
      <c r="AZC17" s="31"/>
      <c r="AZD17" s="30"/>
      <c r="AZE17" s="30"/>
      <c r="AZF17" s="32"/>
      <c r="AZG17" s="32"/>
      <c r="AZH17" s="31"/>
      <c r="AZI17" s="31"/>
      <c r="AZJ17" s="30"/>
      <c r="AZK17" s="30"/>
      <c r="AZL17" s="32"/>
      <c r="AZM17" s="32"/>
      <c r="AZN17" s="31"/>
      <c r="AZO17" s="31"/>
      <c r="AZP17" s="30"/>
      <c r="AZQ17" s="30"/>
      <c r="AZR17" s="32"/>
      <c r="AZS17" s="32"/>
      <c r="AZT17" s="31"/>
      <c r="AZU17" s="31"/>
      <c r="AZV17" s="30"/>
      <c r="AZW17" s="30"/>
      <c r="AZX17" s="32"/>
      <c r="AZY17" s="32"/>
      <c r="AZZ17" s="31"/>
      <c r="BAA17" s="31"/>
      <c r="BAB17" s="30"/>
      <c r="BAC17" s="30"/>
      <c r="BAD17" s="32"/>
      <c r="BAE17" s="32"/>
      <c r="BAF17" s="31"/>
      <c r="BAG17" s="31"/>
      <c r="BAH17" s="30"/>
      <c r="BAI17" s="30"/>
      <c r="BAJ17" s="32"/>
      <c r="BAK17" s="32"/>
      <c r="BAL17" s="31"/>
      <c r="BAM17" s="31"/>
      <c r="BAN17" s="30"/>
      <c r="BAO17" s="30"/>
      <c r="BAP17" s="32"/>
      <c r="BAQ17" s="32"/>
      <c r="BAR17" s="31"/>
      <c r="BAS17" s="31"/>
      <c r="BAT17" s="30"/>
      <c r="BAU17" s="30"/>
      <c r="BAV17" s="32"/>
      <c r="BAW17" s="32"/>
      <c r="BAX17" s="31"/>
      <c r="BAY17" s="31"/>
      <c r="BAZ17" s="30"/>
      <c r="BBA17" s="30"/>
      <c r="BBB17" s="32"/>
      <c r="BBC17" s="32"/>
      <c r="BBD17" s="31"/>
      <c r="BBE17" s="31"/>
      <c r="BBF17" s="30"/>
      <c r="BBG17" s="30"/>
      <c r="BBH17" s="32"/>
      <c r="BBI17" s="32"/>
      <c r="BBJ17" s="31"/>
      <c r="BBK17" s="31"/>
      <c r="BBL17" s="30"/>
      <c r="BBM17" s="30"/>
      <c r="BBN17" s="32"/>
      <c r="BBO17" s="32"/>
      <c r="BBP17" s="31"/>
      <c r="BBQ17" s="31"/>
      <c r="BBR17" s="30"/>
      <c r="BBS17" s="30"/>
      <c r="BBT17" s="32"/>
      <c r="BBU17" s="32"/>
      <c r="BBV17" s="31"/>
      <c r="BBW17" s="31"/>
      <c r="BBX17" s="30"/>
      <c r="BBY17" s="30"/>
      <c r="BBZ17" s="32"/>
      <c r="BCA17" s="32"/>
      <c r="BCB17" s="31"/>
      <c r="BCC17" s="31"/>
      <c r="BCD17" s="30"/>
      <c r="BCE17" s="30"/>
      <c r="BCF17" s="32"/>
      <c r="BCG17" s="32"/>
      <c r="BCH17" s="31"/>
      <c r="BCI17" s="31"/>
      <c r="BCJ17" s="30"/>
      <c r="BCK17" s="30"/>
      <c r="BCL17" s="32"/>
      <c r="BCM17" s="32"/>
      <c r="BCN17" s="31"/>
      <c r="BCO17" s="31"/>
      <c r="BCP17" s="30"/>
      <c r="BCQ17" s="30"/>
    </row>
    <row r="18" spans="1:1447">
      <c r="A18" s="30"/>
      <c r="B18" s="30"/>
      <c r="C18" s="31"/>
      <c r="D18" s="31"/>
      <c r="E18" s="32"/>
      <c r="F18" s="32"/>
      <c r="G18" s="30"/>
      <c r="H18" s="30"/>
      <c r="I18" s="31"/>
      <c r="J18" s="31"/>
      <c r="K18" s="32"/>
      <c r="L18" s="32"/>
      <c r="M18" s="30"/>
      <c r="N18" s="30"/>
      <c r="O18" s="31"/>
      <c r="P18" s="31"/>
      <c r="Q18" s="32"/>
      <c r="R18" s="32"/>
      <c r="S18" s="30"/>
      <c r="T18" s="30"/>
      <c r="U18" s="31"/>
      <c r="V18" s="31"/>
      <c r="W18" s="32"/>
      <c r="X18" s="32"/>
      <c r="Y18" s="30"/>
      <c r="Z18" s="30"/>
      <c r="AA18" s="31"/>
      <c r="AB18" s="31"/>
      <c r="AC18" s="32"/>
      <c r="AD18" s="32"/>
      <c r="AE18" s="30"/>
      <c r="AF18" s="30"/>
      <c r="AG18" s="31"/>
      <c r="AH18" s="31"/>
      <c r="AI18" s="32"/>
      <c r="AJ18" s="32"/>
      <c r="AK18" s="30"/>
      <c r="AL18" s="30"/>
      <c r="AM18" s="31"/>
      <c r="AN18" s="31"/>
      <c r="AO18" s="32"/>
      <c r="AP18" s="32"/>
      <c r="AQ18" s="30"/>
      <c r="AR18" s="30"/>
      <c r="AS18" s="31"/>
      <c r="AT18" s="31"/>
      <c r="AU18" s="32"/>
      <c r="AV18" s="32"/>
      <c r="AW18" s="30"/>
      <c r="AX18" s="30"/>
      <c r="AY18" s="31"/>
      <c r="AZ18" s="31"/>
      <c r="BA18" s="32"/>
      <c r="BB18" s="32"/>
      <c r="BC18" s="30"/>
      <c r="BD18" s="30"/>
      <c r="BE18" s="31"/>
      <c r="BF18" s="31"/>
      <c r="BG18" s="32"/>
      <c r="BH18" s="32"/>
      <c r="BI18" s="30"/>
      <c r="BJ18" s="30"/>
      <c r="BK18" s="31"/>
      <c r="BL18" s="31"/>
      <c r="BM18" s="32"/>
      <c r="BN18" s="32"/>
      <c r="BO18" s="30"/>
      <c r="BP18" s="30"/>
      <c r="BQ18" s="31"/>
      <c r="BR18" s="31"/>
      <c r="BS18" s="32"/>
      <c r="BT18" s="32"/>
      <c r="BU18" s="30"/>
      <c r="BV18" s="30"/>
      <c r="BW18" s="31"/>
      <c r="BX18" s="31"/>
      <c r="BY18" s="32"/>
      <c r="BZ18" s="32"/>
      <c r="CA18" s="30"/>
      <c r="CB18" s="30"/>
      <c r="CC18" s="31"/>
      <c r="CD18" s="31"/>
      <c r="CE18" s="32"/>
      <c r="CF18" s="32"/>
      <c r="CG18" s="30"/>
      <c r="CH18" s="30"/>
      <c r="CI18" s="31"/>
      <c r="CJ18" s="31"/>
      <c r="CK18" s="32"/>
      <c r="CL18" s="32"/>
      <c r="CM18" s="30"/>
      <c r="CN18" s="30"/>
      <c r="CO18" s="31"/>
      <c r="CP18" s="31"/>
      <c r="CQ18" s="32"/>
      <c r="CR18" s="32"/>
      <c r="CS18" s="30"/>
      <c r="CT18" s="30"/>
      <c r="CU18" s="31"/>
      <c r="CV18" s="31"/>
      <c r="CW18" s="32"/>
      <c r="CX18" s="32"/>
      <c r="CY18" s="30"/>
      <c r="CZ18" s="30"/>
      <c r="DA18" s="31"/>
      <c r="DB18" s="31"/>
      <c r="DC18" s="32"/>
      <c r="DD18" s="32"/>
      <c r="DE18" s="30"/>
      <c r="DF18" s="30"/>
      <c r="DG18" s="31"/>
      <c r="DH18" s="31"/>
      <c r="DI18" s="32"/>
      <c r="DJ18" s="32"/>
      <c r="DK18" s="30"/>
      <c r="DL18" s="30"/>
      <c r="DM18" s="31"/>
      <c r="DN18" s="31"/>
      <c r="DO18" s="32"/>
      <c r="DP18" s="32"/>
      <c r="DQ18" s="30"/>
      <c r="DR18" s="30"/>
      <c r="DS18" s="31"/>
      <c r="DT18" s="31"/>
      <c r="DU18" s="32"/>
      <c r="DV18" s="32"/>
      <c r="DW18" s="30"/>
      <c r="DX18" s="30"/>
      <c r="DY18" s="31"/>
      <c r="DZ18" s="31"/>
      <c r="EA18" s="32"/>
      <c r="EB18" s="32"/>
      <c r="EC18" s="30"/>
      <c r="ED18" s="30"/>
      <c r="EE18" s="31"/>
      <c r="EF18" s="31"/>
      <c r="EG18" s="32"/>
      <c r="EH18" s="32"/>
      <c r="EI18" s="30"/>
      <c r="EJ18" s="30"/>
      <c r="EK18" s="31"/>
      <c r="EL18" s="31"/>
      <c r="EM18" s="32"/>
      <c r="EN18" s="32"/>
      <c r="EO18" s="30"/>
      <c r="EP18" s="30"/>
      <c r="EQ18" s="31"/>
      <c r="ER18" s="31"/>
      <c r="ES18" s="32"/>
      <c r="ET18" s="32"/>
      <c r="EU18" s="30"/>
      <c r="EV18" s="30"/>
      <c r="EW18" s="31"/>
      <c r="EX18" s="31"/>
      <c r="EY18" s="32"/>
      <c r="EZ18" s="32"/>
      <c r="FA18" s="30"/>
      <c r="FB18" s="30"/>
      <c r="FC18" s="31"/>
      <c r="FD18" s="31"/>
      <c r="FE18" s="32"/>
      <c r="FF18" s="32"/>
      <c r="FG18" s="30"/>
      <c r="FH18" s="30"/>
      <c r="FI18" s="32"/>
      <c r="FJ18" s="32"/>
      <c r="FK18" s="30"/>
      <c r="FL18" s="30"/>
      <c r="FM18" s="31"/>
      <c r="FN18" s="31"/>
      <c r="FO18" s="32"/>
      <c r="FP18" s="32"/>
      <c r="FQ18" s="30"/>
      <c r="FR18" s="30"/>
      <c r="FS18" s="31"/>
      <c r="FT18" s="31"/>
      <c r="FU18" s="32"/>
      <c r="FV18" s="32"/>
      <c r="FW18" s="30"/>
      <c r="FX18" s="30"/>
      <c r="FY18" s="31"/>
      <c r="FZ18" s="31"/>
      <c r="GA18" s="32"/>
      <c r="GB18" s="32"/>
      <c r="GC18" s="30"/>
      <c r="GD18" s="30"/>
      <c r="GE18" s="31"/>
      <c r="GF18" s="31"/>
      <c r="GG18" s="32"/>
      <c r="GH18" s="32"/>
      <c r="GI18" s="30"/>
      <c r="GJ18" s="30"/>
      <c r="GK18" s="31"/>
      <c r="GL18" s="31"/>
      <c r="GM18" s="32"/>
      <c r="GN18" s="32"/>
      <c r="GO18" s="30"/>
      <c r="GP18" s="30"/>
      <c r="GQ18" s="31"/>
      <c r="GR18" s="31"/>
      <c r="GS18" s="32"/>
      <c r="GT18" s="32"/>
      <c r="GU18" s="30"/>
      <c r="GV18" s="30"/>
      <c r="GW18" s="31"/>
      <c r="GX18" s="31"/>
      <c r="GY18" s="32"/>
      <c r="GZ18" s="32"/>
      <c r="HA18" s="30"/>
      <c r="HB18" s="30"/>
      <c r="HC18" s="31"/>
      <c r="HD18" s="31"/>
      <c r="HE18" s="32"/>
      <c r="HF18" s="32"/>
      <c r="HG18" s="30"/>
      <c r="HH18" s="30"/>
      <c r="HI18" s="31"/>
      <c r="HJ18" s="31"/>
      <c r="HK18" s="32"/>
      <c r="HL18" s="32"/>
      <c r="HM18" s="30"/>
      <c r="HN18" s="30"/>
      <c r="HO18" s="31"/>
      <c r="HP18" s="31"/>
      <c r="HQ18" s="32"/>
      <c r="HR18" s="32"/>
      <c r="HS18" s="30"/>
      <c r="HT18" s="30"/>
      <c r="HU18" s="31"/>
      <c r="HV18" s="31"/>
      <c r="HW18" s="32"/>
      <c r="HX18" s="32"/>
      <c r="HY18" s="30"/>
      <c r="HZ18" s="30"/>
      <c r="IA18" s="31"/>
      <c r="IB18" s="31"/>
      <c r="IC18" s="32"/>
      <c r="ID18" s="32"/>
      <c r="IE18" s="30"/>
      <c r="IF18" s="30"/>
      <c r="IG18" s="31"/>
      <c r="IH18" s="31"/>
      <c r="II18" s="32"/>
      <c r="IJ18" s="32"/>
      <c r="IK18" s="30"/>
      <c r="IL18" s="30"/>
      <c r="IM18" s="31"/>
      <c r="IN18" s="31"/>
      <c r="IO18" s="32"/>
      <c r="IP18" s="32"/>
      <c r="IQ18" s="30"/>
      <c r="IR18" s="30"/>
      <c r="IS18" s="31"/>
      <c r="IT18" s="31"/>
      <c r="IU18" s="32"/>
      <c r="IV18" s="32"/>
      <c r="IW18" s="30"/>
      <c r="IX18" s="30"/>
      <c r="IY18" s="31"/>
      <c r="IZ18" s="31"/>
      <c r="JA18" s="32"/>
      <c r="JB18" s="32"/>
      <c r="JC18" s="30"/>
      <c r="JD18" s="30"/>
      <c r="JE18" s="31"/>
      <c r="JF18" s="31"/>
      <c r="JG18" s="32"/>
      <c r="JH18" s="32"/>
      <c r="JI18" s="30"/>
      <c r="JJ18" s="30"/>
      <c r="JK18" s="31"/>
      <c r="JL18" s="31"/>
      <c r="JM18" s="32"/>
      <c r="JN18" s="32"/>
      <c r="JO18" s="30"/>
      <c r="JP18" s="30"/>
      <c r="JQ18" s="31"/>
      <c r="JR18" s="31"/>
      <c r="JS18" s="32"/>
      <c r="JT18" s="32"/>
      <c r="JU18" s="30"/>
      <c r="JV18" s="30"/>
      <c r="JW18" s="31"/>
      <c r="JX18" s="31"/>
      <c r="JY18" s="32"/>
      <c r="JZ18" s="32"/>
      <c r="KA18" s="30"/>
      <c r="KB18" s="30"/>
      <c r="KC18" s="31"/>
      <c r="KD18" s="31"/>
      <c r="KE18" s="32"/>
      <c r="KF18" s="32"/>
      <c r="KG18" s="30"/>
      <c r="KH18" s="30"/>
      <c r="KI18" s="31"/>
      <c r="KJ18" s="31"/>
      <c r="KK18" s="32"/>
      <c r="KL18" s="32"/>
      <c r="KM18" s="30"/>
      <c r="KN18" s="30"/>
      <c r="KO18" s="31"/>
      <c r="KP18" s="31"/>
      <c r="KQ18" s="32"/>
      <c r="KR18" s="32"/>
      <c r="KS18" s="30"/>
      <c r="KT18" s="30"/>
      <c r="KU18" s="31"/>
      <c r="KV18" s="31"/>
      <c r="KW18" s="32"/>
      <c r="KX18" s="32"/>
      <c r="KY18" s="30"/>
      <c r="KZ18" s="30"/>
      <c r="LA18" s="31"/>
      <c r="LB18" s="31"/>
      <c r="LC18" s="32"/>
      <c r="LD18" s="32"/>
      <c r="LE18" s="30"/>
      <c r="LF18" s="30"/>
      <c r="LG18" s="31"/>
      <c r="LH18" s="31"/>
      <c r="LI18" s="32"/>
      <c r="LJ18" s="32"/>
      <c r="LK18" s="30"/>
      <c r="LL18" s="30"/>
      <c r="LM18" s="31"/>
      <c r="LN18" s="31"/>
      <c r="LO18" s="32"/>
      <c r="LP18" s="32"/>
      <c r="LQ18" s="30"/>
      <c r="LR18" s="30"/>
      <c r="LS18" s="31"/>
      <c r="LT18" s="31"/>
      <c r="LU18" s="32"/>
      <c r="LV18" s="32"/>
      <c r="LW18" s="30"/>
      <c r="LX18" s="30"/>
      <c r="LY18" s="31"/>
      <c r="LZ18" s="31"/>
      <c r="MA18" s="32"/>
      <c r="MB18" s="32"/>
      <c r="MC18" s="30"/>
      <c r="MD18" s="30"/>
      <c r="ME18" s="31"/>
      <c r="MF18" s="31"/>
      <c r="MG18" s="32"/>
      <c r="MH18" s="32"/>
      <c r="MI18" s="30"/>
      <c r="MJ18" s="30"/>
      <c r="MK18" s="31"/>
      <c r="ML18" s="31"/>
      <c r="MM18" s="32"/>
      <c r="MN18" s="32"/>
      <c r="MO18" s="30"/>
      <c r="MP18" s="30"/>
      <c r="MQ18" s="31"/>
      <c r="MR18" s="31"/>
      <c r="MS18" s="32"/>
      <c r="MT18" s="32"/>
      <c r="MU18" s="30" t="s">
        <v>319</v>
      </c>
      <c r="MV18" s="30"/>
      <c r="MW18" s="31"/>
      <c r="MX18" s="31"/>
      <c r="MY18" s="32"/>
      <c r="MZ18" s="32"/>
      <c r="NA18" s="30"/>
      <c r="NB18" s="30"/>
      <c r="NC18" s="31"/>
      <c r="ND18" s="31"/>
      <c r="NE18" s="32"/>
      <c r="NF18" s="32"/>
      <c r="NG18" s="30"/>
      <c r="NH18" s="30"/>
      <c r="NI18" s="31"/>
      <c r="NJ18" s="31"/>
      <c r="NK18" s="32"/>
      <c r="NL18" s="32"/>
      <c r="NM18" s="30"/>
      <c r="NN18" s="30"/>
      <c r="NO18" s="31"/>
      <c r="NP18" s="31"/>
      <c r="NQ18" s="32"/>
      <c r="NR18" s="32"/>
      <c r="NS18" s="30"/>
      <c r="NT18" s="30"/>
      <c r="NU18" s="31"/>
      <c r="NV18" s="31"/>
      <c r="NW18" s="32"/>
      <c r="NX18" s="32"/>
      <c r="NY18" s="30"/>
      <c r="NZ18" s="30"/>
      <c r="OA18" s="31"/>
      <c r="OB18" s="31"/>
      <c r="OC18" s="32"/>
      <c r="OD18" s="32"/>
      <c r="OE18" s="30"/>
      <c r="OF18" s="30"/>
      <c r="OG18" s="31"/>
      <c r="OH18" s="31"/>
      <c r="OI18" s="32"/>
      <c r="OJ18" s="32"/>
      <c r="OK18" s="30"/>
      <c r="OL18" s="30"/>
      <c r="OM18" s="31"/>
      <c r="ON18" s="31"/>
      <c r="OO18" s="32"/>
      <c r="OP18" s="32"/>
      <c r="OQ18" s="30"/>
      <c r="OR18" s="30"/>
      <c r="OS18" s="31"/>
      <c r="OT18" s="31"/>
      <c r="OU18" s="32"/>
      <c r="OV18" s="32"/>
      <c r="OW18" s="30"/>
      <c r="OX18" s="30"/>
      <c r="OY18" s="31"/>
      <c r="OZ18" s="31"/>
      <c r="PA18" s="32"/>
      <c r="PB18" s="32"/>
      <c r="PC18" s="30"/>
      <c r="PD18" s="30"/>
      <c r="PE18" s="31"/>
      <c r="PF18" s="31"/>
      <c r="PG18" s="32"/>
      <c r="PH18" s="32"/>
      <c r="PI18" s="30"/>
      <c r="PJ18" s="30"/>
      <c r="PK18" s="31"/>
      <c r="PL18" s="31"/>
      <c r="PM18" s="32"/>
      <c r="PN18" s="32"/>
      <c r="PO18" s="30"/>
      <c r="PP18" s="30"/>
      <c r="PQ18" s="31"/>
      <c r="PR18" s="31"/>
      <c r="PS18" s="32"/>
      <c r="PT18" s="32"/>
      <c r="PU18" s="30"/>
      <c r="PV18" s="30"/>
      <c r="PW18" s="31"/>
      <c r="PX18" s="31"/>
      <c r="PY18" s="32"/>
      <c r="PZ18" s="32"/>
      <c r="QA18" s="30"/>
      <c r="QB18" s="30"/>
      <c r="QC18" s="31"/>
      <c r="QD18" s="31"/>
      <c r="QE18" s="32"/>
      <c r="QF18" s="32"/>
      <c r="QG18" s="30"/>
      <c r="QH18" s="30"/>
      <c r="QI18" s="31"/>
      <c r="QJ18" s="31"/>
      <c r="QK18" s="32"/>
      <c r="QL18" s="32"/>
      <c r="QM18" s="30"/>
      <c r="QN18" s="30"/>
      <c r="QO18" s="31"/>
      <c r="QP18" s="31"/>
      <c r="QQ18" s="32"/>
      <c r="QR18" s="32"/>
      <c r="QS18" s="30"/>
      <c r="QT18" s="30"/>
      <c r="QU18" s="31"/>
      <c r="QV18" s="31"/>
      <c r="QW18" s="32"/>
      <c r="QX18" s="32"/>
      <c r="QY18" s="30"/>
      <c r="QZ18" s="30"/>
      <c r="RA18" s="31"/>
      <c r="RB18" s="31"/>
      <c r="RC18" s="32"/>
      <c r="RD18" s="32"/>
      <c r="RE18" s="30"/>
      <c r="RF18" s="30"/>
      <c r="RG18" s="31"/>
      <c r="RH18" s="31"/>
      <c r="RI18" s="32"/>
      <c r="RJ18" s="32"/>
      <c r="RK18" s="30"/>
      <c r="RL18" s="30"/>
      <c r="RM18" s="31"/>
      <c r="RN18" s="31"/>
      <c r="RO18" s="32"/>
      <c r="RP18" s="32"/>
      <c r="RQ18" s="30"/>
      <c r="RR18" s="30"/>
      <c r="RS18" s="31"/>
      <c r="RT18" s="31"/>
      <c r="RU18" s="32"/>
      <c r="RV18" s="32"/>
      <c r="RW18" s="30"/>
      <c r="RX18" s="30"/>
      <c r="RY18" s="31"/>
      <c r="RZ18" s="31"/>
      <c r="SA18" s="32"/>
      <c r="SB18" s="32"/>
      <c r="SC18" s="30"/>
      <c r="SD18" s="30"/>
      <c r="SE18" s="31"/>
      <c r="SF18" s="31"/>
      <c r="SG18" s="32"/>
      <c r="SH18" s="32"/>
      <c r="SI18" s="30"/>
      <c r="SJ18" s="30"/>
      <c r="SK18" s="30"/>
      <c r="SL18" s="31"/>
      <c r="SM18" s="31"/>
      <c r="SN18" s="32"/>
      <c r="SO18" s="32"/>
      <c r="SP18" s="30"/>
      <c r="SQ18" s="30"/>
      <c r="SR18" s="31"/>
      <c r="SS18" s="31"/>
      <c r="ST18" s="32"/>
      <c r="SU18" s="32"/>
      <c r="SV18" s="30"/>
      <c r="SW18" s="30"/>
      <c r="SX18" s="31"/>
      <c r="SY18" s="31"/>
      <c r="SZ18" s="32"/>
      <c r="TA18" s="32"/>
      <c r="TB18" s="30"/>
      <c r="TC18" s="30"/>
      <c r="TD18" s="31"/>
      <c r="TE18" s="31"/>
      <c r="TF18" s="32"/>
      <c r="TG18" s="32"/>
      <c r="TH18" s="30"/>
      <c r="TI18" s="30"/>
      <c r="TJ18" s="31"/>
      <c r="TK18" s="31"/>
      <c r="TL18" s="32"/>
      <c r="TM18" s="32"/>
      <c r="TN18" s="30"/>
      <c r="TO18" s="30"/>
      <c r="TP18" s="31"/>
      <c r="TQ18" s="31"/>
      <c r="TR18" s="32"/>
      <c r="TS18" s="32"/>
      <c r="TT18" s="30"/>
      <c r="TU18" s="30"/>
      <c r="TV18" s="31" t="s">
        <v>448</v>
      </c>
      <c r="TW18" s="31"/>
      <c r="TX18" s="32"/>
      <c r="TY18" s="32"/>
      <c r="TZ18" s="30"/>
      <c r="UA18" s="30"/>
      <c r="UB18" s="31"/>
      <c r="UC18" s="31"/>
      <c r="UD18" s="32"/>
      <c r="UE18" s="32"/>
      <c r="UF18" s="30"/>
      <c r="UG18" s="30"/>
      <c r="UH18" s="31"/>
      <c r="UI18" s="31"/>
      <c r="UJ18" s="32"/>
      <c r="UK18" s="32"/>
      <c r="UL18" s="30"/>
      <c r="UM18" s="30"/>
      <c r="UN18" s="31"/>
      <c r="UO18" s="31"/>
      <c r="UP18" s="32"/>
      <c r="UQ18" s="32"/>
      <c r="UR18" s="30"/>
      <c r="US18" s="30"/>
      <c r="UT18" s="31"/>
      <c r="UU18" s="31"/>
      <c r="UV18" s="32"/>
      <c r="UW18" s="32"/>
      <c r="UX18" s="30"/>
      <c r="UY18" s="30"/>
      <c r="UZ18" s="31"/>
      <c r="VA18" s="31"/>
      <c r="VB18" s="32"/>
      <c r="VC18" s="32"/>
      <c r="VD18" s="30"/>
      <c r="VE18" s="30"/>
      <c r="VF18" s="31"/>
      <c r="VG18" s="31"/>
      <c r="VH18" s="32"/>
      <c r="VI18" s="32"/>
      <c r="VJ18" s="30"/>
      <c r="VK18" s="30"/>
      <c r="VL18" s="31"/>
      <c r="VM18" s="31"/>
      <c r="VN18" s="32"/>
      <c r="VO18" s="32"/>
      <c r="VP18" s="30"/>
      <c r="VQ18" s="30"/>
      <c r="VR18" s="31"/>
      <c r="VS18" s="31"/>
      <c r="VT18" s="32"/>
      <c r="VU18" s="32"/>
      <c r="VV18" s="30"/>
      <c r="VW18" s="30"/>
      <c r="VX18" s="31"/>
      <c r="VY18" s="31"/>
      <c r="VZ18" s="32"/>
      <c r="WA18" s="32"/>
      <c r="WB18" s="30"/>
      <c r="WC18" s="30"/>
      <c r="WD18" s="31"/>
      <c r="WE18" s="31"/>
      <c r="WF18" s="32"/>
      <c r="WG18" s="32"/>
      <c r="WH18" s="30"/>
      <c r="WI18" s="30"/>
      <c r="WJ18" s="31"/>
      <c r="WK18" s="31"/>
      <c r="WL18" s="32"/>
      <c r="WM18" s="32"/>
      <c r="WN18" s="30"/>
      <c r="WO18" s="30"/>
      <c r="WP18" s="31"/>
      <c r="WQ18" s="31"/>
      <c r="WR18" s="32"/>
      <c r="WS18" s="32"/>
      <c r="WT18" s="30"/>
      <c r="WU18" s="30"/>
      <c r="WV18" s="31"/>
      <c r="WW18" s="31"/>
      <c r="WX18" s="32"/>
      <c r="WY18" s="32"/>
      <c r="WZ18" s="30"/>
      <c r="XA18" s="30"/>
      <c r="XB18" s="31"/>
      <c r="XC18" s="31"/>
      <c r="XD18" s="32"/>
      <c r="XE18" s="32"/>
      <c r="XF18" s="30"/>
      <c r="XG18" s="30"/>
      <c r="XH18" s="31"/>
      <c r="XI18" s="31"/>
      <c r="XJ18" s="32"/>
      <c r="XK18" s="32"/>
      <c r="XL18" s="30"/>
      <c r="XM18" s="30"/>
      <c r="XN18" s="31"/>
      <c r="XO18" s="31"/>
      <c r="XP18" s="32"/>
      <c r="XQ18" s="32"/>
      <c r="XR18" s="30"/>
      <c r="XS18" s="30"/>
      <c r="XT18" s="31"/>
      <c r="XU18" s="31"/>
      <c r="XV18" s="32"/>
      <c r="XW18" s="32"/>
      <c r="XX18" s="30"/>
      <c r="XY18" s="30"/>
      <c r="XZ18" s="31"/>
      <c r="YA18" s="31"/>
      <c r="YB18" s="32"/>
      <c r="YC18" s="32"/>
      <c r="YD18" s="30"/>
      <c r="YE18" s="30"/>
      <c r="YF18" s="31"/>
      <c r="YG18" s="31"/>
      <c r="YH18" s="32"/>
      <c r="YI18" s="32"/>
      <c r="YJ18" s="30"/>
      <c r="YK18" s="30"/>
      <c r="YL18" s="31"/>
      <c r="YM18" s="31"/>
      <c r="YN18" s="32"/>
      <c r="YO18" s="32"/>
      <c r="YP18" s="30"/>
      <c r="YQ18" s="30"/>
      <c r="YR18" s="31"/>
      <c r="YS18" s="31"/>
      <c r="YT18" s="32"/>
      <c r="YU18" s="32"/>
      <c r="YV18" s="30"/>
      <c r="YW18" s="30"/>
      <c r="YX18" s="31"/>
      <c r="YY18" s="31"/>
      <c r="YZ18" s="32"/>
      <c r="ZA18" s="32"/>
      <c r="ZB18" s="30"/>
      <c r="ZC18" s="30"/>
      <c r="ZD18" s="31"/>
      <c r="ZE18" s="31"/>
      <c r="ZF18" s="32"/>
      <c r="ZG18" s="32"/>
      <c r="ZH18" s="30"/>
      <c r="ZI18" s="30"/>
      <c r="ZJ18" s="31"/>
      <c r="ZK18" s="31"/>
      <c r="ZL18" s="32"/>
      <c r="ZM18" s="32"/>
      <c r="ZN18" s="30"/>
      <c r="ZO18" s="30"/>
      <c r="ZP18" s="31"/>
      <c r="ZQ18" s="31"/>
      <c r="ZR18" s="32"/>
      <c r="ZS18" s="32"/>
      <c r="ZT18" s="30"/>
      <c r="ZU18" s="30"/>
      <c r="ZV18" s="31"/>
      <c r="ZW18" s="31"/>
      <c r="ZX18" s="32"/>
      <c r="ZY18" s="32"/>
      <c r="ZZ18" s="30"/>
      <c r="AAA18" s="30"/>
      <c r="AAB18" s="31"/>
      <c r="AAC18" s="31"/>
      <c r="AAD18" s="32"/>
      <c r="AAE18" s="32"/>
      <c r="AAF18" s="30"/>
      <c r="AAG18" s="30"/>
      <c r="AAH18" s="31"/>
      <c r="AAI18" s="31"/>
      <c r="AAJ18" s="32"/>
      <c r="AAK18" s="32"/>
      <c r="AAL18" s="30"/>
      <c r="AAM18" s="30"/>
      <c r="AAN18" s="31"/>
      <c r="AAO18" s="31"/>
      <c r="AAP18" s="32"/>
      <c r="AAQ18" s="32"/>
      <c r="AAR18" s="30"/>
      <c r="AAS18" s="30"/>
      <c r="AAT18" s="31"/>
      <c r="AAU18" s="31"/>
      <c r="AAV18" s="32"/>
      <c r="AAW18" s="32"/>
      <c r="AAX18" s="30"/>
      <c r="AAY18" s="30"/>
      <c r="AAZ18" s="31"/>
      <c r="ABA18" s="31"/>
      <c r="ABB18" s="32"/>
      <c r="ABC18" s="32"/>
      <c r="ABD18" s="30"/>
      <c r="ABE18" s="30"/>
      <c r="ABF18" s="31"/>
      <c r="ABG18" s="31"/>
      <c r="ABH18" s="32"/>
      <c r="ABI18" s="32"/>
      <c r="ABJ18" s="30"/>
      <c r="ABK18" s="30"/>
      <c r="ABL18" s="31"/>
      <c r="ABM18" s="31"/>
      <c r="ABN18" s="32"/>
      <c r="ABO18" s="32"/>
      <c r="ABP18" s="30"/>
      <c r="ABQ18" s="30"/>
      <c r="ABR18" s="31"/>
      <c r="ABS18" s="31"/>
      <c r="ABT18" s="32"/>
      <c r="ABU18" s="32"/>
      <c r="ABV18" s="30"/>
      <c r="ABW18" s="30"/>
      <c r="ABX18" s="31"/>
      <c r="ABY18" s="31"/>
      <c r="ABZ18" s="32"/>
      <c r="ACA18" s="32"/>
      <c r="ACB18" s="30"/>
      <c r="ACC18" s="30"/>
      <c r="ACD18" s="31"/>
      <c r="ACE18" s="31"/>
      <c r="ACF18" s="32"/>
      <c r="ACG18" s="32"/>
      <c r="ACH18" s="30"/>
      <c r="ACI18" s="30"/>
      <c r="ACJ18" s="31"/>
      <c r="ACK18" s="31"/>
      <c r="ACL18" s="32"/>
      <c r="ACM18" s="32"/>
      <c r="ACN18" s="30"/>
      <c r="ACO18" s="30"/>
      <c r="ACP18" s="31"/>
      <c r="ACQ18" s="31"/>
      <c r="ACR18" s="32"/>
      <c r="ACS18" s="32"/>
      <c r="ACT18" s="30"/>
      <c r="ACU18" s="30"/>
      <c r="ACV18" s="31"/>
      <c r="ACW18" s="31"/>
      <c r="ACX18" s="32"/>
      <c r="ACY18" s="32"/>
      <c r="ACZ18" s="30"/>
      <c r="ADA18" s="30"/>
      <c r="ADB18" s="31"/>
      <c r="ADC18" s="31"/>
      <c r="ADD18" s="32"/>
      <c r="ADE18" s="32"/>
      <c r="ADF18" s="30"/>
      <c r="ADG18" s="30"/>
      <c r="ADH18" s="31"/>
      <c r="ADI18" s="31"/>
      <c r="ADJ18" s="32"/>
      <c r="ADK18" s="32"/>
      <c r="ADL18" s="30"/>
      <c r="ADM18" s="30"/>
      <c r="ADN18" s="31"/>
      <c r="ADO18" s="31"/>
      <c r="ADP18" s="32"/>
      <c r="ADQ18" s="32"/>
      <c r="ADR18" s="30"/>
      <c r="ADS18" s="30"/>
      <c r="ADT18" s="31"/>
      <c r="ADU18" s="31"/>
      <c r="ADV18" s="32"/>
      <c r="ADW18" s="32"/>
      <c r="ADX18" s="30"/>
      <c r="ADY18" s="30"/>
      <c r="ADZ18" s="31"/>
      <c r="AEA18" s="31"/>
      <c r="AEB18" s="32"/>
      <c r="AEC18" s="32"/>
      <c r="AED18" s="30"/>
      <c r="AEE18" s="30"/>
      <c r="AEF18" s="31"/>
      <c r="AEG18" s="31"/>
      <c r="AEH18" s="32"/>
      <c r="AEI18" s="32"/>
      <c r="AEJ18" s="30"/>
      <c r="AEK18" s="30"/>
      <c r="AEL18" s="31"/>
      <c r="AEM18" s="31"/>
      <c r="AEN18" s="32"/>
      <c r="AEO18" s="32"/>
      <c r="AEP18" s="30"/>
      <c r="AEQ18" s="30"/>
      <c r="AER18" s="31"/>
      <c r="AES18" s="31"/>
      <c r="AET18" s="32"/>
      <c r="AEU18" s="32"/>
      <c r="AEV18" s="30"/>
      <c r="AEW18" s="30"/>
      <c r="AEX18" s="31"/>
      <c r="AEY18" s="31"/>
      <c r="AEZ18" s="32"/>
      <c r="AFA18" s="32"/>
      <c r="AFB18" s="30"/>
      <c r="AFC18" s="30"/>
      <c r="AFD18" s="31"/>
      <c r="AFE18" s="31"/>
      <c r="AFF18" s="32"/>
      <c r="AFG18" s="32"/>
      <c r="AFH18" s="30"/>
      <c r="AFI18" s="30"/>
      <c r="AFJ18" s="31"/>
      <c r="AFK18" s="31"/>
      <c r="AFL18" s="32"/>
      <c r="AFM18" s="32"/>
      <c r="AFN18" s="30"/>
      <c r="AFO18" s="30"/>
      <c r="AFP18" s="31"/>
      <c r="AFQ18" s="31"/>
      <c r="AFR18" s="32"/>
      <c r="AFS18" s="32"/>
      <c r="AFT18" s="30"/>
      <c r="AFU18" s="30"/>
      <c r="AFV18" s="31"/>
      <c r="AFW18" s="31"/>
      <c r="AFX18" s="32"/>
      <c r="AFY18" s="32"/>
      <c r="AFZ18" s="30"/>
      <c r="AGA18" s="30"/>
      <c r="AGB18" s="31"/>
      <c r="AGC18" s="31"/>
      <c r="AGD18" s="32"/>
      <c r="AGE18" s="32"/>
      <c r="AGF18" s="30"/>
      <c r="AGG18" s="30"/>
      <c r="AGH18" s="31"/>
      <c r="AGI18" s="31"/>
      <c r="AGJ18" s="32"/>
      <c r="AGK18" s="32"/>
      <c r="AGL18" s="30"/>
      <c r="AGM18" s="30"/>
      <c r="AGN18" s="31"/>
      <c r="AGO18" s="31"/>
      <c r="AGP18" s="32"/>
      <c r="AGQ18" s="32"/>
      <c r="AGR18" s="30"/>
      <c r="AGS18" s="30"/>
      <c r="AGT18" s="31"/>
      <c r="AGU18" s="31"/>
      <c r="AGV18" s="32"/>
      <c r="AGW18" s="32"/>
      <c r="AGX18" s="30"/>
      <c r="AGY18" s="30"/>
      <c r="AGZ18" s="31"/>
      <c r="AHA18" s="31"/>
      <c r="AHB18" s="32"/>
      <c r="AHC18" s="32"/>
      <c r="AHD18" s="30"/>
      <c r="AHE18" s="30"/>
      <c r="AHF18" s="31"/>
      <c r="AHG18" s="31"/>
      <c r="AHH18" s="32"/>
      <c r="AHI18" s="32"/>
      <c r="AHJ18" s="30"/>
      <c r="AHK18" s="30"/>
      <c r="AHL18" s="31"/>
      <c r="AHM18" s="31"/>
      <c r="AHN18" s="32"/>
      <c r="AHO18" s="32"/>
      <c r="AHP18" s="30"/>
      <c r="AHQ18" s="30"/>
      <c r="AHR18" s="31"/>
      <c r="AHS18" s="31"/>
      <c r="AHT18" s="32"/>
      <c r="AHU18" s="32"/>
      <c r="AHV18" s="30"/>
      <c r="AHW18" s="30"/>
      <c r="AHX18" s="31"/>
      <c r="AHY18" s="31"/>
      <c r="AHZ18" s="32"/>
      <c r="AIA18" s="32"/>
      <c r="AIB18" s="30"/>
      <c r="AIC18" s="30"/>
      <c r="AID18" s="31"/>
      <c r="AIE18" s="31"/>
      <c r="AIF18" s="32"/>
      <c r="AIG18" s="32"/>
      <c r="AIH18" s="30"/>
      <c r="AII18" s="30"/>
      <c r="AIJ18" s="31"/>
      <c r="AIK18" s="31"/>
      <c r="AIL18" s="32"/>
      <c r="AIM18" s="32"/>
      <c r="AIN18" s="30"/>
      <c r="AIO18" s="30"/>
      <c r="AIP18" s="31"/>
      <c r="AIQ18" s="31"/>
      <c r="AIR18" s="32"/>
      <c r="AIS18" s="32"/>
      <c r="AIT18" s="30"/>
      <c r="AIU18" s="30"/>
      <c r="AIV18" s="31"/>
      <c r="AIW18" s="31"/>
      <c r="AIX18" s="32"/>
      <c r="AIY18" s="32"/>
      <c r="AIZ18" s="30"/>
      <c r="AJA18" s="30"/>
      <c r="AJB18" s="31"/>
      <c r="AJC18" s="31"/>
      <c r="AJD18" s="32"/>
      <c r="AJE18" s="32"/>
      <c r="AJF18" s="30"/>
      <c r="AJG18" s="30"/>
      <c r="AJH18" s="31"/>
      <c r="AJI18" s="31"/>
      <c r="AJJ18" s="32"/>
      <c r="AJK18" s="32"/>
      <c r="AJL18" s="30"/>
      <c r="AJM18" s="30"/>
      <c r="AJN18" s="31"/>
      <c r="AJO18" s="31"/>
      <c r="AJP18" s="32"/>
      <c r="AJQ18" s="32"/>
      <c r="AJR18" s="30"/>
      <c r="AJS18" s="30"/>
      <c r="AJT18" s="31"/>
      <c r="AJU18" s="31"/>
      <c r="AJV18" s="32"/>
      <c r="AJW18" s="32"/>
      <c r="AJX18" s="30"/>
      <c r="AJY18" s="30"/>
      <c r="AJZ18" s="31"/>
      <c r="AKA18" s="31"/>
      <c r="AKB18" s="32"/>
      <c r="AKC18" s="32"/>
      <c r="AKD18" s="30"/>
      <c r="AKE18" s="30"/>
      <c r="AKF18" s="31"/>
      <c r="AKG18" s="31"/>
      <c r="AKH18" s="32"/>
      <c r="AKI18" s="32"/>
      <c r="AKJ18" s="30"/>
      <c r="AKK18" s="30"/>
      <c r="AKL18" s="31"/>
      <c r="AKM18" s="31"/>
      <c r="AKN18" s="32"/>
      <c r="AKO18" s="32"/>
      <c r="AKP18" s="30"/>
      <c r="AKQ18" s="30"/>
      <c r="AKR18" s="31"/>
      <c r="AKS18" s="31"/>
      <c r="AKT18" s="32"/>
      <c r="AKU18" s="32"/>
      <c r="AKV18" s="30"/>
      <c r="AKW18" s="30"/>
      <c r="AKX18" s="31"/>
      <c r="AKY18" s="31"/>
      <c r="AKZ18" s="32"/>
      <c r="ALA18" s="32"/>
      <c r="ALB18" s="30"/>
      <c r="ALC18" s="30"/>
      <c r="ALD18" s="31"/>
      <c r="ALE18" s="31"/>
      <c r="ALF18" s="32"/>
      <c r="ALG18" s="32"/>
      <c r="ALH18" s="30"/>
      <c r="ALI18" s="30"/>
      <c r="ALJ18" s="31"/>
      <c r="ALK18" s="31"/>
      <c r="ALL18" s="32"/>
      <c r="ALM18" s="32"/>
      <c r="ALN18" s="30"/>
      <c r="ALO18" s="30"/>
      <c r="ALP18" s="31"/>
      <c r="ALQ18" s="31"/>
      <c r="ALR18" s="32"/>
      <c r="ALS18" s="32"/>
      <c r="ALT18" s="30"/>
      <c r="ALU18" s="30"/>
      <c r="ALV18" s="31"/>
      <c r="ALW18" s="31"/>
      <c r="ALX18" s="32"/>
      <c r="ALY18" s="32"/>
      <c r="ALZ18" s="30"/>
      <c r="AMA18" s="30"/>
      <c r="AMB18" s="31"/>
      <c r="AMC18" s="31"/>
      <c r="AMD18" s="32"/>
      <c r="AME18" s="32"/>
      <c r="AMF18" s="30"/>
      <c r="AMG18" s="30"/>
      <c r="AMH18" s="31"/>
      <c r="AMI18" s="31"/>
      <c r="AMJ18" s="32"/>
      <c r="AMK18" s="32"/>
      <c r="AML18" s="30"/>
      <c r="AMM18" s="30"/>
      <c r="AMN18" s="31"/>
      <c r="AMO18" s="31"/>
      <c r="AMP18" s="32"/>
      <c r="AMQ18" s="32"/>
      <c r="AMR18" s="30"/>
      <c r="AMS18" s="30"/>
      <c r="AMT18" s="31"/>
      <c r="AMU18" s="31"/>
      <c r="AMV18" s="32"/>
      <c r="AMW18" s="32"/>
      <c r="AMX18" s="30"/>
      <c r="AMY18" s="30"/>
      <c r="AMZ18" s="31"/>
      <c r="ANA18" s="31"/>
      <c r="ANB18" s="32"/>
      <c r="ANC18" s="32"/>
      <c r="AND18" s="30"/>
      <c r="ANE18" s="30"/>
      <c r="ANF18" s="31"/>
      <c r="ANG18" s="31"/>
      <c r="ANH18" s="32"/>
      <c r="ANI18" s="32"/>
      <c r="ANJ18" s="30"/>
      <c r="ANK18" s="30"/>
      <c r="ANL18" s="31"/>
      <c r="ANM18" s="31"/>
      <c r="ANN18" s="32"/>
      <c r="ANO18" s="32"/>
      <c r="ANP18" s="30"/>
      <c r="ANQ18" s="30"/>
      <c r="ANR18" s="31"/>
      <c r="ANS18" s="31"/>
      <c r="ANT18" s="32"/>
      <c r="ANU18" s="32"/>
      <c r="ANV18" s="30"/>
      <c r="ANW18" s="30"/>
      <c r="ANX18" s="31"/>
      <c r="ANY18" s="31"/>
      <c r="ANZ18" s="32"/>
      <c r="AOA18" s="32"/>
      <c r="AOB18" s="30"/>
      <c r="AOC18" s="30"/>
      <c r="AOD18" s="31"/>
      <c r="AOE18" s="31"/>
      <c r="AOF18" s="32"/>
      <c r="AOG18" s="32"/>
      <c r="AOH18" s="30"/>
      <c r="AOI18" s="30"/>
      <c r="AOJ18" s="31"/>
      <c r="AOK18" s="31"/>
      <c r="AOL18" s="32"/>
      <c r="AOM18" s="32"/>
      <c r="AON18" s="30"/>
      <c r="AOO18" s="30"/>
      <c r="AOP18" s="31"/>
      <c r="AOQ18" s="31"/>
      <c r="AOR18" s="32"/>
      <c r="AOS18" s="32"/>
      <c r="AOT18" s="30"/>
      <c r="AOU18" s="30"/>
      <c r="AOV18" s="31"/>
      <c r="AOW18" s="31"/>
      <c r="AOX18" s="32"/>
      <c r="AOY18" s="32"/>
      <c r="AOZ18" s="30"/>
      <c r="APA18" s="30"/>
      <c r="APB18" s="31"/>
      <c r="APC18" s="31"/>
      <c r="APD18" s="32"/>
      <c r="APE18" s="32"/>
      <c r="APF18" s="30"/>
      <c r="APG18" s="30"/>
      <c r="APH18" s="32"/>
      <c r="API18" s="32"/>
      <c r="APJ18" s="31"/>
      <c r="APK18" s="31"/>
      <c r="APL18" s="30"/>
      <c r="APM18" s="30"/>
      <c r="APN18" s="32"/>
      <c r="APO18" s="32"/>
      <c r="APP18" s="31"/>
      <c r="APQ18" s="31"/>
      <c r="APR18" s="30"/>
      <c r="APS18" s="30"/>
      <c r="APT18" s="32"/>
      <c r="APU18" s="32"/>
      <c r="APV18" s="31"/>
      <c r="APW18" s="31"/>
      <c r="APX18" s="30"/>
      <c r="APY18" s="30"/>
      <c r="APZ18" s="32"/>
      <c r="AQA18" s="32"/>
      <c r="AQB18" s="31"/>
      <c r="AQC18" s="31"/>
      <c r="AQD18" s="30"/>
      <c r="AQE18" s="30"/>
      <c r="AQF18" s="32"/>
      <c r="AQG18" s="32"/>
      <c r="AQH18" s="31"/>
      <c r="AQI18" s="31"/>
      <c r="AQJ18" s="30"/>
      <c r="AQK18" s="30"/>
      <c r="AQL18" s="32"/>
      <c r="AQM18" s="32"/>
      <c r="AQN18" s="31"/>
      <c r="AQO18" s="31"/>
      <c r="AQP18" s="30"/>
      <c r="AQQ18" s="30"/>
      <c r="AQR18" s="32"/>
      <c r="AQS18" s="32"/>
      <c r="AQT18" s="31"/>
      <c r="AQU18" s="31"/>
      <c r="AQV18" s="30"/>
      <c r="AQW18" s="30"/>
      <c r="AQX18" s="32"/>
      <c r="AQY18" s="32"/>
      <c r="AQZ18" s="31"/>
      <c r="ARA18" s="31"/>
      <c r="ARB18" s="30"/>
      <c r="ARC18" s="30"/>
      <c r="ARD18" s="32"/>
      <c r="ARE18" s="32"/>
      <c r="ARF18" s="31"/>
      <c r="ARG18" s="31"/>
      <c r="ARH18" s="30"/>
      <c r="ARI18" s="30"/>
      <c r="ARJ18" s="32"/>
      <c r="ARK18" s="32"/>
      <c r="ARL18" s="31"/>
      <c r="ARM18" s="31"/>
      <c r="ARN18" s="30"/>
      <c r="ARO18" s="30"/>
      <c r="ARP18" s="32"/>
      <c r="ARQ18" s="32"/>
      <c r="ARR18" s="31"/>
      <c r="ARS18" s="31"/>
      <c r="ART18" s="30"/>
      <c r="ARU18" s="30"/>
      <c r="ARV18" s="32"/>
      <c r="ARW18" s="32"/>
      <c r="ARX18" s="31"/>
      <c r="ARY18" s="31"/>
      <c r="ARZ18" s="30"/>
      <c r="ASA18" s="30"/>
      <c r="ASB18" s="32"/>
      <c r="ASC18" s="32"/>
      <c r="ASD18" s="31"/>
      <c r="ASE18" s="31"/>
      <c r="ASF18" s="30"/>
      <c r="ASG18" s="30"/>
      <c r="ASH18" s="32"/>
      <c r="ASI18" s="32"/>
      <c r="ASJ18" s="31"/>
      <c r="ASK18" s="31"/>
      <c r="ASL18" s="30"/>
      <c r="ASM18" s="30"/>
      <c r="ASN18" s="32"/>
      <c r="ASO18" s="32"/>
      <c r="ASP18" s="31"/>
      <c r="ASQ18" s="31"/>
      <c r="ASR18" s="30"/>
      <c r="ASS18" s="30"/>
      <c r="AST18" s="32"/>
      <c r="ASU18" s="32"/>
      <c r="ASV18" s="31"/>
      <c r="ASW18" s="31"/>
      <c r="ASX18" s="30"/>
      <c r="ASY18" s="30"/>
      <c r="ASZ18" s="32"/>
      <c r="ATA18" s="32"/>
      <c r="ATB18" s="31"/>
      <c r="ATC18" s="31"/>
      <c r="ATD18" s="30"/>
      <c r="ATE18" s="30"/>
      <c r="ATF18" s="32"/>
      <c r="ATG18" s="32"/>
      <c r="ATH18" s="31"/>
      <c r="ATI18" s="31"/>
      <c r="ATJ18" s="30"/>
      <c r="ATK18" s="30"/>
      <c r="ATL18" s="32"/>
      <c r="ATM18" s="32"/>
      <c r="ATN18" s="31"/>
      <c r="ATO18" s="31"/>
      <c r="ATP18" s="30"/>
      <c r="ATQ18" s="30"/>
      <c r="ATR18" s="32"/>
      <c r="ATS18" s="32"/>
      <c r="ATT18" s="31"/>
      <c r="ATU18" s="31"/>
      <c r="ATV18" s="30"/>
      <c r="ATW18" s="30"/>
      <c r="ATX18" s="32"/>
      <c r="ATY18" s="32"/>
      <c r="ATZ18" s="31"/>
      <c r="AUA18" s="31"/>
      <c r="AUB18" s="30"/>
      <c r="AUC18" s="30"/>
      <c r="AUD18" s="32"/>
      <c r="AUE18" s="32"/>
      <c r="AUF18" s="31"/>
      <c r="AUG18" s="31"/>
      <c r="AUH18" s="30"/>
      <c r="AUI18" s="30"/>
      <c r="AUJ18" s="32"/>
      <c r="AUK18" s="32"/>
      <c r="AUL18" s="31"/>
      <c r="AUM18" s="31"/>
      <c r="AUN18" s="30"/>
      <c r="AUO18" s="30"/>
      <c r="AUP18" s="32"/>
      <c r="AUQ18" s="32"/>
      <c r="AUR18" s="31"/>
      <c r="AUS18" s="31"/>
      <c r="AUT18" s="30"/>
      <c r="AUU18" s="30"/>
      <c r="AUV18" s="32"/>
      <c r="AUW18" s="32"/>
      <c r="AUX18" s="31"/>
      <c r="AUY18" s="31"/>
      <c r="AUZ18" s="30"/>
      <c r="AVA18" s="30"/>
      <c r="AVB18" s="32"/>
      <c r="AVC18" s="32"/>
      <c r="AVD18" s="31"/>
      <c r="AVE18" s="31"/>
      <c r="AVF18" s="30"/>
      <c r="AVG18" s="30"/>
      <c r="AVH18" s="32"/>
      <c r="AVI18" s="32"/>
      <c r="AVJ18" s="31"/>
      <c r="AVK18" s="31"/>
      <c r="AVL18" s="30"/>
      <c r="AVM18" s="30"/>
      <c r="AVN18" s="32"/>
      <c r="AVO18" s="32"/>
      <c r="AVP18" s="31"/>
      <c r="AVQ18" s="31"/>
      <c r="AVR18" s="30"/>
      <c r="AVS18" s="30"/>
      <c r="AVT18" s="32"/>
      <c r="AVU18" s="32"/>
      <c r="AVV18" s="31"/>
      <c r="AVW18" s="31"/>
      <c r="AVX18" s="30"/>
      <c r="AVY18" s="30"/>
      <c r="AVZ18" s="32"/>
      <c r="AWA18" s="32"/>
      <c r="AWB18" s="31"/>
      <c r="AWC18" s="31"/>
      <c r="AWD18" s="30"/>
      <c r="AWE18" s="30"/>
      <c r="AWF18" s="32"/>
      <c r="AWG18" s="32"/>
      <c r="AWH18" s="31"/>
      <c r="AWI18" s="31"/>
      <c r="AWJ18" s="30"/>
      <c r="AWK18" s="30"/>
      <c r="AWL18" s="32"/>
      <c r="AWM18" s="32"/>
      <c r="AWN18" s="31"/>
      <c r="AWO18" s="31"/>
      <c r="AWP18" s="30"/>
      <c r="AWQ18" s="30"/>
      <c r="AWR18" s="32"/>
      <c r="AWS18" s="32"/>
      <c r="AWT18" s="31"/>
      <c r="AWU18" s="31"/>
      <c r="AWV18" s="30"/>
      <c r="AWW18" s="30"/>
      <c r="AWX18" s="32"/>
      <c r="AWY18" s="32"/>
      <c r="AWZ18" s="31"/>
      <c r="AXA18" s="31"/>
      <c r="AXB18" s="30"/>
      <c r="AXC18" s="30"/>
      <c r="AXD18" s="32"/>
      <c r="AXE18" s="32"/>
      <c r="AXF18" s="31"/>
      <c r="AXG18" s="31"/>
      <c r="AXH18" s="30"/>
      <c r="AXI18" s="30"/>
      <c r="AXJ18" s="32"/>
      <c r="AXK18" s="32"/>
      <c r="AXL18" s="31"/>
      <c r="AXM18" s="31"/>
      <c r="AXN18" s="30"/>
      <c r="AXO18" s="30"/>
      <c r="AXP18" s="32"/>
      <c r="AXQ18" s="32"/>
      <c r="AXR18" s="31"/>
      <c r="AXS18" s="31"/>
      <c r="AXT18" s="30"/>
      <c r="AXU18" s="30"/>
      <c r="AXV18" s="32"/>
      <c r="AXW18" s="32"/>
      <c r="AXX18" s="31"/>
      <c r="AXY18" s="31"/>
      <c r="AXZ18" s="30"/>
      <c r="AYA18" s="30"/>
      <c r="AYB18" s="32"/>
      <c r="AYC18" s="32"/>
      <c r="AYD18" s="31"/>
      <c r="AYE18" s="31"/>
      <c r="AYF18" s="30"/>
      <c r="AYG18" s="30"/>
      <c r="AYH18" s="32"/>
      <c r="AYI18" s="32"/>
      <c r="AYJ18" s="31"/>
      <c r="AYK18" s="31"/>
      <c r="AYL18" s="30"/>
      <c r="AYM18" s="30"/>
      <c r="AYN18" s="32"/>
      <c r="AYO18" s="32"/>
      <c r="AYP18" s="31"/>
      <c r="AYQ18" s="31"/>
      <c r="AYR18" s="30"/>
      <c r="AYS18" s="30"/>
      <c r="AYT18" s="32"/>
      <c r="AYU18" s="32"/>
      <c r="AYV18" s="31"/>
      <c r="AYW18" s="31"/>
      <c r="AYX18" s="30"/>
      <c r="AYY18" s="30"/>
      <c r="AYZ18" s="32"/>
      <c r="AZA18" s="32"/>
      <c r="AZB18" s="31"/>
      <c r="AZC18" s="31"/>
      <c r="AZD18" s="30"/>
      <c r="AZE18" s="30"/>
      <c r="AZF18" s="32"/>
      <c r="AZG18" s="32"/>
      <c r="AZH18" s="31"/>
      <c r="AZI18" s="31"/>
      <c r="AZJ18" s="30"/>
      <c r="AZK18" s="30"/>
      <c r="AZL18" s="32"/>
      <c r="AZM18" s="32"/>
      <c r="AZN18" s="31"/>
      <c r="AZO18" s="31"/>
      <c r="AZP18" s="30"/>
      <c r="AZQ18" s="30"/>
      <c r="AZR18" s="32"/>
      <c r="AZS18" s="32"/>
      <c r="AZT18" s="31"/>
      <c r="AZU18" s="31"/>
      <c r="AZV18" s="30"/>
      <c r="AZW18" s="30"/>
      <c r="AZX18" s="32"/>
      <c r="AZY18" s="32"/>
      <c r="AZZ18" s="31"/>
      <c r="BAA18" s="31"/>
      <c r="BAB18" s="30"/>
      <c r="BAC18" s="30"/>
      <c r="BAD18" s="32"/>
      <c r="BAE18" s="32"/>
      <c r="BAF18" s="31"/>
      <c r="BAG18" s="31"/>
      <c r="BAH18" s="30"/>
      <c r="BAI18" s="30"/>
      <c r="BAJ18" s="32"/>
      <c r="BAK18" s="32"/>
      <c r="BAL18" s="31"/>
      <c r="BAM18" s="31"/>
      <c r="BAN18" s="30"/>
      <c r="BAO18" s="30"/>
      <c r="BAP18" s="32"/>
      <c r="BAQ18" s="32"/>
      <c r="BAR18" s="31"/>
      <c r="BAS18" s="31"/>
      <c r="BAT18" s="30"/>
      <c r="BAU18" s="30"/>
      <c r="BAV18" s="32"/>
      <c r="BAW18" s="32"/>
      <c r="BAX18" s="31"/>
      <c r="BAY18" s="31"/>
      <c r="BAZ18" s="30"/>
      <c r="BBA18" s="30"/>
      <c r="BBB18" s="32"/>
      <c r="BBC18" s="32"/>
      <c r="BBD18" s="31"/>
      <c r="BBE18" s="31"/>
      <c r="BBF18" s="30"/>
      <c r="BBG18" s="30"/>
      <c r="BBH18" s="32"/>
      <c r="BBI18" s="32"/>
      <c r="BBJ18" s="31"/>
      <c r="BBK18" s="31"/>
      <c r="BBL18" s="30"/>
      <c r="BBM18" s="30"/>
      <c r="BBN18" s="32"/>
      <c r="BBO18" s="32"/>
      <c r="BBP18" s="31"/>
      <c r="BBQ18" s="31"/>
      <c r="BBR18" s="30"/>
      <c r="BBS18" s="30"/>
      <c r="BBT18" s="32"/>
      <c r="BBU18" s="32"/>
      <c r="BBV18" s="31"/>
      <c r="BBW18" s="31"/>
      <c r="BBX18" s="30"/>
      <c r="BBY18" s="30"/>
      <c r="BBZ18" s="32"/>
      <c r="BCA18" s="32"/>
      <c r="BCB18" s="31"/>
      <c r="BCC18" s="31"/>
      <c r="BCD18" s="30"/>
      <c r="BCE18" s="30"/>
      <c r="BCF18" s="32"/>
      <c r="BCG18" s="32"/>
      <c r="BCH18" s="31"/>
      <c r="BCI18" s="31"/>
      <c r="BCJ18" s="30"/>
      <c r="BCK18" s="30"/>
      <c r="BCL18" s="32"/>
      <c r="BCM18" s="32"/>
      <c r="BCN18" s="31"/>
      <c r="BCO18" s="31"/>
      <c r="BCP18" s="30"/>
      <c r="BCQ18" s="30"/>
    </row>
    <row r="19" spans="1:1447">
      <c r="A19" s="30"/>
      <c r="B19" s="30"/>
      <c r="C19" s="31"/>
      <c r="D19" s="31"/>
      <c r="E19" s="32"/>
      <c r="F19" s="32"/>
      <c r="G19" s="30"/>
      <c r="H19" s="30"/>
      <c r="I19" s="31"/>
      <c r="J19" s="31"/>
      <c r="K19" s="32"/>
      <c r="L19" s="32"/>
      <c r="M19" s="30"/>
      <c r="N19" s="30"/>
      <c r="O19" s="31"/>
      <c r="P19" s="31"/>
      <c r="Q19" s="32"/>
      <c r="R19" s="32"/>
      <c r="S19" s="30"/>
      <c r="T19" s="30"/>
      <c r="U19" s="31"/>
      <c r="V19" s="31"/>
      <c r="W19" s="32"/>
      <c r="X19" s="32"/>
      <c r="Y19" s="30"/>
      <c r="Z19" s="30"/>
      <c r="AA19" s="31"/>
      <c r="AB19" s="31"/>
      <c r="AC19" s="32"/>
      <c r="AD19" s="32"/>
      <c r="AE19" s="30"/>
      <c r="AF19" s="30"/>
      <c r="AG19" s="31"/>
      <c r="AH19" s="31"/>
      <c r="AI19" s="32"/>
      <c r="AJ19" s="32"/>
      <c r="AK19" s="30"/>
      <c r="AL19" s="30"/>
      <c r="AM19" s="31"/>
      <c r="AN19" s="31"/>
      <c r="AO19" s="32"/>
      <c r="AP19" s="32"/>
      <c r="AQ19" s="30"/>
      <c r="AR19" s="30"/>
      <c r="AS19" s="31"/>
      <c r="AT19" s="31"/>
      <c r="AU19" s="32"/>
      <c r="AV19" s="32"/>
      <c r="AW19" s="30"/>
      <c r="AX19" s="30"/>
      <c r="AY19" s="31"/>
      <c r="AZ19" s="31"/>
      <c r="BA19" s="32"/>
      <c r="BB19" s="32"/>
      <c r="BC19" s="30"/>
      <c r="BD19" s="30"/>
      <c r="BE19" s="31"/>
      <c r="BF19" s="31"/>
      <c r="BG19" s="32"/>
      <c r="BH19" s="32"/>
      <c r="BI19" s="30"/>
      <c r="BJ19" s="30"/>
      <c r="BK19" s="31"/>
      <c r="BL19" s="31"/>
      <c r="BM19" s="32"/>
      <c r="BN19" s="32"/>
      <c r="BO19" s="30"/>
      <c r="BP19" s="30"/>
      <c r="BQ19" s="31"/>
      <c r="BR19" s="31"/>
      <c r="BS19" s="32"/>
      <c r="BT19" s="32"/>
      <c r="BU19" s="30"/>
      <c r="BV19" s="30"/>
      <c r="BW19" s="31"/>
      <c r="BX19" s="31"/>
      <c r="BY19" s="32"/>
      <c r="BZ19" s="32"/>
      <c r="CA19" s="30"/>
      <c r="CB19" s="30"/>
      <c r="CC19" s="31"/>
      <c r="CD19" s="31"/>
      <c r="CE19" s="32"/>
      <c r="CF19" s="32"/>
      <c r="CG19" s="30"/>
      <c r="CH19" s="30"/>
      <c r="CI19" s="31"/>
      <c r="CJ19" s="31"/>
      <c r="CK19" s="32"/>
      <c r="CL19" s="32"/>
      <c r="CM19" s="30"/>
      <c r="CN19" s="30"/>
      <c r="CO19" s="31"/>
      <c r="CP19" s="31"/>
      <c r="CQ19" s="32"/>
      <c r="CR19" s="32"/>
      <c r="CS19" s="30"/>
      <c r="CT19" s="30"/>
      <c r="CU19" s="31"/>
      <c r="CV19" s="31"/>
      <c r="CW19" s="32"/>
      <c r="CX19" s="32"/>
      <c r="CY19" s="30"/>
      <c r="CZ19" s="30"/>
      <c r="DA19" s="31"/>
      <c r="DB19" s="31"/>
      <c r="DC19" s="32"/>
      <c r="DD19" s="32"/>
      <c r="DE19" s="30"/>
      <c r="DF19" s="30"/>
      <c r="DG19" s="31"/>
      <c r="DH19" s="31"/>
      <c r="DI19" s="32"/>
      <c r="DJ19" s="32"/>
      <c r="DK19" s="30"/>
      <c r="DL19" s="30"/>
      <c r="DM19" s="31"/>
      <c r="DN19" s="31"/>
      <c r="DO19" s="32"/>
      <c r="DP19" s="32"/>
      <c r="DQ19" s="30"/>
      <c r="DR19" s="30"/>
      <c r="DS19" s="31"/>
      <c r="DT19" s="31"/>
      <c r="DU19" s="32"/>
      <c r="DV19" s="32"/>
      <c r="DW19" s="30"/>
      <c r="DX19" s="30"/>
      <c r="DY19" s="31"/>
      <c r="DZ19" s="31"/>
      <c r="EA19" s="32"/>
      <c r="EB19" s="32"/>
      <c r="EC19" s="30"/>
      <c r="ED19" s="30"/>
      <c r="EE19" s="31"/>
      <c r="EF19" s="31"/>
      <c r="EG19" s="32"/>
      <c r="EH19" s="32"/>
      <c r="EI19" s="30"/>
      <c r="EJ19" s="30"/>
      <c r="EK19" s="31"/>
      <c r="EL19" s="31"/>
      <c r="EM19" s="32"/>
      <c r="EN19" s="32"/>
      <c r="EO19" s="30"/>
      <c r="EP19" s="30"/>
      <c r="EQ19" s="31"/>
      <c r="ER19" s="31"/>
      <c r="ES19" s="32"/>
      <c r="ET19" s="32"/>
      <c r="EU19" s="30"/>
      <c r="EV19" s="30"/>
      <c r="EW19" s="31"/>
      <c r="EX19" s="31"/>
      <c r="EY19" s="32"/>
      <c r="EZ19" s="32"/>
      <c r="FA19" s="30"/>
      <c r="FB19" s="30"/>
      <c r="FC19" s="31"/>
      <c r="FD19" s="31"/>
      <c r="FE19" s="32"/>
      <c r="FF19" s="32"/>
      <c r="FG19" s="30"/>
      <c r="FH19" s="30"/>
      <c r="FI19" s="32"/>
      <c r="FJ19" s="32"/>
      <c r="FK19" s="30"/>
      <c r="FL19" s="30"/>
      <c r="FM19" s="31"/>
      <c r="FN19" s="31"/>
      <c r="FO19" s="32"/>
      <c r="FP19" s="32"/>
      <c r="FQ19" s="30"/>
      <c r="FR19" s="30"/>
      <c r="FS19" s="31"/>
      <c r="FT19" s="31"/>
      <c r="FU19" s="32"/>
      <c r="FV19" s="32"/>
      <c r="FW19" s="30"/>
      <c r="FX19" s="30"/>
      <c r="FY19" s="31"/>
      <c r="FZ19" s="31"/>
      <c r="GA19" s="32"/>
      <c r="GB19" s="32"/>
      <c r="GC19" s="30"/>
      <c r="GD19" s="30"/>
      <c r="GE19" s="31"/>
      <c r="GF19" s="31"/>
      <c r="GG19" s="32"/>
      <c r="GH19" s="32"/>
      <c r="GI19" s="30"/>
      <c r="GJ19" s="30"/>
      <c r="GK19" s="31"/>
      <c r="GL19" s="31"/>
      <c r="GM19" s="32"/>
      <c r="GN19" s="32"/>
      <c r="GO19" s="30"/>
      <c r="GP19" s="30"/>
      <c r="GQ19" s="31"/>
      <c r="GR19" s="31"/>
      <c r="GS19" s="32"/>
      <c r="GT19" s="32"/>
      <c r="GU19" s="30"/>
      <c r="GV19" s="30"/>
      <c r="GW19" s="31"/>
      <c r="GX19" s="31"/>
      <c r="GY19" s="32"/>
      <c r="GZ19" s="32"/>
      <c r="HA19" s="30"/>
      <c r="HB19" s="30"/>
      <c r="HC19" s="31"/>
      <c r="HD19" s="31"/>
      <c r="HE19" s="32"/>
      <c r="HF19" s="32"/>
      <c r="HG19" s="30"/>
      <c r="HH19" s="30"/>
      <c r="HI19" s="31"/>
      <c r="HJ19" s="31"/>
      <c r="HK19" s="32"/>
      <c r="HL19" s="32"/>
      <c r="HM19" s="30"/>
      <c r="HN19" s="30"/>
      <c r="HO19" s="31"/>
      <c r="HP19" s="31"/>
      <c r="HQ19" s="32"/>
      <c r="HR19" s="32"/>
      <c r="HS19" s="30"/>
      <c r="HT19" s="30"/>
      <c r="HU19" s="31"/>
      <c r="HV19" s="31"/>
      <c r="HW19" s="32"/>
      <c r="HX19" s="32"/>
      <c r="HY19" s="30"/>
      <c r="HZ19" s="30"/>
      <c r="IA19" s="31"/>
      <c r="IB19" s="31"/>
      <c r="IC19" s="32"/>
      <c r="ID19" s="32"/>
      <c r="IE19" s="30"/>
      <c r="IF19" s="30"/>
      <c r="IG19" s="31"/>
      <c r="IH19" s="31"/>
      <c r="II19" s="32"/>
      <c r="IJ19" s="32"/>
      <c r="IK19" s="30"/>
      <c r="IL19" s="30"/>
      <c r="IM19" s="31"/>
      <c r="IN19" s="31"/>
      <c r="IO19" s="32"/>
      <c r="IP19" s="32"/>
      <c r="IQ19" s="30"/>
      <c r="IR19" s="30"/>
      <c r="IS19" s="31"/>
      <c r="IT19" s="31"/>
      <c r="IU19" s="32"/>
      <c r="IV19" s="32"/>
      <c r="IW19" s="30"/>
      <c r="IX19" s="30"/>
      <c r="IY19" s="31"/>
      <c r="IZ19" s="31"/>
      <c r="JA19" s="32"/>
      <c r="JB19" s="32"/>
      <c r="JC19" s="30"/>
      <c r="JD19" s="30"/>
      <c r="JE19" s="31"/>
      <c r="JF19" s="31"/>
      <c r="JG19" s="32"/>
      <c r="JH19" s="32"/>
      <c r="JI19" s="30"/>
      <c r="JJ19" s="30"/>
      <c r="JK19" s="31"/>
      <c r="JL19" s="31"/>
      <c r="JM19" s="32"/>
      <c r="JN19" s="32"/>
      <c r="JO19" s="30"/>
      <c r="JP19" s="30"/>
      <c r="JQ19" s="31"/>
      <c r="JR19" s="31"/>
      <c r="JS19" s="32"/>
      <c r="JT19" s="32"/>
      <c r="JU19" s="30"/>
      <c r="JV19" s="30"/>
      <c r="JW19" s="31"/>
      <c r="JX19" s="31"/>
      <c r="JY19" s="32"/>
      <c r="JZ19" s="32"/>
      <c r="KA19" s="30"/>
      <c r="KB19" s="30"/>
      <c r="KC19" s="31"/>
      <c r="KD19" s="31"/>
      <c r="KE19" s="32"/>
      <c r="KF19" s="32"/>
      <c r="KG19" s="30"/>
      <c r="KH19" s="30"/>
      <c r="KI19" s="31"/>
      <c r="KJ19" s="31"/>
      <c r="KK19" s="32"/>
      <c r="KL19" s="32"/>
      <c r="KM19" s="30"/>
      <c r="KN19" s="30"/>
      <c r="KO19" s="31"/>
      <c r="KP19" s="31"/>
      <c r="KQ19" s="32"/>
      <c r="KR19" s="32"/>
      <c r="KS19" s="30"/>
      <c r="KT19" s="30"/>
      <c r="KU19" s="31"/>
      <c r="KV19" s="31"/>
      <c r="KW19" s="32"/>
      <c r="KX19" s="32"/>
      <c r="KY19" s="30"/>
      <c r="KZ19" s="30"/>
      <c r="LA19" s="31"/>
      <c r="LB19" s="31"/>
      <c r="LC19" s="32"/>
      <c r="LD19" s="32"/>
      <c r="LE19" s="30"/>
      <c r="LF19" s="30"/>
      <c r="LG19" s="31"/>
      <c r="LH19" s="31"/>
      <c r="LI19" s="32"/>
      <c r="LJ19" s="32"/>
      <c r="LK19" s="30"/>
      <c r="LL19" s="30"/>
      <c r="LM19" s="31"/>
      <c r="LN19" s="31"/>
      <c r="LO19" s="32"/>
      <c r="LP19" s="32"/>
      <c r="LQ19" s="30"/>
      <c r="LR19" s="30"/>
      <c r="LS19" s="31"/>
      <c r="LT19" s="31"/>
      <c r="LU19" s="32"/>
      <c r="LV19" s="32"/>
      <c r="LW19" s="30"/>
      <c r="LX19" s="30"/>
      <c r="LY19" s="31"/>
      <c r="LZ19" s="31"/>
      <c r="MA19" s="32"/>
      <c r="MB19" s="32"/>
      <c r="MC19" s="30"/>
      <c r="MD19" s="30"/>
      <c r="ME19" s="31"/>
      <c r="MF19" s="31"/>
      <c r="MG19" s="32"/>
      <c r="MH19" s="32"/>
      <c r="MI19" s="30"/>
      <c r="MJ19" s="30"/>
      <c r="MK19" s="31"/>
      <c r="ML19" s="31"/>
      <c r="MM19" s="32"/>
      <c r="MN19" s="32"/>
      <c r="MO19" s="30"/>
      <c r="MP19" s="30"/>
      <c r="MQ19" s="31"/>
      <c r="MR19" s="31"/>
      <c r="MS19" s="32"/>
      <c r="MT19" s="32"/>
      <c r="MU19" s="30"/>
      <c r="MV19" s="30"/>
      <c r="MW19" s="31"/>
      <c r="MX19" s="31"/>
      <c r="MY19" s="32"/>
      <c r="MZ19" s="32"/>
      <c r="NA19" s="30"/>
      <c r="NB19" s="30"/>
      <c r="NC19" s="31"/>
      <c r="ND19" s="31"/>
      <c r="NE19" s="32"/>
      <c r="NF19" s="32"/>
      <c r="NG19" s="30"/>
      <c r="NH19" s="30"/>
      <c r="NI19" s="31"/>
      <c r="NJ19" s="31"/>
      <c r="NK19" s="32"/>
      <c r="NL19" s="32"/>
      <c r="NM19" s="30"/>
      <c r="NN19" s="30"/>
      <c r="NO19" s="31"/>
      <c r="NP19" s="31"/>
      <c r="NQ19" s="32"/>
      <c r="NR19" s="32"/>
      <c r="NS19" s="30"/>
      <c r="NT19" s="30"/>
      <c r="NU19" s="31"/>
      <c r="NV19" s="31"/>
      <c r="NW19" s="32"/>
      <c r="NX19" s="32"/>
      <c r="NY19" s="30"/>
      <c r="NZ19" s="30"/>
      <c r="OA19" s="31"/>
      <c r="OB19" s="31"/>
      <c r="OC19" s="32"/>
      <c r="OD19" s="32"/>
      <c r="OE19" s="30"/>
      <c r="OF19" s="30"/>
      <c r="OG19" s="31"/>
      <c r="OH19" s="31"/>
      <c r="OI19" s="32"/>
      <c r="OJ19" s="32"/>
      <c r="OK19" s="30"/>
      <c r="OL19" s="30"/>
      <c r="OM19" s="31"/>
      <c r="ON19" s="31"/>
      <c r="OO19" s="32"/>
      <c r="OP19" s="32"/>
      <c r="OQ19" s="30"/>
      <c r="OR19" s="30"/>
      <c r="OS19" s="31"/>
      <c r="OT19" s="31"/>
      <c r="OU19" s="32"/>
      <c r="OV19" s="32"/>
      <c r="OW19" s="30"/>
      <c r="OX19" s="30"/>
      <c r="OY19" s="31"/>
      <c r="OZ19" s="31"/>
      <c r="PA19" s="32"/>
      <c r="PB19" s="32"/>
      <c r="PC19" s="30"/>
      <c r="PD19" s="30"/>
      <c r="PE19" s="31"/>
      <c r="PF19" s="31"/>
      <c r="PG19" s="32"/>
      <c r="PH19" s="32"/>
      <c r="PI19" s="30"/>
      <c r="PJ19" s="30"/>
      <c r="PK19" s="31"/>
      <c r="PL19" s="31"/>
      <c r="PM19" s="32"/>
      <c r="PN19" s="32"/>
      <c r="PO19" s="30"/>
      <c r="PP19" s="30"/>
      <c r="PQ19" s="31"/>
      <c r="PR19" s="31"/>
      <c r="PS19" s="32"/>
      <c r="PT19" s="32"/>
      <c r="PU19" s="30"/>
      <c r="PV19" s="30"/>
      <c r="PW19" s="31"/>
      <c r="PX19" s="31"/>
      <c r="PY19" s="32"/>
      <c r="PZ19" s="32"/>
      <c r="QA19" s="30"/>
      <c r="QB19" s="30"/>
      <c r="QC19" s="31"/>
      <c r="QD19" s="31"/>
      <c r="QE19" s="32"/>
      <c r="QF19" s="32"/>
      <c r="QG19" s="30"/>
      <c r="QH19" s="30"/>
      <c r="QI19" s="31"/>
      <c r="QJ19" s="31"/>
      <c r="QK19" s="32"/>
      <c r="QL19" s="32"/>
      <c r="QM19" s="30"/>
      <c r="QN19" s="30"/>
      <c r="QO19" s="31"/>
      <c r="QP19" s="31"/>
      <c r="QQ19" s="32"/>
      <c r="QR19" s="32"/>
      <c r="QS19" s="30"/>
      <c r="QT19" s="30"/>
      <c r="QU19" s="31"/>
      <c r="QV19" s="31"/>
      <c r="QW19" s="32"/>
      <c r="QX19" s="32"/>
      <c r="QY19" s="30"/>
      <c r="QZ19" s="30"/>
      <c r="RA19" s="31"/>
      <c r="RB19" s="31"/>
      <c r="RC19" s="32"/>
      <c r="RD19" s="32"/>
      <c r="RE19" s="30"/>
      <c r="RF19" s="30"/>
      <c r="RG19" s="31"/>
      <c r="RH19" s="31"/>
      <c r="RI19" s="32"/>
      <c r="RJ19" s="32"/>
      <c r="RK19" s="30"/>
      <c r="RL19" s="30"/>
      <c r="RM19" s="31"/>
      <c r="RN19" s="31"/>
      <c r="RO19" s="32"/>
      <c r="RP19" s="32"/>
      <c r="RQ19" s="30"/>
      <c r="RR19" s="30"/>
      <c r="RS19" s="31"/>
      <c r="RT19" s="31"/>
      <c r="RU19" s="32"/>
      <c r="RV19" s="32"/>
      <c r="RW19" s="30"/>
      <c r="RX19" s="30"/>
      <c r="RY19" s="31"/>
      <c r="RZ19" s="31"/>
      <c r="SA19" s="32"/>
      <c r="SB19" s="32"/>
      <c r="SC19" s="30"/>
      <c r="SD19" s="30"/>
      <c r="SE19" s="31"/>
      <c r="SF19" s="31"/>
      <c r="SG19" s="32"/>
      <c r="SH19" s="32"/>
      <c r="SI19" s="30"/>
      <c r="SJ19" s="30"/>
      <c r="SK19" s="30"/>
      <c r="SL19" s="31"/>
      <c r="SM19" s="31"/>
      <c r="SN19" s="32"/>
      <c r="SO19" s="32"/>
      <c r="SP19" s="30"/>
      <c r="SQ19" s="30"/>
      <c r="SR19" s="31"/>
      <c r="SS19" s="31"/>
      <c r="ST19" s="32"/>
      <c r="SU19" s="32"/>
      <c r="SV19" s="30"/>
      <c r="SW19" s="30"/>
      <c r="SX19" s="31"/>
      <c r="SY19" s="31"/>
      <c r="SZ19" s="32"/>
      <c r="TA19" s="32"/>
      <c r="TB19" s="30"/>
      <c r="TC19" s="30"/>
      <c r="TD19" s="31"/>
      <c r="TE19" s="31"/>
      <c r="TF19" s="32"/>
      <c r="TG19" s="32"/>
      <c r="TH19" s="30"/>
      <c r="TI19" s="30"/>
      <c r="TJ19" s="31"/>
      <c r="TK19" s="31"/>
      <c r="TL19" s="32"/>
      <c r="TM19" s="32"/>
      <c r="TN19" s="30"/>
      <c r="TO19" s="30"/>
      <c r="TP19" s="31"/>
      <c r="TQ19" s="31"/>
      <c r="TR19" s="32"/>
      <c r="TS19" s="32"/>
      <c r="TT19" s="30"/>
      <c r="TU19" s="30"/>
      <c r="TV19" s="31" t="s">
        <v>596</v>
      </c>
      <c r="TW19" s="31"/>
      <c r="TX19" s="32"/>
      <c r="TY19" s="32"/>
      <c r="TZ19" s="30"/>
      <c r="UA19" s="30"/>
      <c r="UB19" s="31"/>
      <c r="UC19" s="31"/>
      <c r="UD19" s="32"/>
      <c r="UE19" s="32"/>
      <c r="UF19" s="30"/>
      <c r="UG19" s="30"/>
      <c r="UH19" s="31"/>
      <c r="UI19" s="31"/>
      <c r="UJ19" s="32"/>
      <c r="UK19" s="32"/>
      <c r="UL19" s="30"/>
      <c r="UM19" s="30"/>
      <c r="UN19" s="31"/>
      <c r="UO19" s="31"/>
      <c r="UP19" s="32"/>
      <c r="UQ19" s="32"/>
      <c r="UR19" s="30"/>
      <c r="US19" s="30"/>
      <c r="UT19" s="31"/>
      <c r="UU19" s="31"/>
      <c r="UV19" s="32"/>
      <c r="UW19" s="32"/>
      <c r="UX19" s="30"/>
      <c r="UY19" s="30"/>
      <c r="UZ19" s="31"/>
      <c r="VA19" s="31"/>
      <c r="VB19" s="32"/>
      <c r="VC19" s="32"/>
      <c r="VD19" s="30"/>
      <c r="VE19" s="30"/>
      <c r="VF19" s="31"/>
      <c r="VG19" s="31"/>
      <c r="VH19" s="32"/>
      <c r="VI19" s="32"/>
      <c r="VJ19" s="30"/>
      <c r="VK19" s="30"/>
      <c r="VL19" s="31"/>
      <c r="VM19" s="31"/>
      <c r="VN19" s="32"/>
      <c r="VO19" s="32"/>
      <c r="VP19" s="30"/>
      <c r="VQ19" s="30"/>
      <c r="VR19" s="31"/>
      <c r="VS19" s="31"/>
      <c r="VT19" s="32"/>
      <c r="VU19" s="32"/>
      <c r="VV19" s="30"/>
      <c r="VW19" s="30"/>
      <c r="VX19" s="31"/>
      <c r="VY19" s="31"/>
      <c r="VZ19" s="32"/>
      <c r="WA19" s="32"/>
      <c r="WB19" s="30"/>
      <c r="WC19" s="30"/>
      <c r="WD19" s="31"/>
      <c r="WE19" s="31"/>
      <c r="WF19" s="32"/>
      <c r="WG19" s="32"/>
      <c r="WH19" s="30"/>
      <c r="WI19" s="30"/>
      <c r="WJ19" s="31"/>
      <c r="WK19" s="31"/>
      <c r="WL19" s="32"/>
      <c r="WM19" s="32"/>
      <c r="WN19" s="30"/>
      <c r="WO19" s="30"/>
      <c r="WP19" s="31"/>
      <c r="WQ19" s="31"/>
      <c r="WR19" s="32"/>
      <c r="WS19" s="32"/>
      <c r="WT19" s="30"/>
      <c r="WU19" s="30"/>
      <c r="WV19" s="31"/>
      <c r="WW19" s="31"/>
      <c r="WX19" s="32"/>
      <c r="WY19" s="32"/>
      <c r="WZ19" s="30"/>
      <c r="XA19" s="30"/>
      <c r="XB19" s="31"/>
      <c r="XC19" s="31"/>
      <c r="XD19" s="32"/>
      <c r="XE19" s="32"/>
      <c r="XF19" s="30"/>
      <c r="XG19" s="30"/>
      <c r="XH19" s="31"/>
      <c r="XI19" s="31"/>
      <c r="XJ19" s="32"/>
      <c r="XK19" s="32"/>
      <c r="XL19" s="30"/>
      <c r="XM19" s="30"/>
      <c r="XN19" s="31"/>
      <c r="XO19" s="31"/>
      <c r="XP19" s="32"/>
      <c r="XQ19" s="32"/>
      <c r="XR19" s="30"/>
      <c r="XS19" s="30"/>
      <c r="XT19" s="31"/>
      <c r="XU19" s="31"/>
      <c r="XV19" s="32"/>
      <c r="XW19" s="32"/>
      <c r="XX19" s="30"/>
      <c r="XY19" s="30"/>
      <c r="XZ19" s="31"/>
      <c r="YA19" s="31"/>
      <c r="YB19" s="32"/>
      <c r="YC19" s="32"/>
      <c r="YD19" s="30"/>
      <c r="YE19" s="30"/>
      <c r="YF19" s="31"/>
      <c r="YG19" s="31"/>
      <c r="YH19" s="32"/>
      <c r="YI19" s="32"/>
      <c r="YJ19" s="30"/>
      <c r="YK19" s="30"/>
      <c r="YL19" s="31"/>
      <c r="YM19" s="31"/>
      <c r="YN19" s="32"/>
      <c r="YO19" s="32"/>
      <c r="YP19" s="30"/>
      <c r="YQ19" s="30"/>
      <c r="YR19" s="31"/>
      <c r="YS19" s="31"/>
      <c r="YT19" s="32"/>
      <c r="YU19" s="32"/>
      <c r="YV19" s="30"/>
      <c r="YW19" s="30"/>
      <c r="YX19" s="31"/>
      <c r="YY19" s="31"/>
      <c r="YZ19" s="32"/>
      <c r="ZA19" s="32"/>
      <c r="ZB19" s="30"/>
      <c r="ZC19" s="30"/>
      <c r="ZD19" s="31"/>
      <c r="ZE19" s="31"/>
      <c r="ZF19" s="32"/>
      <c r="ZG19" s="32"/>
      <c r="ZH19" s="30"/>
      <c r="ZI19" s="30"/>
      <c r="ZJ19" s="31"/>
      <c r="ZK19" s="31"/>
      <c r="ZL19" s="32"/>
      <c r="ZM19" s="32"/>
      <c r="ZN19" s="30"/>
      <c r="ZO19" s="30"/>
      <c r="ZP19" s="31"/>
      <c r="ZQ19" s="31"/>
      <c r="ZR19" s="32"/>
      <c r="ZS19" s="32"/>
      <c r="ZT19" s="30"/>
      <c r="ZU19" s="30"/>
      <c r="ZV19" s="31"/>
      <c r="ZW19" s="31"/>
      <c r="ZX19" s="32"/>
      <c r="ZY19" s="32"/>
      <c r="ZZ19" s="30"/>
      <c r="AAA19" s="30"/>
      <c r="AAB19" s="31"/>
      <c r="AAC19" s="31"/>
      <c r="AAD19" s="32"/>
      <c r="AAE19" s="32"/>
      <c r="AAF19" s="30"/>
      <c r="AAG19" s="30"/>
      <c r="AAH19" s="31"/>
      <c r="AAI19" s="31"/>
      <c r="AAJ19" s="32"/>
      <c r="AAK19" s="32"/>
      <c r="AAL19" s="30"/>
      <c r="AAM19" s="30"/>
      <c r="AAN19" s="31"/>
      <c r="AAO19" s="31"/>
      <c r="AAP19" s="32"/>
      <c r="AAQ19" s="32"/>
      <c r="AAR19" s="30"/>
      <c r="AAS19" s="30"/>
      <c r="AAT19" s="31"/>
      <c r="AAU19" s="31"/>
      <c r="AAV19" s="32"/>
      <c r="AAW19" s="32"/>
      <c r="AAX19" s="30"/>
      <c r="AAY19" s="30"/>
      <c r="AAZ19" s="31"/>
      <c r="ABA19" s="31"/>
      <c r="ABB19" s="32"/>
      <c r="ABC19" s="32"/>
      <c r="ABD19" s="30"/>
      <c r="ABE19" s="30"/>
      <c r="ABF19" s="31"/>
      <c r="ABG19" s="31"/>
      <c r="ABH19" s="32"/>
      <c r="ABI19" s="32"/>
      <c r="ABJ19" s="30"/>
      <c r="ABK19" s="30"/>
      <c r="ABL19" s="31"/>
      <c r="ABM19" s="31"/>
      <c r="ABN19" s="32"/>
      <c r="ABO19" s="32"/>
      <c r="ABP19" s="30"/>
      <c r="ABQ19" s="30"/>
      <c r="ABR19" s="31"/>
      <c r="ABS19" s="31"/>
      <c r="ABT19" s="32"/>
      <c r="ABU19" s="32"/>
      <c r="ABV19" s="30"/>
      <c r="ABW19" s="30"/>
      <c r="ABX19" s="31"/>
      <c r="ABY19" s="31"/>
      <c r="ABZ19" s="32"/>
      <c r="ACA19" s="32"/>
      <c r="ACB19" s="30"/>
      <c r="ACC19" s="30"/>
      <c r="ACD19" s="31"/>
      <c r="ACE19" s="31"/>
      <c r="ACF19" s="32"/>
      <c r="ACG19" s="32"/>
      <c r="ACH19" s="30"/>
      <c r="ACI19" s="30"/>
      <c r="ACJ19" s="31"/>
      <c r="ACK19" s="31"/>
      <c r="ACL19" s="32"/>
      <c r="ACM19" s="32"/>
      <c r="ACN19" s="30"/>
      <c r="ACO19" s="30"/>
      <c r="ACP19" s="31"/>
      <c r="ACQ19" s="31"/>
      <c r="ACR19" s="32"/>
      <c r="ACS19" s="32"/>
      <c r="ACT19" s="30"/>
      <c r="ACU19" s="30"/>
      <c r="ACV19" s="31"/>
      <c r="ACW19" s="31"/>
      <c r="ACX19" s="32"/>
      <c r="ACY19" s="32"/>
      <c r="ACZ19" s="30"/>
      <c r="ADA19" s="30"/>
      <c r="ADB19" s="31"/>
      <c r="ADC19" s="31"/>
      <c r="ADD19" s="32"/>
      <c r="ADE19" s="32"/>
      <c r="ADF19" s="30"/>
      <c r="ADG19" s="30"/>
      <c r="ADH19" s="31"/>
      <c r="ADI19" s="31"/>
      <c r="ADJ19" s="32"/>
      <c r="ADK19" s="32"/>
      <c r="ADL19" s="30"/>
      <c r="ADM19" s="30"/>
      <c r="ADN19" s="31"/>
      <c r="ADO19" s="31"/>
      <c r="ADP19" s="32"/>
      <c r="ADQ19" s="32"/>
      <c r="ADR19" s="30"/>
      <c r="ADS19" s="30"/>
      <c r="ADT19" s="31"/>
      <c r="ADU19" s="31"/>
      <c r="ADV19" s="32"/>
      <c r="ADW19" s="32"/>
      <c r="ADX19" s="30"/>
      <c r="ADY19" s="30"/>
      <c r="ADZ19" s="31"/>
      <c r="AEA19" s="31"/>
      <c r="AEB19" s="32"/>
      <c r="AEC19" s="32"/>
      <c r="AED19" s="30"/>
      <c r="AEE19" s="30"/>
      <c r="AEF19" s="31"/>
      <c r="AEG19" s="31"/>
      <c r="AEH19" s="32"/>
      <c r="AEI19" s="32"/>
      <c r="AEJ19" s="30"/>
      <c r="AEK19" s="30"/>
      <c r="AEL19" s="31"/>
      <c r="AEM19" s="31"/>
      <c r="AEN19" s="32"/>
      <c r="AEO19" s="32"/>
      <c r="AEP19" s="30"/>
      <c r="AEQ19" s="30"/>
      <c r="AER19" s="31"/>
      <c r="AES19" s="31"/>
      <c r="AET19" s="32"/>
      <c r="AEU19" s="32"/>
      <c r="AEV19" s="30"/>
      <c r="AEW19" s="30"/>
      <c r="AEX19" s="31"/>
      <c r="AEY19" s="31"/>
      <c r="AEZ19" s="32"/>
      <c r="AFA19" s="32"/>
      <c r="AFB19" s="30"/>
      <c r="AFC19" s="30"/>
      <c r="AFD19" s="31"/>
      <c r="AFE19" s="31"/>
      <c r="AFF19" s="32"/>
      <c r="AFG19" s="32"/>
      <c r="AFH19" s="30"/>
      <c r="AFI19" s="30"/>
      <c r="AFJ19" s="31"/>
      <c r="AFK19" s="31"/>
      <c r="AFL19" s="32"/>
      <c r="AFM19" s="32"/>
      <c r="AFN19" s="30"/>
      <c r="AFO19" s="30"/>
      <c r="AFP19" s="31"/>
      <c r="AFQ19" s="31"/>
      <c r="AFR19" s="32"/>
      <c r="AFS19" s="32"/>
      <c r="AFT19" s="30"/>
      <c r="AFU19" s="30"/>
      <c r="AFV19" s="31"/>
      <c r="AFW19" s="31"/>
      <c r="AFX19" s="32"/>
      <c r="AFY19" s="32"/>
      <c r="AFZ19" s="30"/>
      <c r="AGA19" s="30"/>
      <c r="AGB19" s="31"/>
      <c r="AGC19" s="31"/>
      <c r="AGD19" s="32"/>
      <c r="AGE19" s="32"/>
      <c r="AGF19" s="30"/>
      <c r="AGG19" s="30"/>
      <c r="AGH19" s="31"/>
      <c r="AGI19" s="31"/>
      <c r="AGJ19" s="32"/>
      <c r="AGK19" s="32"/>
      <c r="AGL19" s="30"/>
      <c r="AGM19" s="30"/>
      <c r="AGN19" s="31"/>
      <c r="AGO19" s="31"/>
      <c r="AGP19" s="32"/>
      <c r="AGQ19" s="32"/>
      <c r="AGR19" s="30"/>
      <c r="AGS19" s="30"/>
      <c r="AGT19" s="31"/>
      <c r="AGU19" s="31"/>
      <c r="AGV19" s="32"/>
      <c r="AGW19" s="32"/>
      <c r="AGX19" s="30"/>
      <c r="AGY19" s="30"/>
      <c r="AGZ19" s="31"/>
      <c r="AHA19" s="31"/>
      <c r="AHB19" s="32"/>
      <c r="AHC19" s="32"/>
      <c r="AHD19" s="30"/>
      <c r="AHE19" s="30"/>
      <c r="AHF19" s="31"/>
      <c r="AHG19" s="31"/>
      <c r="AHH19" s="32"/>
      <c r="AHI19" s="32"/>
      <c r="AHJ19" s="30"/>
      <c r="AHK19" s="30"/>
      <c r="AHL19" s="31"/>
      <c r="AHM19" s="31"/>
      <c r="AHN19" s="32"/>
      <c r="AHO19" s="32"/>
      <c r="AHP19" s="30"/>
      <c r="AHQ19" s="30"/>
      <c r="AHR19" s="31"/>
      <c r="AHS19" s="31"/>
      <c r="AHT19" s="32"/>
      <c r="AHU19" s="32"/>
      <c r="AHV19" s="30"/>
      <c r="AHW19" s="30"/>
      <c r="AHX19" s="31"/>
      <c r="AHY19" s="31"/>
      <c r="AHZ19" s="32"/>
      <c r="AIA19" s="32"/>
      <c r="AIB19" s="30"/>
      <c r="AIC19" s="30"/>
      <c r="AID19" s="31"/>
      <c r="AIE19" s="31"/>
      <c r="AIF19" s="32"/>
      <c r="AIG19" s="32"/>
      <c r="AIH19" s="30"/>
      <c r="AII19" s="30"/>
      <c r="AIJ19" s="31"/>
      <c r="AIK19" s="31"/>
      <c r="AIL19" s="32"/>
      <c r="AIM19" s="32"/>
      <c r="AIN19" s="30"/>
      <c r="AIO19" s="30"/>
      <c r="AIP19" s="31"/>
      <c r="AIQ19" s="31"/>
      <c r="AIR19" s="32"/>
      <c r="AIS19" s="32"/>
      <c r="AIT19" s="30"/>
      <c r="AIU19" s="30"/>
      <c r="AIV19" s="31"/>
      <c r="AIW19" s="31"/>
      <c r="AIX19" s="32"/>
      <c r="AIY19" s="32"/>
      <c r="AIZ19" s="30"/>
      <c r="AJA19" s="30"/>
      <c r="AJB19" s="31"/>
      <c r="AJC19" s="31"/>
      <c r="AJD19" s="32"/>
      <c r="AJE19" s="32"/>
      <c r="AJF19" s="30"/>
      <c r="AJG19" s="30"/>
      <c r="AJH19" s="31"/>
      <c r="AJI19" s="31"/>
      <c r="AJJ19" s="32"/>
      <c r="AJK19" s="32"/>
      <c r="AJL19" s="30"/>
      <c r="AJM19" s="30"/>
      <c r="AJN19" s="31"/>
      <c r="AJO19" s="31"/>
      <c r="AJP19" s="32"/>
      <c r="AJQ19" s="32"/>
      <c r="AJR19" s="30"/>
      <c r="AJS19" s="30"/>
      <c r="AJT19" s="31"/>
      <c r="AJU19" s="31"/>
      <c r="AJV19" s="32"/>
      <c r="AJW19" s="32"/>
      <c r="AJX19" s="30"/>
      <c r="AJY19" s="30"/>
      <c r="AJZ19" s="31"/>
      <c r="AKA19" s="31"/>
      <c r="AKB19" s="32"/>
      <c r="AKC19" s="32"/>
      <c r="AKD19" s="30"/>
      <c r="AKE19" s="30"/>
      <c r="AKF19" s="31"/>
      <c r="AKG19" s="31"/>
      <c r="AKH19" s="32"/>
      <c r="AKI19" s="32"/>
      <c r="AKJ19" s="30"/>
      <c r="AKK19" s="30"/>
      <c r="AKL19" s="31"/>
      <c r="AKM19" s="31"/>
      <c r="AKN19" s="32"/>
      <c r="AKO19" s="32"/>
      <c r="AKP19" s="30"/>
      <c r="AKQ19" s="30"/>
      <c r="AKR19" s="31"/>
      <c r="AKS19" s="31"/>
      <c r="AKT19" s="32"/>
      <c r="AKU19" s="32"/>
      <c r="AKV19" s="30"/>
      <c r="AKW19" s="30"/>
      <c r="AKX19" s="31"/>
      <c r="AKY19" s="31"/>
      <c r="AKZ19" s="32"/>
      <c r="ALA19" s="32"/>
      <c r="ALB19" s="30"/>
      <c r="ALC19" s="30"/>
      <c r="ALD19" s="31"/>
      <c r="ALE19" s="31"/>
      <c r="ALF19" s="32"/>
      <c r="ALG19" s="32"/>
      <c r="ALH19" s="30"/>
      <c r="ALI19" s="30"/>
      <c r="ALJ19" s="31"/>
      <c r="ALK19" s="31"/>
      <c r="ALL19" s="32"/>
      <c r="ALM19" s="32"/>
      <c r="ALN19" s="30"/>
      <c r="ALO19" s="30"/>
      <c r="ALP19" s="31"/>
      <c r="ALQ19" s="31"/>
      <c r="ALR19" s="32"/>
      <c r="ALS19" s="32"/>
      <c r="ALT19" s="30"/>
      <c r="ALU19" s="30"/>
      <c r="ALV19" s="31"/>
      <c r="ALW19" s="31"/>
      <c r="ALX19" s="32"/>
      <c r="ALY19" s="32"/>
      <c r="ALZ19" s="30"/>
      <c r="AMA19" s="30"/>
      <c r="AMB19" s="31"/>
      <c r="AMC19" s="31"/>
      <c r="AMD19" s="32"/>
      <c r="AME19" s="32"/>
      <c r="AMF19" s="30"/>
      <c r="AMG19" s="30"/>
      <c r="AMH19" s="31"/>
      <c r="AMI19" s="31"/>
      <c r="AMJ19" s="32"/>
      <c r="AMK19" s="32"/>
      <c r="AML19" s="30"/>
      <c r="AMM19" s="30"/>
      <c r="AMN19" s="31"/>
      <c r="AMO19" s="31"/>
      <c r="AMP19" s="32"/>
      <c r="AMQ19" s="32"/>
      <c r="AMR19" s="30"/>
      <c r="AMS19" s="30"/>
      <c r="AMT19" s="31"/>
      <c r="AMU19" s="31"/>
      <c r="AMV19" s="32"/>
      <c r="AMW19" s="32"/>
      <c r="AMX19" s="30"/>
      <c r="AMY19" s="30"/>
      <c r="AMZ19" s="31"/>
      <c r="ANA19" s="31"/>
      <c r="ANB19" s="32"/>
      <c r="ANC19" s="32"/>
      <c r="AND19" s="30"/>
      <c r="ANE19" s="30"/>
      <c r="ANF19" s="31"/>
      <c r="ANG19" s="31"/>
      <c r="ANH19" s="32"/>
      <c r="ANI19" s="32"/>
      <c r="ANJ19" s="30"/>
      <c r="ANK19" s="30"/>
      <c r="ANL19" s="31"/>
      <c r="ANM19" s="31"/>
      <c r="ANN19" s="32"/>
      <c r="ANO19" s="32"/>
      <c r="ANP19" s="30"/>
      <c r="ANQ19" s="30"/>
      <c r="ANR19" s="31"/>
      <c r="ANS19" s="31"/>
      <c r="ANT19" s="32"/>
      <c r="ANU19" s="32"/>
      <c r="ANV19" s="30"/>
      <c r="ANW19" s="30"/>
      <c r="ANX19" s="31"/>
      <c r="ANY19" s="31"/>
      <c r="ANZ19" s="32"/>
      <c r="AOA19" s="32"/>
      <c r="AOB19" s="30"/>
      <c r="AOC19" s="30"/>
      <c r="AOD19" s="31"/>
      <c r="AOE19" s="31"/>
      <c r="AOF19" s="32"/>
      <c r="AOG19" s="32"/>
      <c r="AOH19" s="30"/>
      <c r="AOI19" s="30"/>
      <c r="AOJ19" s="31"/>
      <c r="AOK19" s="31"/>
      <c r="AOL19" s="32"/>
      <c r="AOM19" s="32"/>
      <c r="AON19" s="30"/>
      <c r="AOO19" s="30"/>
      <c r="AOP19" s="31"/>
      <c r="AOQ19" s="31"/>
      <c r="AOR19" s="32"/>
      <c r="AOS19" s="32"/>
      <c r="AOT19" s="30"/>
      <c r="AOU19" s="30"/>
      <c r="AOV19" s="31"/>
      <c r="AOW19" s="31"/>
      <c r="AOX19" s="32"/>
      <c r="AOY19" s="32"/>
      <c r="AOZ19" s="30"/>
      <c r="APA19" s="30"/>
      <c r="APB19" s="31"/>
      <c r="APC19" s="31"/>
      <c r="APD19" s="32"/>
      <c r="APE19" s="32"/>
      <c r="APF19" s="30"/>
      <c r="APG19" s="30"/>
      <c r="APH19" s="32"/>
      <c r="API19" s="32"/>
      <c r="APJ19" s="31"/>
      <c r="APK19" s="31"/>
      <c r="APL19" s="30"/>
      <c r="APM19" s="30"/>
      <c r="APN19" s="32"/>
      <c r="APO19" s="32"/>
      <c r="APP19" s="31"/>
      <c r="APQ19" s="31"/>
      <c r="APR19" s="30"/>
      <c r="APS19" s="30"/>
      <c r="APT19" s="32"/>
      <c r="APU19" s="32"/>
      <c r="APV19" s="31"/>
      <c r="APW19" s="31"/>
      <c r="APX19" s="30"/>
      <c r="APY19" s="30"/>
      <c r="APZ19" s="32"/>
      <c r="AQA19" s="32"/>
      <c r="AQB19" s="31"/>
      <c r="AQC19" s="31"/>
      <c r="AQD19" s="30"/>
      <c r="AQE19" s="30"/>
      <c r="AQF19" s="32"/>
      <c r="AQG19" s="32"/>
      <c r="AQH19" s="31"/>
      <c r="AQI19" s="31"/>
      <c r="AQJ19" s="30"/>
      <c r="AQK19" s="30"/>
      <c r="AQL19" s="32"/>
      <c r="AQM19" s="32"/>
      <c r="AQN19" s="31"/>
      <c r="AQO19" s="31"/>
      <c r="AQP19" s="30"/>
      <c r="AQQ19" s="30"/>
      <c r="AQR19" s="32"/>
      <c r="AQS19" s="32"/>
      <c r="AQT19" s="31"/>
      <c r="AQU19" s="31"/>
      <c r="AQV19" s="30"/>
      <c r="AQW19" s="30"/>
      <c r="AQX19" s="32"/>
      <c r="AQY19" s="32"/>
      <c r="AQZ19" s="31"/>
      <c r="ARA19" s="31"/>
      <c r="ARB19" s="30"/>
      <c r="ARC19" s="30"/>
      <c r="ARD19" s="32"/>
      <c r="ARE19" s="32"/>
      <c r="ARF19" s="31"/>
      <c r="ARG19" s="31"/>
      <c r="ARH19" s="30"/>
      <c r="ARI19" s="30"/>
      <c r="ARJ19" s="32"/>
      <c r="ARK19" s="32"/>
      <c r="ARL19" s="31"/>
      <c r="ARM19" s="31"/>
      <c r="ARN19" s="30"/>
      <c r="ARO19" s="30"/>
      <c r="ARP19" s="32"/>
      <c r="ARQ19" s="32"/>
      <c r="ARR19" s="31"/>
      <c r="ARS19" s="31"/>
      <c r="ART19" s="30"/>
      <c r="ARU19" s="30"/>
      <c r="ARV19" s="32"/>
      <c r="ARW19" s="32"/>
      <c r="ARX19" s="31"/>
      <c r="ARY19" s="31"/>
      <c r="ARZ19" s="30"/>
      <c r="ASA19" s="30"/>
      <c r="ASB19" s="32"/>
      <c r="ASC19" s="32"/>
      <c r="ASD19" s="31"/>
      <c r="ASE19" s="31"/>
      <c r="ASF19" s="30"/>
      <c r="ASG19" s="30"/>
      <c r="ASH19" s="32"/>
      <c r="ASI19" s="32"/>
      <c r="ASJ19" s="31"/>
      <c r="ASK19" s="31"/>
      <c r="ASL19" s="30"/>
      <c r="ASM19" s="30"/>
      <c r="ASN19" s="32"/>
      <c r="ASO19" s="32"/>
      <c r="ASP19" s="31"/>
      <c r="ASQ19" s="31"/>
      <c r="ASR19" s="30"/>
      <c r="ASS19" s="30"/>
      <c r="AST19" s="32"/>
      <c r="ASU19" s="32"/>
      <c r="ASV19" s="31"/>
      <c r="ASW19" s="31"/>
      <c r="ASX19" s="30"/>
      <c r="ASY19" s="30"/>
      <c r="ASZ19" s="32"/>
      <c r="ATA19" s="32"/>
      <c r="ATB19" s="31"/>
      <c r="ATC19" s="31"/>
      <c r="ATD19" s="30"/>
      <c r="ATE19" s="30"/>
      <c r="ATF19" s="32"/>
      <c r="ATG19" s="32"/>
      <c r="ATH19" s="31"/>
      <c r="ATI19" s="31"/>
      <c r="ATJ19" s="30"/>
      <c r="ATK19" s="30"/>
      <c r="ATL19" s="32"/>
      <c r="ATM19" s="32"/>
      <c r="ATN19" s="31"/>
      <c r="ATO19" s="31"/>
      <c r="ATP19" s="30"/>
      <c r="ATQ19" s="30"/>
      <c r="ATR19" s="32"/>
      <c r="ATS19" s="32"/>
      <c r="ATT19" s="31"/>
      <c r="ATU19" s="31"/>
      <c r="ATV19" s="30"/>
      <c r="ATW19" s="30"/>
      <c r="ATX19" s="32"/>
      <c r="ATY19" s="32"/>
      <c r="ATZ19" s="31"/>
      <c r="AUA19" s="31"/>
      <c r="AUB19" s="30"/>
      <c r="AUC19" s="30"/>
      <c r="AUD19" s="32"/>
      <c r="AUE19" s="32"/>
      <c r="AUF19" s="31"/>
      <c r="AUG19" s="31"/>
      <c r="AUH19" s="30"/>
      <c r="AUI19" s="30"/>
      <c r="AUJ19" s="32"/>
      <c r="AUK19" s="32"/>
      <c r="AUL19" s="31"/>
      <c r="AUM19" s="31"/>
      <c r="AUN19" s="30"/>
      <c r="AUO19" s="30"/>
      <c r="AUP19" s="32"/>
      <c r="AUQ19" s="32"/>
      <c r="AUR19" s="31"/>
      <c r="AUS19" s="31"/>
      <c r="AUT19" s="30"/>
      <c r="AUU19" s="30"/>
      <c r="AUV19" s="32"/>
      <c r="AUW19" s="32"/>
      <c r="AUX19" s="31"/>
      <c r="AUY19" s="31"/>
      <c r="AUZ19" s="30"/>
      <c r="AVA19" s="30"/>
      <c r="AVB19" s="32"/>
      <c r="AVC19" s="32"/>
      <c r="AVD19" s="31"/>
      <c r="AVE19" s="31"/>
      <c r="AVF19" s="30"/>
      <c r="AVG19" s="30"/>
      <c r="AVH19" s="32"/>
      <c r="AVI19" s="32"/>
      <c r="AVJ19" s="31"/>
      <c r="AVK19" s="31"/>
      <c r="AVL19" s="30"/>
      <c r="AVM19" s="30"/>
      <c r="AVN19" s="32"/>
      <c r="AVO19" s="32"/>
      <c r="AVP19" s="31"/>
      <c r="AVQ19" s="31"/>
      <c r="AVR19" s="30"/>
      <c r="AVS19" s="30"/>
      <c r="AVT19" s="32"/>
      <c r="AVU19" s="32"/>
      <c r="AVV19" s="31"/>
      <c r="AVW19" s="31"/>
      <c r="AVX19" s="30"/>
      <c r="AVY19" s="30"/>
      <c r="AVZ19" s="32"/>
      <c r="AWA19" s="32"/>
      <c r="AWB19" s="31"/>
      <c r="AWC19" s="31"/>
      <c r="AWD19" s="30"/>
      <c r="AWE19" s="30"/>
      <c r="AWF19" s="32"/>
      <c r="AWG19" s="32"/>
      <c r="AWH19" s="31"/>
      <c r="AWI19" s="31"/>
      <c r="AWJ19" s="30"/>
      <c r="AWK19" s="30"/>
      <c r="AWL19" s="32"/>
      <c r="AWM19" s="32"/>
      <c r="AWN19" s="31"/>
      <c r="AWO19" s="31"/>
      <c r="AWP19" s="30"/>
      <c r="AWQ19" s="30"/>
      <c r="AWR19" s="32"/>
      <c r="AWS19" s="32"/>
      <c r="AWT19" s="31"/>
      <c r="AWU19" s="31"/>
      <c r="AWV19" s="30"/>
      <c r="AWW19" s="30"/>
      <c r="AWX19" s="32"/>
      <c r="AWY19" s="32"/>
      <c r="AWZ19" s="31"/>
      <c r="AXA19" s="31"/>
      <c r="AXB19" s="30"/>
      <c r="AXC19" s="30"/>
      <c r="AXD19" s="32"/>
      <c r="AXE19" s="32"/>
      <c r="AXF19" s="31"/>
      <c r="AXG19" s="31"/>
      <c r="AXH19" s="30"/>
      <c r="AXI19" s="30"/>
      <c r="AXJ19" s="32"/>
      <c r="AXK19" s="32"/>
      <c r="AXL19" s="31"/>
      <c r="AXM19" s="31"/>
      <c r="AXN19" s="30"/>
      <c r="AXO19" s="30"/>
      <c r="AXP19" s="32"/>
      <c r="AXQ19" s="32"/>
      <c r="AXR19" s="31"/>
      <c r="AXS19" s="31"/>
      <c r="AXT19" s="30"/>
      <c r="AXU19" s="30"/>
      <c r="AXV19" s="32"/>
      <c r="AXW19" s="32"/>
      <c r="AXX19" s="31"/>
      <c r="AXY19" s="31"/>
      <c r="AXZ19" s="30"/>
      <c r="AYA19" s="30"/>
      <c r="AYB19" s="32"/>
      <c r="AYC19" s="32"/>
      <c r="AYD19" s="31"/>
      <c r="AYE19" s="31"/>
      <c r="AYF19" s="30"/>
      <c r="AYG19" s="30"/>
      <c r="AYH19" s="32"/>
      <c r="AYI19" s="32"/>
      <c r="AYJ19" s="31"/>
      <c r="AYK19" s="31"/>
      <c r="AYL19" s="30"/>
      <c r="AYM19" s="30"/>
      <c r="AYN19" s="32"/>
      <c r="AYO19" s="32"/>
      <c r="AYP19" s="31"/>
      <c r="AYQ19" s="31"/>
      <c r="AYR19" s="30"/>
      <c r="AYS19" s="30"/>
      <c r="AYT19" s="32"/>
      <c r="AYU19" s="32"/>
      <c r="AYV19" s="31"/>
      <c r="AYW19" s="31"/>
      <c r="AYX19" s="30"/>
      <c r="AYY19" s="30"/>
      <c r="AYZ19" s="32"/>
      <c r="AZA19" s="32"/>
      <c r="AZB19" s="31"/>
      <c r="AZC19" s="31"/>
      <c r="AZD19" s="30"/>
      <c r="AZE19" s="30"/>
      <c r="AZF19" s="32"/>
      <c r="AZG19" s="32"/>
      <c r="AZH19" s="31"/>
      <c r="AZI19" s="31"/>
      <c r="AZJ19" s="30"/>
      <c r="AZK19" s="30"/>
      <c r="AZL19" s="32"/>
      <c r="AZM19" s="32"/>
      <c r="AZN19" s="31"/>
      <c r="AZO19" s="31"/>
      <c r="AZP19" s="30"/>
      <c r="AZQ19" s="30"/>
      <c r="AZR19" s="32"/>
      <c r="AZS19" s="32"/>
      <c r="AZT19" s="31"/>
      <c r="AZU19" s="31"/>
      <c r="AZV19" s="30"/>
      <c r="AZW19" s="30"/>
      <c r="AZX19" s="32"/>
      <c r="AZY19" s="32"/>
      <c r="AZZ19" s="31"/>
      <c r="BAA19" s="31"/>
      <c r="BAB19" s="30"/>
      <c r="BAC19" s="30"/>
      <c r="BAD19" s="32"/>
      <c r="BAE19" s="32"/>
      <c r="BAF19" s="31"/>
      <c r="BAG19" s="31"/>
      <c r="BAH19" s="30"/>
      <c r="BAI19" s="30"/>
      <c r="BAJ19" s="32"/>
      <c r="BAK19" s="32"/>
      <c r="BAL19" s="31"/>
      <c r="BAM19" s="31"/>
      <c r="BAN19" s="30"/>
      <c r="BAO19" s="30"/>
      <c r="BAP19" s="32"/>
      <c r="BAQ19" s="32"/>
      <c r="BAR19" s="31"/>
      <c r="BAS19" s="31"/>
      <c r="BAT19" s="30"/>
      <c r="BAU19" s="30"/>
      <c r="BAV19" s="32"/>
      <c r="BAW19" s="32"/>
      <c r="BAX19" s="31"/>
      <c r="BAY19" s="31"/>
      <c r="BAZ19" s="30"/>
      <c r="BBA19" s="30"/>
      <c r="BBB19" s="32"/>
      <c r="BBC19" s="32"/>
      <c r="BBD19" s="31"/>
      <c r="BBE19" s="31"/>
      <c r="BBF19" s="30"/>
      <c r="BBG19" s="30"/>
      <c r="BBH19" s="32"/>
      <c r="BBI19" s="32"/>
      <c r="BBJ19" s="31"/>
      <c r="BBK19" s="31"/>
      <c r="BBL19" s="30"/>
      <c r="BBM19" s="30"/>
      <c r="BBN19" s="32"/>
      <c r="BBO19" s="32"/>
      <c r="BBP19" s="31"/>
      <c r="BBQ19" s="31"/>
      <c r="BBR19" s="30"/>
      <c r="BBS19" s="30"/>
      <c r="BBT19" s="32"/>
      <c r="BBU19" s="32"/>
      <c r="BBV19" s="31"/>
      <c r="BBW19" s="31"/>
      <c r="BBX19" s="30"/>
      <c r="BBY19" s="30"/>
      <c r="BBZ19" s="32"/>
      <c r="BCA19" s="32"/>
      <c r="BCB19" s="31"/>
      <c r="BCC19" s="31"/>
      <c r="BCD19" s="30"/>
      <c r="BCE19" s="30"/>
      <c r="BCF19" s="32"/>
      <c r="BCG19" s="32"/>
      <c r="BCH19" s="31"/>
      <c r="BCI19" s="31"/>
      <c r="BCJ19" s="30"/>
      <c r="BCK19" s="30"/>
      <c r="BCL19" s="32"/>
      <c r="BCM19" s="32"/>
      <c r="BCN19" s="31"/>
      <c r="BCO19" s="31"/>
      <c r="BCP19" s="30"/>
      <c r="BCQ19" s="30"/>
    </row>
    <row r="20" spans="1:1447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55"/>
      <c r="GF20" s="56"/>
      <c r="GG20" s="55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  <c r="QI20" s="43"/>
      <c r="QJ20" s="43"/>
      <c r="QK20" s="43"/>
      <c r="QL20" s="43"/>
      <c r="QM20" s="43"/>
      <c r="QN20" s="43"/>
      <c r="QO20" s="43"/>
      <c r="QP20" s="43"/>
      <c r="QQ20" s="43"/>
      <c r="QR20" s="43"/>
      <c r="QS20" s="43"/>
      <c r="QT20" s="43"/>
      <c r="QU20" s="43"/>
      <c r="QV20" s="43"/>
      <c r="QW20" s="43"/>
      <c r="QX20" s="43"/>
      <c r="QY20" s="43"/>
      <c r="QZ20" s="43"/>
      <c r="RA20" s="43"/>
      <c r="RB20" s="43"/>
      <c r="RC20" s="43"/>
      <c r="RD20" s="43"/>
      <c r="RE20" s="43"/>
      <c r="RF20" s="43"/>
      <c r="RG20" s="43"/>
      <c r="RH20" s="43"/>
      <c r="RI20" s="43"/>
      <c r="RJ20" s="43"/>
      <c r="RK20" s="43"/>
      <c r="RL20" s="43"/>
      <c r="RM20" s="43"/>
      <c r="RN20" s="43"/>
      <c r="RO20" s="43"/>
      <c r="RP20" s="43"/>
      <c r="RQ20" s="43"/>
      <c r="RR20" s="43"/>
      <c r="RS20" s="43"/>
      <c r="RT20" s="43"/>
      <c r="RU20" s="43"/>
      <c r="RV20" s="43"/>
      <c r="RW20" s="43"/>
      <c r="RX20" s="43"/>
      <c r="RY20" s="43"/>
      <c r="RZ20" s="43"/>
      <c r="SA20" s="43"/>
      <c r="SB20" s="43"/>
      <c r="SC20" s="43"/>
      <c r="SD20" s="43"/>
      <c r="SE20" s="43"/>
      <c r="SF20" s="43"/>
      <c r="SG20" s="43"/>
      <c r="SH20" s="43"/>
      <c r="SI20" s="43"/>
      <c r="SJ20" s="57"/>
      <c r="SK20" s="43"/>
      <c r="SL20" s="43"/>
      <c r="SM20" s="43"/>
      <c r="SN20" s="43"/>
      <c r="SO20" s="43"/>
      <c r="SP20" s="43"/>
      <c r="SQ20" s="43"/>
      <c r="SR20" s="43"/>
      <c r="SS20" s="43"/>
      <c r="ST20" s="43"/>
      <c r="SU20" s="43"/>
      <c r="SV20" s="43"/>
      <c r="SW20" s="43"/>
      <c r="SX20" s="43"/>
      <c r="SY20" s="43"/>
      <c r="SZ20" s="43"/>
      <c r="TA20" s="43"/>
      <c r="TB20" s="43"/>
      <c r="TC20" s="43"/>
      <c r="TD20" s="43"/>
      <c r="TE20" s="43"/>
      <c r="TF20" s="43"/>
      <c r="TG20" s="43"/>
      <c r="TH20" s="43"/>
      <c r="TI20" s="43"/>
      <c r="TJ20" s="43"/>
      <c r="TK20" s="43"/>
      <c r="TL20" s="43"/>
      <c r="TM20" s="43"/>
      <c r="TN20" s="43"/>
      <c r="TO20" s="43"/>
      <c r="TP20" s="43"/>
      <c r="TQ20" s="43"/>
      <c r="TR20" s="43"/>
      <c r="TS20" s="43"/>
      <c r="TT20" s="43"/>
      <c r="TU20" s="43"/>
      <c r="TV20" s="58" t="s">
        <v>74</v>
      </c>
      <c r="TW20" s="58"/>
      <c r="TX20" s="43"/>
      <c r="TY20" s="43"/>
      <c r="TZ20" s="43"/>
      <c r="UA20" s="43"/>
      <c r="UB20" s="43"/>
      <c r="UC20" s="43"/>
      <c r="UD20" s="43"/>
      <c r="UE20" s="43"/>
      <c r="UF20" s="43"/>
      <c r="UG20" s="43"/>
      <c r="UH20" s="43"/>
      <c r="UI20" s="43"/>
      <c r="UJ20" s="43"/>
      <c r="UK20" s="43"/>
      <c r="UL20" s="43"/>
      <c r="UM20" s="43"/>
      <c r="UN20" s="43"/>
      <c r="UO20" s="43"/>
      <c r="UP20" s="43"/>
      <c r="UQ20" s="43"/>
      <c r="UR20" s="43"/>
      <c r="US20" s="43"/>
      <c r="UT20" s="43"/>
      <c r="UU20" s="43"/>
      <c r="UV20" s="43"/>
      <c r="UW20" s="43"/>
      <c r="UX20" s="43"/>
      <c r="UY20" s="43"/>
      <c r="UZ20" s="43"/>
      <c r="VA20" s="43"/>
      <c r="VB20" s="43"/>
      <c r="VC20" s="43"/>
      <c r="VD20" s="43"/>
      <c r="VE20" s="43"/>
      <c r="VF20" s="43"/>
      <c r="VG20" s="43"/>
      <c r="VH20" s="43"/>
      <c r="VI20" s="43"/>
      <c r="VJ20" s="43"/>
      <c r="VK20" s="43"/>
      <c r="VL20" s="43"/>
      <c r="VM20" s="43"/>
      <c r="VN20" s="43"/>
      <c r="VO20" s="43"/>
      <c r="VP20" s="43"/>
      <c r="VQ20" s="43"/>
      <c r="VR20" s="43"/>
      <c r="VS20" s="43"/>
      <c r="VT20" s="43"/>
      <c r="VU20" s="43"/>
      <c r="VV20" s="43"/>
      <c r="VW20" s="43"/>
      <c r="VX20" s="43"/>
      <c r="VY20" s="43"/>
      <c r="VZ20" s="43"/>
      <c r="WA20" s="43"/>
      <c r="WB20" s="43"/>
      <c r="WC20" s="43"/>
      <c r="WD20" s="43"/>
      <c r="WE20" s="43"/>
      <c r="WF20" s="43"/>
      <c r="WG20" s="43"/>
      <c r="WH20" s="43"/>
      <c r="WI20" s="43"/>
      <c r="WJ20" s="43"/>
      <c r="WK20" s="43"/>
      <c r="WL20" s="43"/>
      <c r="WM20" s="43"/>
      <c r="WN20" s="43"/>
      <c r="WO20" s="43"/>
      <c r="WP20" s="43"/>
      <c r="WQ20" s="43"/>
      <c r="WR20" s="43"/>
      <c r="WS20" s="43"/>
      <c r="WT20" s="43"/>
      <c r="WU20" s="43"/>
      <c r="WV20" s="43"/>
      <c r="WW20" s="43"/>
      <c r="WX20" s="43"/>
      <c r="WY20" s="43"/>
      <c r="WZ20" s="43"/>
      <c r="XA20" s="43"/>
      <c r="XB20" s="43"/>
      <c r="XC20" s="43"/>
      <c r="XD20" s="43"/>
      <c r="XE20" s="43"/>
      <c r="XF20" s="43"/>
      <c r="XG20" s="43"/>
      <c r="XH20" s="43"/>
      <c r="XI20" s="43"/>
      <c r="XJ20" s="43"/>
      <c r="XK20" s="43"/>
      <c r="XL20" s="43"/>
      <c r="XM20" s="43"/>
      <c r="XN20" s="43"/>
      <c r="XO20" s="43"/>
      <c r="XP20" s="43"/>
      <c r="XQ20" s="43"/>
      <c r="XR20" s="43"/>
      <c r="XS20" s="43"/>
      <c r="XT20" s="43"/>
      <c r="XU20" s="43"/>
      <c r="XV20" s="43"/>
      <c r="XW20" s="43"/>
      <c r="XX20" s="43"/>
      <c r="XY20" s="43"/>
      <c r="XZ20" s="43"/>
      <c r="YA20" s="43"/>
      <c r="YB20" s="43"/>
      <c r="YC20" s="43"/>
      <c r="YD20" s="43"/>
      <c r="YE20" s="43"/>
      <c r="YF20" s="43"/>
      <c r="YG20" s="43"/>
      <c r="YH20" s="43"/>
      <c r="YI20" s="43"/>
      <c r="YJ20" s="43"/>
      <c r="YK20" s="43"/>
      <c r="YL20" s="43"/>
      <c r="YM20" s="43"/>
      <c r="YN20" s="43"/>
      <c r="YO20" s="43"/>
      <c r="YP20" s="43"/>
      <c r="YQ20" s="43"/>
      <c r="YR20" s="43"/>
      <c r="YS20" s="43"/>
      <c r="YT20" s="43"/>
      <c r="YU20" s="43"/>
      <c r="YV20" s="43"/>
      <c r="YW20" s="43"/>
      <c r="YX20" s="43"/>
      <c r="YY20" s="43"/>
      <c r="YZ20" s="43"/>
      <c r="ZA20" s="43"/>
      <c r="ZB20" s="43"/>
      <c r="ZC20" s="43"/>
      <c r="ZD20" s="43"/>
      <c r="ZE20" s="43"/>
      <c r="ZF20" s="43"/>
      <c r="ZG20" s="43"/>
      <c r="ZH20" s="43"/>
      <c r="ZI20" s="43"/>
      <c r="ZJ20" s="43"/>
      <c r="ZK20" s="43"/>
      <c r="ZL20" s="43"/>
      <c r="ZM20" s="43"/>
      <c r="ZN20" s="43"/>
      <c r="ZO20" s="43"/>
      <c r="ZP20" s="43"/>
      <c r="ZQ20" s="43"/>
      <c r="ZR20" s="43"/>
      <c r="ZS20" s="43"/>
      <c r="ZT20" s="43"/>
      <c r="ZU20" s="43"/>
      <c r="ZV20" s="43"/>
      <c r="ZW20" s="43"/>
      <c r="ZX20" s="43"/>
      <c r="ZY20" s="43"/>
      <c r="ZZ20" s="43"/>
      <c r="AAA20" s="43"/>
      <c r="AAB20" s="43"/>
      <c r="AAC20" s="43"/>
      <c r="AAD20" s="43"/>
      <c r="AAE20" s="43"/>
      <c r="AAF20" s="43"/>
      <c r="AAG20" s="43"/>
      <c r="AAH20" s="43"/>
      <c r="AAI20" s="43"/>
      <c r="AAJ20" s="43"/>
      <c r="AAK20" s="43"/>
      <c r="AAL20" s="43"/>
      <c r="AAM20" s="43"/>
      <c r="AAN20" s="43"/>
      <c r="AAO20" s="43"/>
      <c r="AAP20" s="43"/>
      <c r="AAQ20" s="43"/>
      <c r="AAR20" s="43"/>
      <c r="AAS20" s="43"/>
      <c r="AAT20" s="43"/>
      <c r="AAU20" s="43"/>
      <c r="AAV20" s="43"/>
      <c r="AAW20" s="43"/>
      <c r="AAX20" s="43"/>
      <c r="AAY20" s="43"/>
      <c r="AAZ20" s="43"/>
      <c r="ABA20" s="43"/>
      <c r="ABB20" s="43"/>
      <c r="ABC20" s="43"/>
      <c r="ABD20" s="43"/>
      <c r="ABE20" s="43"/>
      <c r="ABF20" s="43"/>
      <c r="ABG20" s="43"/>
      <c r="ABH20" s="43"/>
      <c r="ABI20" s="43"/>
      <c r="ABJ20" s="43"/>
      <c r="ABK20" s="43"/>
      <c r="ABL20" s="43"/>
      <c r="ABM20" s="43"/>
      <c r="ABN20" s="43"/>
      <c r="ABO20" s="43"/>
      <c r="ABP20" s="43"/>
      <c r="ABQ20" s="43"/>
      <c r="ABR20" s="43"/>
      <c r="ABS20" s="43"/>
      <c r="ABT20" s="43"/>
      <c r="ABU20" s="43"/>
      <c r="ABV20" s="43"/>
      <c r="ABW20" s="43"/>
      <c r="ABX20" s="43"/>
      <c r="ABY20" s="43"/>
      <c r="ABZ20" s="43"/>
      <c r="ACA20" s="43"/>
      <c r="ACB20" s="43"/>
      <c r="ACC20" s="43"/>
      <c r="ACD20" s="43"/>
      <c r="ACE20" s="43"/>
      <c r="ACF20" s="43"/>
      <c r="ACG20" s="43"/>
      <c r="ACH20" s="43"/>
      <c r="ACI20" s="43"/>
      <c r="ACJ20" s="43"/>
      <c r="ACK20" s="43"/>
      <c r="ACL20" s="43"/>
      <c r="ACM20" s="43"/>
      <c r="ACN20" s="43"/>
      <c r="ACO20" s="43"/>
      <c r="ACP20" s="43"/>
      <c r="ACQ20" s="43"/>
      <c r="ACR20" s="43"/>
      <c r="ACS20" s="43"/>
      <c r="ACT20" s="43"/>
      <c r="ACU20" s="43"/>
      <c r="ACV20" s="43"/>
      <c r="ACW20" s="43"/>
      <c r="ACX20" s="43"/>
      <c r="ACY20" s="43"/>
      <c r="ACZ20" s="43"/>
      <c r="ADA20" s="43"/>
      <c r="ADB20" s="43"/>
      <c r="ADC20" s="43"/>
      <c r="ADD20" s="43"/>
      <c r="ADE20" s="43"/>
      <c r="ADF20" s="43"/>
      <c r="ADG20" s="43"/>
      <c r="ADH20" s="43"/>
      <c r="ADI20" s="43"/>
      <c r="ADJ20" s="43"/>
      <c r="ADK20" s="43"/>
      <c r="ADL20" s="43"/>
      <c r="ADM20" s="43"/>
      <c r="ADN20" s="43"/>
      <c r="ADO20" s="43"/>
      <c r="ADP20" s="43"/>
      <c r="ADQ20" s="43"/>
      <c r="ADR20" s="43"/>
      <c r="ADS20" s="43"/>
      <c r="ADT20" s="43"/>
      <c r="ADU20" s="43"/>
      <c r="ADV20" s="43"/>
      <c r="ADW20" s="43"/>
      <c r="ADX20" s="43"/>
      <c r="ADY20" s="43"/>
      <c r="ADZ20" s="43"/>
      <c r="AEA20" s="43"/>
      <c r="AEB20" s="43"/>
      <c r="AEC20" s="43"/>
      <c r="AED20" s="43"/>
      <c r="AEE20" s="43"/>
      <c r="AEF20" s="43"/>
      <c r="AEG20" s="43"/>
      <c r="AEH20" s="43"/>
      <c r="AEI20" s="43"/>
      <c r="AEJ20" s="43"/>
      <c r="AEK20" s="43"/>
      <c r="AEL20" s="43"/>
      <c r="AEM20" s="43"/>
      <c r="AEN20" s="43"/>
      <c r="AEO20" s="43"/>
      <c r="AEP20" s="43"/>
      <c r="AEQ20" s="43"/>
      <c r="AER20" s="43"/>
      <c r="AES20" s="43"/>
      <c r="AET20" s="43"/>
      <c r="AEU20" s="43"/>
      <c r="AEV20" s="43"/>
      <c r="AEW20" s="43"/>
      <c r="AEX20" s="43"/>
      <c r="AEY20" s="43"/>
      <c r="AEZ20" s="43"/>
      <c r="AFA20" s="43"/>
      <c r="AFB20" s="43"/>
      <c r="AFC20" s="43"/>
      <c r="AFD20" s="43"/>
      <c r="AFE20" s="43"/>
      <c r="AFF20" s="43"/>
      <c r="AFG20" s="43"/>
      <c r="AFH20" s="43"/>
      <c r="AFI20" s="43"/>
      <c r="AFJ20" s="43"/>
      <c r="AFK20" s="43"/>
      <c r="AFL20" s="43"/>
      <c r="AFM20" s="43"/>
      <c r="AFN20" s="43"/>
      <c r="AFO20" s="43"/>
      <c r="AFP20" s="43"/>
      <c r="AFQ20" s="43"/>
      <c r="AFR20" s="43"/>
      <c r="AFS20" s="43"/>
      <c r="AFT20" s="43"/>
      <c r="AFU20" s="43"/>
      <c r="AFV20" s="43"/>
      <c r="AFW20" s="43"/>
      <c r="AFX20" s="43"/>
      <c r="AFY20" s="43"/>
      <c r="AFZ20" s="43"/>
      <c r="AGA20" s="43"/>
      <c r="AGB20" s="43"/>
      <c r="AGC20" s="43"/>
      <c r="AGD20" s="43"/>
      <c r="AGE20" s="43"/>
      <c r="AGF20" s="43"/>
      <c r="AGG20" s="43"/>
      <c r="AGH20" s="43"/>
      <c r="AGI20" s="43"/>
      <c r="AGJ20" s="43"/>
      <c r="AGK20" s="43"/>
      <c r="AGL20" s="43"/>
      <c r="AGM20" s="43"/>
      <c r="AGN20" s="43"/>
      <c r="AGO20" s="43"/>
      <c r="AGP20" s="43"/>
      <c r="AGQ20" s="43"/>
      <c r="AGR20" s="43"/>
      <c r="AGS20" s="43"/>
      <c r="AGT20" s="43"/>
      <c r="AGU20" s="43"/>
      <c r="AGV20" s="43"/>
      <c r="AGW20" s="43"/>
      <c r="AGX20" s="43"/>
      <c r="AGY20" s="43"/>
      <c r="AGZ20" s="43"/>
      <c r="AHA20" s="43"/>
      <c r="AHB20" s="43"/>
      <c r="AHC20" s="43"/>
      <c r="AHD20" s="43"/>
      <c r="AHE20" s="43"/>
      <c r="AHF20" s="43"/>
      <c r="AHG20" s="43"/>
      <c r="AHH20" s="43"/>
      <c r="AHI20" s="43"/>
      <c r="AHJ20" s="43"/>
      <c r="AHK20" s="43"/>
      <c r="AHL20" s="43"/>
      <c r="AHM20" s="43"/>
      <c r="AHN20" s="43"/>
      <c r="AHO20" s="43"/>
      <c r="AHP20" s="43"/>
      <c r="AHQ20" s="43"/>
      <c r="AHR20" s="43"/>
      <c r="AHS20" s="43"/>
      <c r="AHT20" s="43"/>
      <c r="AHU20" s="43"/>
      <c r="AHV20" s="43"/>
      <c r="AHW20" s="43"/>
      <c r="AHX20" s="43"/>
      <c r="AHY20" s="43"/>
      <c r="AHZ20" s="43"/>
      <c r="AIA20" s="43"/>
      <c r="AIB20" s="43"/>
      <c r="AIC20" s="43"/>
      <c r="AID20" s="43"/>
      <c r="AIE20" s="43"/>
      <c r="AIF20" s="43"/>
      <c r="AIG20" s="43"/>
      <c r="AIH20" s="43"/>
      <c r="AII20" s="43"/>
      <c r="AIJ20" s="43"/>
      <c r="AIK20" s="43"/>
      <c r="AIL20" s="43"/>
      <c r="AIM20" s="43"/>
      <c r="AIN20" s="43"/>
      <c r="AIO20" s="43"/>
      <c r="AIP20" s="43"/>
      <c r="AIQ20" s="43"/>
      <c r="AIR20" s="43"/>
      <c r="AIS20" s="43"/>
      <c r="AIT20" s="43"/>
      <c r="AIU20" s="43"/>
      <c r="AIV20" s="43"/>
      <c r="AIW20" s="43"/>
      <c r="AIX20" s="43"/>
      <c r="AIY20" s="43"/>
      <c r="AIZ20" s="43"/>
      <c r="AJA20" s="43"/>
      <c r="AJB20" s="43"/>
      <c r="AJC20" s="43"/>
      <c r="AJD20" s="43"/>
      <c r="AJE20" s="43"/>
      <c r="AJF20" s="43"/>
      <c r="AJG20" s="43"/>
      <c r="AJH20" s="43"/>
      <c r="AJI20" s="43"/>
      <c r="AJJ20" s="43"/>
      <c r="AJK20" s="43"/>
      <c r="AJL20" s="43"/>
      <c r="AJM20" s="43"/>
      <c r="AJN20" s="43"/>
      <c r="AJO20" s="43"/>
      <c r="AJP20" s="43"/>
      <c r="AJQ20" s="43"/>
      <c r="AJR20" s="43"/>
      <c r="AJS20" s="43"/>
      <c r="AJT20" s="43"/>
      <c r="AJU20" s="43"/>
      <c r="AJV20" s="43"/>
      <c r="AJW20" s="43"/>
      <c r="AJX20" s="43"/>
      <c r="AJY20" s="43"/>
      <c r="AJZ20" s="43"/>
      <c r="AKA20" s="43"/>
      <c r="AKB20" s="43"/>
      <c r="AKC20" s="43"/>
      <c r="AKD20" s="43"/>
      <c r="AKE20" s="43"/>
      <c r="AKF20" s="43"/>
      <c r="AKG20" s="43"/>
      <c r="AKH20" s="43"/>
      <c r="AKI20" s="43"/>
      <c r="AKJ20" s="43"/>
      <c r="AKK20" s="43"/>
      <c r="AKL20" s="43"/>
      <c r="AKM20" s="43"/>
      <c r="AKN20" s="43"/>
      <c r="AKO20" s="43"/>
      <c r="AKP20" s="43"/>
      <c r="AKQ20" s="43"/>
      <c r="AKR20" s="43"/>
      <c r="AKS20" s="43"/>
      <c r="AKT20" s="43"/>
      <c r="AKU20" s="43"/>
      <c r="AKV20" s="43"/>
      <c r="AKW20" s="43"/>
      <c r="AKX20" s="43"/>
      <c r="AKY20" s="43"/>
      <c r="AKZ20" s="43"/>
      <c r="ALA20" s="43"/>
      <c r="ALB20" s="43"/>
      <c r="ALC20" s="43"/>
      <c r="ALD20" s="43"/>
      <c r="ALE20" s="43"/>
      <c r="ALF20" s="43"/>
      <c r="ALG20" s="43"/>
      <c r="ALH20" s="43"/>
      <c r="ALI20" s="43"/>
      <c r="ALJ20" s="43"/>
      <c r="ALK20" s="43"/>
      <c r="ALL20" s="43"/>
      <c r="ALM20" s="43"/>
      <c r="ALN20" s="43"/>
      <c r="ALO20" s="43"/>
      <c r="ALP20" s="43"/>
      <c r="ALQ20" s="43"/>
      <c r="ALR20" s="43"/>
      <c r="ALS20" s="43"/>
      <c r="ALT20" s="43"/>
      <c r="ALU20" s="43"/>
      <c r="ALV20" s="43"/>
      <c r="ALW20" s="43"/>
      <c r="ALX20" s="43"/>
      <c r="ALY20" s="43"/>
      <c r="ALZ20" s="43"/>
      <c r="AMA20" s="43"/>
      <c r="AMB20" s="43"/>
      <c r="AMC20" s="43"/>
      <c r="AMD20" s="43"/>
      <c r="AME20" s="43"/>
      <c r="AMF20" s="43"/>
      <c r="AMG20" s="43"/>
      <c r="AMH20" s="43"/>
      <c r="AMI20" s="43"/>
      <c r="AMJ20" s="43"/>
      <c r="AMK20" s="43"/>
      <c r="AML20" s="43"/>
      <c r="AMM20" s="43"/>
      <c r="AMN20" s="43"/>
      <c r="AMO20" s="43"/>
      <c r="AMP20" s="43"/>
      <c r="AMQ20" s="43"/>
      <c r="AMR20" s="43"/>
      <c r="AMS20" s="43"/>
      <c r="AMT20" s="43"/>
      <c r="AMU20" s="43"/>
      <c r="AMV20" s="43"/>
      <c r="AMW20" s="43"/>
      <c r="AMX20" s="43"/>
      <c r="AMY20" s="43"/>
      <c r="AMZ20" s="43"/>
      <c r="ANA20" s="43"/>
      <c r="ANB20" s="43"/>
      <c r="ANC20" s="43"/>
      <c r="AND20" s="43"/>
      <c r="ANE20" s="43"/>
      <c r="ANF20" s="43"/>
      <c r="ANG20" s="43"/>
      <c r="ANH20" s="43"/>
      <c r="ANI20" s="43"/>
      <c r="ANJ20" s="43"/>
      <c r="ANK20" s="43"/>
      <c r="ANL20" s="43"/>
      <c r="ANM20" s="43"/>
      <c r="ANN20" s="43"/>
      <c r="ANO20" s="43"/>
      <c r="ANP20" s="43"/>
      <c r="ANQ20" s="43"/>
      <c r="ANR20" s="43"/>
      <c r="ANS20" s="43"/>
      <c r="ANT20" s="43"/>
      <c r="ANU20" s="43"/>
      <c r="ANV20" s="43"/>
      <c r="ANW20" s="43"/>
      <c r="ANX20" s="43"/>
      <c r="ANY20" s="43"/>
      <c r="ANZ20" s="43"/>
      <c r="AOA20" s="43"/>
      <c r="AOB20" s="43"/>
      <c r="AOC20" s="43"/>
      <c r="AOD20" s="43"/>
      <c r="AOE20" s="43"/>
      <c r="AOF20" s="43"/>
      <c r="AOG20" s="43"/>
      <c r="AOH20" s="43"/>
      <c r="AOI20" s="43"/>
      <c r="AOJ20" s="43"/>
      <c r="AOK20" s="43"/>
      <c r="AOL20" s="43"/>
      <c r="AOM20" s="43"/>
      <c r="AON20" s="43"/>
      <c r="AOO20" s="43"/>
      <c r="AOP20" s="43"/>
      <c r="AOQ20" s="43"/>
      <c r="AOR20" s="43"/>
      <c r="AOS20" s="43"/>
      <c r="AOT20" s="43"/>
      <c r="AOU20" s="43"/>
      <c r="AOV20" s="43"/>
      <c r="AOW20" s="43"/>
      <c r="AOX20" s="43"/>
      <c r="AOY20" s="43"/>
      <c r="AOZ20" s="43"/>
      <c r="APA20" s="43"/>
      <c r="APB20" s="43"/>
      <c r="APC20" s="43"/>
      <c r="APD20" s="43"/>
      <c r="APE20" s="43"/>
      <c r="APF20" s="43"/>
      <c r="APG20" s="43"/>
      <c r="APH20" s="43"/>
      <c r="API20" s="43"/>
      <c r="APJ20" s="43"/>
      <c r="APK20" s="43"/>
      <c r="APL20" s="43"/>
      <c r="APM20" s="43"/>
      <c r="APN20" s="43"/>
      <c r="APO20" s="43"/>
      <c r="APP20" s="43"/>
      <c r="APQ20" s="43"/>
      <c r="APR20" s="43"/>
      <c r="APS20" s="43"/>
      <c r="APT20" s="43"/>
      <c r="APU20" s="43"/>
      <c r="APV20" s="43"/>
      <c r="APW20" s="43"/>
      <c r="APX20" s="43"/>
      <c r="APY20" s="43"/>
      <c r="APZ20" s="43"/>
      <c r="AQA20" s="43"/>
      <c r="AQB20" s="43"/>
      <c r="AQC20" s="43"/>
      <c r="AQD20" s="43"/>
      <c r="AQE20" s="43"/>
      <c r="AQF20" s="43"/>
      <c r="AQG20" s="43"/>
      <c r="AQH20" s="43"/>
      <c r="AQI20" s="43"/>
      <c r="AQJ20" s="43"/>
      <c r="AQK20" s="43"/>
      <c r="AQL20" s="43"/>
      <c r="AQM20" s="43"/>
      <c r="AQN20" s="43"/>
      <c r="AQO20" s="43"/>
      <c r="AQP20" s="43"/>
      <c r="AQQ20" s="43"/>
      <c r="AQR20" s="43"/>
      <c r="AQS20" s="43"/>
      <c r="AQT20" s="43"/>
      <c r="AQU20" s="43"/>
      <c r="AQV20" s="43"/>
      <c r="AQW20" s="43"/>
      <c r="AQX20" s="43"/>
      <c r="AQY20" s="43"/>
      <c r="AQZ20" s="43"/>
      <c r="ARA20" s="43"/>
      <c r="ARB20" s="43"/>
      <c r="ARC20" s="43"/>
      <c r="ARD20" s="43"/>
      <c r="ARE20" s="43"/>
      <c r="ARF20" s="43"/>
      <c r="ARG20" s="43"/>
      <c r="ARH20" s="43"/>
      <c r="ARI20" s="43"/>
      <c r="ARJ20" s="43"/>
      <c r="ARK20" s="43"/>
      <c r="ARL20" s="43"/>
      <c r="ARM20" s="43"/>
      <c r="ARN20" s="43"/>
      <c r="ARO20" s="43"/>
      <c r="ARP20" s="43"/>
      <c r="ARQ20" s="43"/>
      <c r="ARR20" s="43"/>
      <c r="ARS20" s="43"/>
      <c r="ART20" s="43"/>
      <c r="ARU20" s="43"/>
      <c r="ARV20" s="43"/>
      <c r="ARW20" s="43"/>
      <c r="ARX20" s="43"/>
      <c r="ARY20" s="43"/>
      <c r="ARZ20" s="43"/>
      <c r="ASA20" s="43"/>
      <c r="ASB20" s="43"/>
      <c r="ASC20" s="43"/>
      <c r="ASD20" s="43"/>
      <c r="ASE20" s="43"/>
      <c r="ASF20" s="43"/>
      <c r="ASG20" s="43"/>
      <c r="ASH20" s="43"/>
      <c r="ASI20" s="43"/>
      <c r="ASJ20" s="43"/>
      <c r="ASK20" s="43"/>
      <c r="ASL20" s="43"/>
      <c r="ASM20" s="43"/>
      <c r="ASN20" s="43"/>
      <c r="ASO20" s="43"/>
      <c r="ASP20" s="43"/>
      <c r="ASQ20" s="43"/>
      <c r="ASR20" s="43"/>
      <c r="ASS20" s="43"/>
      <c r="AST20" s="43"/>
      <c r="ASU20" s="43"/>
      <c r="ASV20" s="43"/>
      <c r="ASW20" s="43"/>
      <c r="ASX20" s="43"/>
      <c r="ASY20" s="43"/>
      <c r="ASZ20" s="43"/>
      <c r="ATA20" s="43"/>
      <c r="ATB20" s="43"/>
      <c r="ATC20" s="43"/>
      <c r="ATD20" s="43"/>
      <c r="ATE20" s="43"/>
      <c r="ATF20" s="43"/>
      <c r="ATG20" s="43"/>
      <c r="ATH20" s="43"/>
      <c r="ATI20" s="43"/>
      <c r="ATJ20" s="43"/>
      <c r="ATK20" s="43"/>
      <c r="ATL20" s="43"/>
      <c r="ATM20" s="43"/>
      <c r="ATN20" s="43"/>
      <c r="ATO20" s="43"/>
      <c r="ATP20" s="43"/>
      <c r="ATQ20" s="43"/>
      <c r="ATR20" s="43"/>
      <c r="ATS20" s="43"/>
      <c r="ATT20" s="43"/>
      <c r="ATU20" s="43"/>
      <c r="ATV20" s="43"/>
      <c r="ATW20" s="43"/>
      <c r="ATX20" s="43"/>
      <c r="ATY20" s="43"/>
      <c r="ATZ20" s="43"/>
      <c r="AUA20" s="43"/>
      <c r="AUB20" s="43"/>
      <c r="AUC20" s="43"/>
      <c r="AUD20" s="43"/>
      <c r="AUE20" s="43"/>
      <c r="AUF20" s="43"/>
      <c r="AUG20" s="43"/>
      <c r="AUH20" s="43"/>
      <c r="AUI20" s="43"/>
      <c r="AUJ20" s="43"/>
      <c r="AUK20" s="43"/>
      <c r="AUL20" s="43"/>
      <c r="AUM20" s="43"/>
      <c r="AUN20" s="43"/>
      <c r="AUO20" s="43"/>
      <c r="AUP20" s="43"/>
      <c r="AUQ20" s="43"/>
      <c r="AUR20" s="43"/>
      <c r="AUS20" s="43"/>
      <c r="AUT20" s="43"/>
      <c r="AUU20" s="43"/>
      <c r="AUV20" s="43"/>
      <c r="AUW20" s="43"/>
      <c r="AUX20" s="43"/>
      <c r="AUY20" s="43"/>
      <c r="AUZ20" s="43"/>
      <c r="AVA20" s="43"/>
      <c r="AVB20" s="43"/>
      <c r="AVC20" s="43"/>
      <c r="AVD20" s="43"/>
      <c r="AVE20" s="43"/>
      <c r="AVF20" s="43"/>
      <c r="AVG20" s="43"/>
      <c r="AVH20" s="43"/>
      <c r="AVI20" s="43"/>
      <c r="AVJ20" s="43"/>
      <c r="AVK20" s="43"/>
      <c r="AVL20" s="43"/>
      <c r="AVM20" s="43"/>
      <c r="AVN20" s="43"/>
      <c r="AVO20" s="43"/>
      <c r="AVP20" s="43"/>
      <c r="AVQ20" s="43"/>
      <c r="AVR20" s="43"/>
      <c r="AVS20" s="43"/>
      <c r="AVT20" s="43"/>
      <c r="AVU20" s="43"/>
      <c r="AVV20" s="43"/>
      <c r="AVW20" s="43"/>
      <c r="AVX20" s="43"/>
      <c r="AVY20" s="43"/>
      <c r="AVZ20" s="43"/>
      <c r="AWA20" s="43"/>
      <c r="AWB20" s="43"/>
      <c r="AWC20" s="43"/>
      <c r="AWD20" s="43"/>
      <c r="AWE20" s="43"/>
      <c r="AWF20" s="43"/>
      <c r="AWG20" s="43"/>
      <c r="AWH20" s="43"/>
      <c r="AWI20" s="43"/>
      <c r="AWJ20" s="43"/>
      <c r="AWK20" s="43"/>
      <c r="AWL20" s="43"/>
      <c r="AWM20" s="43"/>
      <c r="AWN20" s="43"/>
      <c r="AWO20" s="43"/>
      <c r="AWP20" s="43"/>
      <c r="AWQ20" s="43"/>
      <c r="AWR20" s="43"/>
      <c r="AWS20" s="43"/>
      <c r="AWT20" s="43"/>
      <c r="AWU20" s="43"/>
      <c r="AWV20" s="43"/>
      <c r="AWW20" s="43"/>
      <c r="AWX20" s="43"/>
      <c r="AWY20" s="43"/>
      <c r="AWZ20" s="43"/>
      <c r="AXA20" s="43"/>
      <c r="AXB20" s="43"/>
      <c r="AXC20" s="43"/>
      <c r="AXD20" s="43"/>
      <c r="AXE20" s="43"/>
      <c r="AXF20" s="43"/>
      <c r="AXG20" s="43"/>
      <c r="AXH20" s="43"/>
      <c r="AXI20" s="43"/>
      <c r="AXJ20" s="43"/>
      <c r="AXK20" s="43"/>
      <c r="AXL20" s="43"/>
      <c r="AXM20" s="43"/>
      <c r="AXN20" s="43"/>
      <c r="AXO20" s="43"/>
      <c r="AXP20" s="43"/>
      <c r="AXQ20" s="43"/>
      <c r="AXR20" s="43"/>
      <c r="AXS20" s="43"/>
      <c r="AXT20" s="43"/>
      <c r="AXU20" s="43"/>
      <c r="AXV20" s="43"/>
      <c r="AXW20" s="43"/>
      <c r="AXX20" s="43"/>
      <c r="AXY20" s="43"/>
      <c r="AXZ20" s="43"/>
      <c r="AYA20" s="43"/>
      <c r="AYB20" s="43"/>
      <c r="AYC20" s="43"/>
      <c r="AYD20" s="43"/>
      <c r="AYE20" s="43"/>
      <c r="AYF20" s="43"/>
      <c r="AYG20" s="43"/>
      <c r="AYH20" s="43"/>
      <c r="AYI20" s="43"/>
      <c r="AYJ20" s="43"/>
      <c r="AYK20" s="43"/>
      <c r="AYL20" s="43"/>
      <c r="AYM20" s="43"/>
      <c r="AYN20" s="43"/>
      <c r="AYO20" s="43"/>
      <c r="AYP20" s="43"/>
      <c r="AYQ20" s="43"/>
      <c r="AYR20" s="43"/>
      <c r="AYS20" s="43"/>
      <c r="AYT20" s="43"/>
      <c r="AYU20" s="43"/>
      <c r="AYV20" s="43"/>
      <c r="AYW20" s="43"/>
      <c r="AYX20" s="43"/>
      <c r="AYY20" s="43"/>
      <c r="AYZ20" s="43"/>
      <c r="AZA20" s="43"/>
      <c r="AZB20" s="43"/>
      <c r="AZC20" s="43"/>
      <c r="AZD20" s="43"/>
      <c r="AZE20" s="43"/>
      <c r="AZF20" s="43"/>
      <c r="AZG20" s="43"/>
      <c r="AZH20" s="43"/>
      <c r="AZI20" s="43"/>
      <c r="AZJ20" s="43"/>
      <c r="AZK20" s="43"/>
      <c r="AZL20" s="43"/>
      <c r="AZM20" s="43"/>
      <c r="AZN20" s="43"/>
      <c r="AZO20" s="43"/>
      <c r="AZP20" s="43"/>
      <c r="AZQ20" s="43"/>
      <c r="AZR20" s="43"/>
      <c r="AZS20" s="43"/>
      <c r="AZT20" s="43"/>
      <c r="AZU20" s="43"/>
      <c r="AZV20" s="43"/>
      <c r="AZW20" s="43"/>
      <c r="AZX20" s="43"/>
      <c r="AZY20" s="43"/>
      <c r="AZZ20" s="43"/>
      <c r="BAA20" s="43"/>
      <c r="BAB20" s="43"/>
      <c r="BAC20" s="43"/>
      <c r="BAD20" s="43"/>
      <c r="BAE20" s="43"/>
      <c r="BAF20" s="43"/>
      <c r="BAG20" s="43"/>
      <c r="BAH20" s="43"/>
      <c r="BAI20" s="43"/>
      <c r="BAJ20" s="43"/>
      <c r="BAK20" s="43"/>
      <c r="BAL20" s="43"/>
      <c r="BAM20" s="43"/>
      <c r="BAN20" s="43"/>
      <c r="BAO20" s="43"/>
      <c r="BAP20" s="43"/>
      <c r="BAQ20" s="43"/>
      <c r="BAR20" s="43"/>
      <c r="BAS20" s="43"/>
      <c r="BAT20" s="43"/>
      <c r="BAU20" s="43"/>
      <c r="BAV20" s="43"/>
      <c r="BAW20" s="43"/>
      <c r="BAX20" s="43"/>
      <c r="BAY20" s="43"/>
      <c r="BAZ20" s="43"/>
      <c r="BBA20" s="43"/>
      <c r="BBB20" s="43"/>
      <c r="BBC20" s="43"/>
      <c r="BBD20" s="43"/>
      <c r="BBE20" s="43"/>
      <c r="BBF20" s="43"/>
      <c r="BBG20" s="43"/>
      <c r="BBH20" s="43"/>
      <c r="BBI20" s="43"/>
      <c r="BBJ20" s="43"/>
      <c r="BBK20" s="43"/>
      <c r="BBL20" s="43"/>
      <c r="BBM20" s="43"/>
      <c r="BBN20" s="43"/>
      <c r="BBO20" s="43"/>
      <c r="BBP20" s="43"/>
      <c r="BBQ20" s="43"/>
      <c r="BBR20" s="43"/>
      <c r="BBS20" s="43"/>
      <c r="BBT20" s="43"/>
      <c r="BBU20" s="43"/>
      <c r="BBV20" s="43"/>
      <c r="BBW20" s="43"/>
      <c r="BBX20" s="43"/>
      <c r="BBY20" s="43"/>
      <c r="BBZ20" s="43"/>
      <c r="BCA20" s="43"/>
      <c r="BCB20" s="43"/>
      <c r="BCC20" s="43"/>
      <c r="BCD20" s="43"/>
      <c r="BCE20" s="43"/>
      <c r="BCF20" s="43"/>
      <c r="BCG20" s="43"/>
      <c r="BCH20" s="43"/>
      <c r="BCI20" s="43"/>
      <c r="BCJ20" s="43"/>
      <c r="BCK20" s="43"/>
      <c r="BCL20" s="43"/>
      <c r="BCM20" s="43"/>
      <c r="BCN20" s="43"/>
      <c r="BCO20" s="43"/>
      <c r="BCP20" s="43"/>
      <c r="BCQ20" s="43"/>
    </row>
    <row r="21" spans="1:1447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55"/>
      <c r="GF21" s="56" t="s">
        <v>621</v>
      </c>
      <c r="GG21" s="55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  <c r="QI21" s="43"/>
      <c r="QJ21" s="43"/>
      <c r="QK21" s="43"/>
      <c r="QL21" s="43"/>
      <c r="QM21" s="43"/>
      <c r="QN21" s="43"/>
      <c r="QO21" s="43"/>
      <c r="QP21" s="43"/>
      <c r="QQ21" s="43"/>
      <c r="QR21" s="43"/>
      <c r="QS21" s="43"/>
      <c r="QT21" s="43"/>
      <c r="QU21" s="43"/>
      <c r="QV21" s="43"/>
      <c r="QW21" s="43"/>
      <c r="QX21" s="43"/>
      <c r="QY21" s="43"/>
      <c r="QZ21" s="43"/>
      <c r="RA21" s="43"/>
      <c r="RB21" s="43"/>
      <c r="RC21" s="43"/>
      <c r="RD21" s="43"/>
      <c r="RE21" s="43"/>
      <c r="RF21" s="43"/>
      <c r="RG21" s="43"/>
      <c r="RH21" s="43"/>
      <c r="RI21" s="43"/>
      <c r="RJ21" s="43"/>
      <c r="RK21" s="43"/>
      <c r="RL21" s="43"/>
      <c r="RM21" s="43"/>
      <c r="RN21" s="43"/>
      <c r="RO21" s="43"/>
      <c r="RP21" s="43"/>
      <c r="RQ21" s="43"/>
      <c r="RR21" s="43"/>
      <c r="RS21" s="43"/>
      <c r="RT21" s="43"/>
      <c r="RU21" s="43"/>
      <c r="RV21" s="43"/>
      <c r="RW21" s="43"/>
      <c r="RX21" s="43"/>
      <c r="RY21" s="43"/>
      <c r="RZ21" s="43"/>
      <c r="SA21" s="43"/>
      <c r="SB21" s="43"/>
      <c r="SC21" s="43"/>
      <c r="SD21" s="43"/>
      <c r="SE21" s="43"/>
      <c r="SF21" s="43"/>
      <c r="SG21" s="43"/>
      <c r="SH21" s="43"/>
      <c r="SI21" s="43"/>
      <c r="SJ21" s="43"/>
      <c r="SK21" s="43"/>
      <c r="SL21" s="43"/>
      <c r="SM21" s="43"/>
      <c r="SN21" s="43"/>
      <c r="SO21" s="43"/>
      <c r="SP21" s="43"/>
      <c r="SQ21" s="43"/>
      <c r="SR21" s="43"/>
      <c r="SS21" s="43"/>
      <c r="ST21" s="43"/>
      <c r="SU21" s="43"/>
      <c r="SV21" s="43"/>
      <c r="SW21" s="43"/>
      <c r="SX21" s="43"/>
      <c r="SY21" s="43"/>
      <c r="SZ21" s="43"/>
      <c r="TA21" s="43"/>
      <c r="TB21" s="43"/>
      <c r="TC21" s="43"/>
      <c r="TD21" s="43"/>
      <c r="TE21" s="43"/>
      <c r="TF21" s="43"/>
      <c r="TG21" s="43"/>
      <c r="TH21" s="43"/>
      <c r="TI21" s="43"/>
      <c r="TJ21" s="43"/>
      <c r="TK21" s="43"/>
      <c r="TL21" s="43"/>
      <c r="TM21" s="43"/>
      <c r="TN21" s="43"/>
      <c r="TO21" s="43"/>
      <c r="TP21" s="43"/>
      <c r="TQ21" s="43"/>
      <c r="TR21" s="43"/>
      <c r="TS21" s="43"/>
      <c r="TT21" s="43"/>
      <c r="TU21" s="43"/>
      <c r="TV21" s="58" t="s">
        <v>271</v>
      </c>
      <c r="TW21" s="58"/>
      <c r="TX21" s="43"/>
      <c r="TY21" s="43"/>
      <c r="TZ21" s="43"/>
      <c r="UA21" s="43"/>
      <c r="UB21" s="43"/>
      <c r="UC21" s="43"/>
      <c r="UD21" s="43"/>
      <c r="UE21" s="43"/>
      <c r="UF21" s="43"/>
      <c r="UG21" s="43"/>
      <c r="UH21" s="43"/>
      <c r="UI21" s="43"/>
      <c r="UJ21" s="43"/>
      <c r="UK21" s="43"/>
      <c r="UL21" s="43"/>
      <c r="UM21" s="43"/>
      <c r="UN21" s="43"/>
      <c r="UO21" s="43"/>
      <c r="UP21" s="43"/>
      <c r="UQ21" s="43"/>
      <c r="UR21" s="43"/>
      <c r="US21" s="43"/>
      <c r="UT21" s="43"/>
      <c r="UU21" s="43"/>
      <c r="UV21" s="43"/>
      <c r="UW21" s="43"/>
      <c r="UX21" s="43"/>
      <c r="UY21" s="43"/>
      <c r="UZ21" s="43"/>
      <c r="VA21" s="43"/>
      <c r="VB21" s="43"/>
      <c r="VC21" s="43"/>
      <c r="VD21" s="43"/>
      <c r="VE21" s="43"/>
      <c r="VF21" s="43"/>
      <c r="VG21" s="43"/>
      <c r="VH21" s="43"/>
      <c r="VI21" s="43"/>
      <c r="VJ21" s="43"/>
      <c r="VK21" s="43"/>
      <c r="VL21" s="43"/>
      <c r="VM21" s="43"/>
      <c r="VN21" s="43"/>
      <c r="VO21" s="43"/>
      <c r="VP21" s="43"/>
      <c r="VQ21" s="43"/>
      <c r="VR21" s="43"/>
      <c r="VS21" s="43"/>
      <c r="VT21" s="43"/>
      <c r="VU21" s="43"/>
      <c r="VV21" s="43"/>
      <c r="VW21" s="43"/>
      <c r="VX21" s="43"/>
      <c r="VY21" s="43"/>
      <c r="VZ21" s="43"/>
      <c r="WA21" s="43"/>
      <c r="WB21" s="43"/>
      <c r="WC21" s="43"/>
      <c r="WD21" s="43"/>
      <c r="WE21" s="43"/>
      <c r="WF21" s="43"/>
      <c r="WG21" s="43"/>
      <c r="WH21" s="43"/>
      <c r="WI21" s="43"/>
      <c r="WJ21" s="43"/>
      <c r="WK21" s="43"/>
      <c r="WL21" s="43"/>
      <c r="WM21" s="43"/>
      <c r="WN21" s="43"/>
      <c r="WO21" s="43"/>
      <c r="WP21" s="43"/>
      <c r="WQ21" s="43"/>
      <c r="WR21" s="43"/>
      <c r="WS21" s="43"/>
      <c r="WT21" s="43"/>
      <c r="WU21" s="43"/>
      <c r="WV21" s="43"/>
      <c r="WW21" s="43"/>
      <c r="WX21" s="43"/>
      <c r="WY21" s="43"/>
      <c r="WZ21" s="43"/>
      <c r="XA21" s="43"/>
      <c r="XB21" s="43"/>
      <c r="XC21" s="43"/>
      <c r="XD21" s="43"/>
      <c r="XE21" s="43"/>
      <c r="XF21" s="43"/>
      <c r="XG21" s="43"/>
      <c r="XH21" s="43"/>
      <c r="XI21" s="43"/>
      <c r="XJ21" s="43"/>
      <c r="XK21" s="43"/>
      <c r="XL21" s="43"/>
      <c r="XM21" s="43"/>
      <c r="XN21" s="43"/>
      <c r="XO21" s="43"/>
      <c r="XP21" s="43"/>
      <c r="XQ21" s="43"/>
      <c r="XR21" s="43"/>
      <c r="XS21" s="43"/>
      <c r="XT21" s="43"/>
      <c r="XU21" s="43"/>
      <c r="XV21" s="43"/>
      <c r="XW21" s="43"/>
      <c r="XX21" s="43"/>
      <c r="XY21" s="43"/>
      <c r="XZ21" s="43"/>
      <c r="YA21" s="43"/>
      <c r="YB21" s="43"/>
      <c r="YC21" s="43"/>
      <c r="YD21" s="43"/>
      <c r="YE21" s="43"/>
      <c r="YF21" s="43"/>
      <c r="YG21" s="43"/>
      <c r="YH21" s="43"/>
      <c r="YI21" s="43"/>
      <c r="YJ21" s="43"/>
      <c r="YK21" s="43"/>
      <c r="YL21" s="43"/>
      <c r="YM21" s="43"/>
      <c r="YN21" s="43"/>
      <c r="YO21" s="43"/>
      <c r="YP21" s="43"/>
      <c r="YQ21" s="43"/>
      <c r="YR21" s="43"/>
      <c r="YS21" s="43"/>
      <c r="YT21" s="43"/>
      <c r="YU21" s="43"/>
      <c r="YV21" s="43"/>
      <c r="YW21" s="43"/>
      <c r="YX21" s="43"/>
      <c r="YY21" s="43"/>
      <c r="YZ21" s="43"/>
      <c r="ZA21" s="43"/>
      <c r="ZB21" s="43"/>
      <c r="ZC21" s="43"/>
      <c r="ZD21" s="43"/>
      <c r="ZE21" s="43"/>
      <c r="ZF21" s="43"/>
      <c r="ZG21" s="43"/>
      <c r="ZH21" s="43"/>
      <c r="ZI21" s="43"/>
      <c r="ZJ21" s="43"/>
      <c r="ZK21" s="43"/>
      <c r="ZL21" s="43"/>
      <c r="ZM21" s="43"/>
      <c r="ZN21" s="43"/>
      <c r="ZO21" s="43"/>
      <c r="ZP21" s="43"/>
      <c r="ZQ21" s="43"/>
      <c r="ZR21" s="43"/>
      <c r="ZS21" s="43"/>
      <c r="ZT21" s="43"/>
      <c r="ZU21" s="43"/>
      <c r="ZV21" s="43"/>
      <c r="ZW21" s="43"/>
      <c r="ZX21" s="43"/>
      <c r="ZY21" s="43"/>
      <c r="ZZ21" s="43"/>
      <c r="AAA21" s="43"/>
      <c r="AAB21" s="43"/>
      <c r="AAC21" s="43"/>
      <c r="AAD21" s="43"/>
      <c r="AAE21" s="43"/>
      <c r="AAF21" s="43"/>
      <c r="AAG21" s="43"/>
      <c r="AAH21" s="43"/>
      <c r="AAI21" s="43"/>
      <c r="AAJ21" s="43"/>
      <c r="AAK21" s="43"/>
      <c r="AAL21" s="43"/>
      <c r="AAM21" s="43"/>
      <c r="AAN21" s="43"/>
      <c r="AAO21" s="43"/>
      <c r="AAP21" s="43"/>
      <c r="AAQ21" s="43"/>
      <c r="AAR21" s="43"/>
      <c r="AAS21" s="43"/>
      <c r="AAT21" s="43"/>
      <c r="AAU21" s="43"/>
      <c r="AAV21" s="43"/>
      <c r="AAW21" s="43"/>
      <c r="AAX21" s="43"/>
      <c r="AAY21" s="43"/>
      <c r="AAZ21" s="43"/>
      <c r="ABA21" s="43"/>
      <c r="ABB21" s="43"/>
      <c r="ABC21" s="43"/>
      <c r="ABD21" s="43"/>
      <c r="ABE21" s="43"/>
      <c r="ABF21" s="43"/>
      <c r="ABG21" s="43"/>
      <c r="ABH21" s="43"/>
      <c r="ABI21" s="43"/>
      <c r="ABJ21" s="43"/>
      <c r="ABK21" s="43"/>
      <c r="ABL21" s="43"/>
      <c r="ABM21" s="43"/>
      <c r="ABN21" s="43"/>
      <c r="ABO21" s="43"/>
      <c r="ABP21" s="43"/>
      <c r="ABQ21" s="43"/>
      <c r="ABR21" s="43"/>
      <c r="ABS21" s="43"/>
      <c r="ABT21" s="43"/>
      <c r="ABU21" s="43"/>
      <c r="ABV21" s="43"/>
      <c r="ABW21" s="43"/>
      <c r="ABX21" s="43"/>
      <c r="ABY21" s="43"/>
      <c r="ABZ21" s="43"/>
      <c r="ACA21" s="43"/>
      <c r="ACB21" s="43"/>
      <c r="ACC21" s="43"/>
      <c r="ACD21" s="43"/>
      <c r="ACE21" s="43"/>
      <c r="ACF21" s="43"/>
      <c r="ACG21" s="43"/>
      <c r="ACH21" s="43"/>
      <c r="ACI21" s="43"/>
      <c r="ACJ21" s="43"/>
      <c r="ACK21" s="43"/>
      <c r="ACL21" s="43"/>
      <c r="ACM21" s="43"/>
      <c r="ACN21" s="43"/>
      <c r="ACO21" s="43"/>
      <c r="ACP21" s="43"/>
      <c r="ACQ21" s="43"/>
      <c r="ACR21" s="43"/>
      <c r="ACS21" s="43"/>
      <c r="ACT21" s="43"/>
      <c r="ACU21" s="43"/>
      <c r="ACV21" s="43"/>
      <c r="ACW21" s="43"/>
      <c r="ACX21" s="43"/>
      <c r="ACY21" s="43"/>
      <c r="ACZ21" s="43"/>
      <c r="ADA21" s="43"/>
      <c r="ADB21" s="43"/>
      <c r="ADC21" s="43"/>
      <c r="ADD21" s="43"/>
      <c r="ADE21" s="43"/>
      <c r="ADF21" s="43"/>
      <c r="ADG21" s="43"/>
      <c r="ADH21" s="43"/>
      <c r="ADI21" s="43"/>
      <c r="ADJ21" s="43"/>
      <c r="ADK21" s="43"/>
      <c r="ADL21" s="43"/>
      <c r="ADM21" s="43"/>
      <c r="ADN21" s="43"/>
      <c r="ADO21" s="43"/>
      <c r="ADP21" s="43"/>
      <c r="ADQ21" s="43"/>
      <c r="ADR21" s="43"/>
      <c r="ADS21" s="43"/>
      <c r="ADT21" s="43"/>
      <c r="ADU21" s="43"/>
      <c r="ADV21" s="43"/>
      <c r="ADW21" s="43"/>
      <c r="ADX21" s="43"/>
      <c r="ADY21" s="43"/>
      <c r="ADZ21" s="43"/>
      <c r="AEA21" s="43"/>
      <c r="AEB21" s="43"/>
      <c r="AEC21" s="43"/>
      <c r="AED21" s="43"/>
      <c r="AEE21" s="43"/>
      <c r="AEF21" s="43"/>
      <c r="AEG21" s="43"/>
      <c r="AEH21" s="43"/>
      <c r="AEI21" s="43"/>
      <c r="AEJ21" s="43"/>
      <c r="AEK21" s="43"/>
      <c r="AEL21" s="43"/>
      <c r="AEM21" s="43"/>
      <c r="AEN21" s="43"/>
      <c r="AEO21" s="43"/>
      <c r="AEP21" s="43"/>
      <c r="AEQ21" s="43"/>
      <c r="AER21" s="43"/>
      <c r="AES21" s="43"/>
      <c r="AET21" s="43"/>
      <c r="AEU21" s="43"/>
      <c r="AEV21" s="43"/>
      <c r="AEW21" s="43"/>
      <c r="AEX21" s="43"/>
      <c r="AEY21" s="43"/>
      <c r="AEZ21" s="43"/>
      <c r="AFA21" s="43"/>
      <c r="AFB21" s="43"/>
      <c r="AFC21" s="43"/>
      <c r="AFD21" s="43"/>
      <c r="AFE21" s="43"/>
      <c r="AFF21" s="43"/>
      <c r="AFG21" s="43"/>
      <c r="AFH21" s="43"/>
      <c r="AFI21" s="43"/>
      <c r="AFJ21" s="43"/>
      <c r="AFK21" s="43"/>
      <c r="AFL21" s="43"/>
      <c r="AFM21" s="43"/>
      <c r="AFN21" s="43"/>
      <c r="AFO21" s="43"/>
      <c r="AFP21" s="43"/>
      <c r="AFQ21" s="43"/>
      <c r="AFR21" s="43"/>
      <c r="AFS21" s="43"/>
      <c r="AFT21" s="43"/>
      <c r="AFU21" s="43"/>
      <c r="AFV21" s="43"/>
      <c r="AFW21" s="43"/>
      <c r="AFX21" s="43"/>
      <c r="AFY21" s="43"/>
      <c r="AFZ21" s="43"/>
      <c r="AGA21" s="43"/>
      <c r="AGB21" s="43"/>
      <c r="AGC21" s="43"/>
      <c r="AGD21" s="43"/>
      <c r="AGE21" s="43"/>
      <c r="AGF21" s="43"/>
      <c r="AGG21" s="43"/>
      <c r="AGH21" s="43"/>
      <c r="AGI21" s="43"/>
      <c r="AGJ21" s="43"/>
      <c r="AGK21" s="43"/>
      <c r="AGL21" s="43"/>
      <c r="AGM21" s="43"/>
      <c r="AGN21" s="43"/>
      <c r="AGO21" s="43"/>
      <c r="AGP21" s="43"/>
      <c r="AGQ21" s="43"/>
      <c r="AGR21" s="43"/>
      <c r="AGS21" s="43"/>
      <c r="AGT21" s="43"/>
      <c r="AGU21" s="43"/>
      <c r="AGV21" s="43"/>
      <c r="AGW21" s="43"/>
      <c r="AGX21" s="43"/>
      <c r="AGY21" s="43"/>
      <c r="AGZ21" s="43"/>
      <c r="AHA21" s="43"/>
      <c r="AHB21" s="43"/>
      <c r="AHC21" s="43"/>
      <c r="AHD21" s="43"/>
      <c r="AHE21" s="43"/>
      <c r="AHF21" s="43"/>
      <c r="AHG21" s="43"/>
      <c r="AHH21" s="43"/>
      <c r="AHI21" s="43"/>
      <c r="AHJ21" s="43"/>
      <c r="AHK21" s="43"/>
      <c r="AHL21" s="43"/>
      <c r="AHM21" s="43"/>
      <c r="AHN21" s="43"/>
      <c r="AHO21" s="43"/>
      <c r="AHP21" s="43"/>
      <c r="AHQ21" s="43"/>
      <c r="AHR21" s="43"/>
      <c r="AHS21" s="43"/>
      <c r="AHT21" s="43"/>
      <c r="AHU21" s="43"/>
      <c r="AHV21" s="43"/>
      <c r="AHW21" s="43"/>
      <c r="AHX21" s="43"/>
      <c r="AHY21" s="43"/>
      <c r="AHZ21" s="43"/>
      <c r="AIA21" s="43"/>
      <c r="AIB21" s="43"/>
      <c r="AIC21" s="43"/>
      <c r="AID21" s="43"/>
      <c r="AIE21" s="43"/>
      <c r="AIF21" s="43"/>
      <c r="AIG21" s="43"/>
      <c r="AIH21" s="43"/>
      <c r="AII21" s="43"/>
      <c r="AIJ21" s="43"/>
      <c r="AIK21" s="43"/>
      <c r="AIL21" s="43"/>
      <c r="AIM21" s="43"/>
      <c r="AIN21" s="43"/>
      <c r="AIO21" s="43"/>
      <c r="AIP21" s="43"/>
      <c r="AIQ21" s="43"/>
      <c r="AIR21" s="43"/>
      <c r="AIS21" s="43"/>
      <c r="AIT21" s="43"/>
      <c r="AIU21" s="43"/>
      <c r="AIV21" s="43"/>
      <c r="AIW21" s="43"/>
      <c r="AIX21" s="43"/>
      <c r="AIY21" s="43"/>
      <c r="AIZ21" s="43"/>
      <c r="AJA21" s="43"/>
      <c r="AJB21" s="43"/>
      <c r="AJC21" s="43"/>
      <c r="AJD21" s="43"/>
      <c r="AJE21" s="43"/>
      <c r="AJF21" s="43"/>
      <c r="AJG21" s="43"/>
      <c r="AJH21" s="43"/>
      <c r="AJI21" s="43"/>
      <c r="AJJ21" s="43"/>
      <c r="AJK21" s="43"/>
      <c r="AJL21" s="43"/>
      <c r="AJM21" s="43"/>
      <c r="AJN21" s="43"/>
      <c r="AJO21" s="43"/>
      <c r="AJP21" s="43"/>
      <c r="AJQ21" s="43"/>
      <c r="AJR21" s="43"/>
      <c r="AJS21" s="43"/>
      <c r="AJT21" s="43"/>
      <c r="AJU21" s="43"/>
      <c r="AJV21" s="43"/>
      <c r="AJW21" s="43"/>
      <c r="AJX21" s="43"/>
      <c r="AJY21" s="43"/>
      <c r="AJZ21" s="43"/>
      <c r="AKA21" s="43"/>
      <c r="AKB21" s="43"/>
      <c r="AKC21" s="43"/>
      <c r="AKD21" s="43"/>
      <c r="AKE21" s="43"/>
      <c r="AKF21" s="43"/>
      <c r="AKG21" s="43"/>
      <c r="AKH21" s="43"/>
      <c r="AKI21" s="43"/>
      <c r="AKJ21" s="43"/>
      <c r="AKK21" s="43"/>
      <c r="AKL21" s="43"/>
      <c r="AKM21" s="43"/>
      <c r="AKN21" s="43"/>
      <c r="AKO21" s="43"/>
      <c r="AKP21" s="43"/>
      <c r="AKQ21" s="43"/>
      <c r="AKR21" s="43"/>
      <c r="AKS21" s="43"/>
      <c r="AKT21" s="43"/>
      <c r="AKU21" s="43"/>
      <c r="AKV21" s="43"/>
      <c r="AKW21" s="43"/>
      <c r="AKX21" s="43"/>
      <c r="AKY21" s="43"/>
      <c r="AKZ21" s="43"/>
      <c r="ALA21" s="43"/>
      <c r="ALB21" s="43"/>
      <c r="ALC21" s="43"/>
      <c r="ALD21" s="43"/>
      <c r="ALE21" s="43"/>
      <c r="ALF21" s="43"/>
      <c r="ALG21" s="43"/>
      <c r="ALH21" s="43"/>
      <c r="ALI21" s="43"/>
      <c r="ALJ21" s="43"/>
      <c r="ALK21" s="43"/>
      <c r="ALL21" s="43"/>
      <c r="ALM21" s="43"/>
      <c r="ALN21" s="43"/>
      <c r="ALO21" s="43"/>
      <c r="ALP21" s="43"/>
      <c r="ALQ21" s="43"/>
      <c r="ALR21" s="43"/>
      <c r="ALS21" s="43"/>
      <c r="ALT21" s="43"/>
      <c r="ALU21" s="43"/>
      <c r="ALV21" s="43"/>
      <c r="ALW21" s="43"/>
      <c r="ALX21" s="43"/>
      <c r="ALY21" s="43"/>
      <c r="ALZ21" s="43"/>
      <c r="AMA21" s="43"/>
      <c r="AMB21" s="43"/>
      <c r="AMC21" s="43"/>
      <c r="AMD21" s="43"/>
      <c r="AME21" s="43"/>
      <c r="AMF21" s="43"/>
      <c r="AMG21" s="43"/>
      <c r="AMH21" s="43"/>
      <c r="AMI21" s="43"/>
      <c r="AMJ21" s="43"/>
      <c r="AMK21" s="43"/>
      <c r="AML21" s="43"/>
      <c r="AMM21" s="43"/>
      <c r="AMN21" s="43"/>
      <c r="AMO21" s="43"/>
      <c r="AMP21" s="43"/>
      <c r="AMQ21" s="43"/>
      <c r="AMR21" s="43"/>
      <c r="AMS21" s="43"/>
      <c r="AMT21" s="43"/>
      <c r="AMU21" s="43"/>
      <c r="AMV21" s="43"/>
      <c r="AMW21" s="43"/>
      <c r="AMX21" s="43"/>
      <c r="AMY21" s="43"/>
      <c r="AMZ21" s="43"/>
      <c r="ANA21" s="43"/>
      <c r="ANB21" s="43"/>
      <c r="ANC21" s="43"/>
      <c r="AND21" s="43"/>
      <c r="ANE21" s="43"/>
      <c r="ANF21" s="43"/>
      <c r="ANG21" s="43"/>
      <c r="ANH21" s="43"/>
      <c r="ANI21" s="43"/>
      <c r="ANJ21" s="43"/>
      <c r="ANK21" s="43"/>
      <c r="ANL21" s="43"/>
      <c r="ANM21" s="43"/>
      <c r="ANN21" s="43"/>
      <c r="ANO21" s="43"/>
      <c r="ANP21" s="43"/>
      <c r="ANQ21" s="43"/>
      <c r="ANR21" s="43"/>
      <c r="ANS21" s="43"/>
      <c r="ANT21" s="43"/>
      <c r="ANU21" s="43"/>
      <c r="ANV21" s="43"/>
      <c r="ANW21" s="43"/>
      <c r="ANX21" s="43"/>
      <c r="ANY21" s="43"/>
      <c r="ANZ21" s="43"/>
      <c r="AOA21" s="43"/>
      <c r="AOB21" s="43"/>
      <c r="AOC21" s="43"/>
      <c r="AOD21" s="43"/>
      <c r="AOE21" s="43"/>
      <c r="AOF21" s="43"/>
      <c r="AOG21" s="43"/>
      <c r="AOH21" s="43"/>
      <c r="AOI21" s="43"/>
      <c r="AOJ21" s="43"/>
      <c r="AOK21" s="43"/>
      <c r="AOL21" s="43"/>
      <c r="AOM21" s="43"/>
      <c r="AON21" s="43"/>
      <c r="AOO21" s="43"/>
      <c r="AOP21" s="43"/>
      <c r="AOQ21" s="43"/>
      <c r="AOR21" s="43"/>
      <c r="AOS21" s="43"/>
      <c r="AOT21" s="43"/>
      <c r="AOU21" s="43"/>
      <c r="AOV21" s="43"/>
      <c r="AOW21" s="43"/>
      <c r="AOX21" s="43"/>
      <c r="AOY21" s="43"/>
      <c r="AOZ21" s="43"/>
      <c r="APA21" s="43"/>
      <c r="APB21" s="43"/>
      <c r="APC21" s="43"/>
      <c r="APD21" s="43"/>
      <c r="APE21" s="43"/>
      <c r="APF21" s="43"/>
      <c r="APG21" s="43"/>
      <c r="APH21" s="43"/>
      <c r="API21" s="43"/>
      <c r="APJ21" s="43"/>
      <c r="APK21" s="43"/>
      <c r="APL21" s="43"/>
      <c r="APM21" s="43"/>
      <c r="APN21" s="43"/>
      <c r="APO21" s="43"/>
      <c r="APP21" s="43"/>
      <c r="APQ21" s="43"/>
      <c r="APR21" s="43"/>
      <c r="APS21" s="43"/>
      <c r="APT21" s="43"/>
      <c r="APU21" s="43"/>
      <c r="APV21" s="43"/>
      <c r="APW21" s="43"/>
      <c r="APX21" s="43"/>
      <c r="APY21" s="43"/>
      <c r="APZ21" s="43"/>
      <c r="AQA21" s="43"/>
      <c r="AQB21" s="43"/>
      <c r="AQC21" s="43"/>
      <c r="AQD21" s="43"/>
      <c r="AQE21" s="43"/>
      <c r="AQF21" s="43"/>
      <c r="AQG21" s="43"/>
      <c r="AQH21" s="43"/>
      <c r="AQI21" s="43"/>
      <c r="AQJ21" s="43"/>
      <c r="AQK21" s="43"/>
      <c r="AQL21" s="43"/>
      <c r="AQM21" s="43"/>
      <c r="AQN21" s="43"/>
      <c r="AQO21" s="43"/>
      <c r="AQP21" s="43"/>
      <c r="AQQ21" s="43"/>
      <c r="AQR21" s="43"/>
      <c r="AQS21" s="43"/>
      <c r="AQT21" s="43"/>
      <c r="AQU21" s="43"/>
      <c r="AQV21" s="43"/>
      <c r="AQW21" s="43"/>
      <c r="AQX21" s="43"/>
      <c r="AQY21" s="43"/>
      <c r="AQZ21" s="43"/>
      <c r="ARA21" s="43"/>
      <c r="ARB21" s="43"/>
      <c r="ARC21" s="43"/>
      <c r="ARD21" s="43"/>
      <c r="ARE21" s="43"/>
      <c r="ARF21" s="43"/>
      <c r="ARG21" s="43"/>
      <c r="ARH21" s="43"/>
      <c r="ARI21" s="43"/>
      <c r="ARJ21" s="43"/>
      <c r="ARK21" s="43"/>
      <c r="ARL21" s="43"/>
      <c r="ARM21" s="43"/>
      <c r="ARN21" s="43"/>
      <c r="ARO21" s="43"/>
      <c r="ARP21" s="43"/>
      <c r="ARQ21" s="43"/>
      <c r="ARR21" s="43"/>
      <c r="ARS21" s="43"/>
      <c r="ART21" s="43"/>
      <c r="ARU21" s="43"/>
      <c r="ARV21" s="43"/>
      <c r="ARW21" s="43"/>
      <c r="ARX21" s="43"/>
      <c r="ARY21" s="43"/>
      <c r="ARZ21" s="43"/>
      <c r="ASA21" s="43"/>
      <c r="ASB21" s="43"/>
      <c r="ASC21" s="43"/>
      <c r="ASD21" s="43"/>
      <c r="ASE21" s="43"/>
      <c r="ASF21" s="43"/>
      <c r="ASG21" s="43"/>
      <c r="ASH21" s="43"/>
      <c r="ASI21" s="43"/>
      <c r="ASJ21" s="43"/>
      <c r="ASK21" s="43"/>
      <c r="ASL21" s="43"/>
      <c r="ASM21" s="43"/>
      <c r="ASN21" s="43"/>
      <c r="ASO21" s="43"/>
      <c r="ASP21" s="43"/>
      <c r="ASQ21" s="43"/>
      <c r="ASR21" s="43"/>
      <c r="ASS21" s="43"/>
      <c r="AST21" s="43"/>
      <c r="ASU21" s="43"/>
      <c r="ASV21" s="43"/>
      <c r="ASW21" s="43"/>
      <c r="ASX21" s="43"/>
      <c r="ASY21" s="43"/>
      <c r="ASZ21" s="43"/>
      <c r="ATA21" s="43"/>
      <c r="ATB21" s="43"/>
      <c r="ATC21" s="43"/>
      <c r="ATD21" s="43"/>
      <c r="ATE21" s="43"/>
      <c r="ATF21" s="43"/>
      <c r="ATG21" s="43"/>
      <c r="ATH21" s="43"/>
      <c r="ATI21" s="43"/>
      <c r="ATJ21" s="43"/>
      <c r="ATK21" s="43"/>
      <c r="ATL21" s="43"/>
      <c r="ATM21" s="43"/>
      <c r="ATN21" s="43"/>
      <c r="ATO21" s="43"/>
      <c r="ATP21" s="43"/>
      <c r="ATQ21" s="43"/>
      <c r="ATR21" s="43"/>
      <c r="ATS21" s="43"/>
      <c r="ATT21" s="43"/>
      <c r="ATU21" s="43"/>
      <c r="ATV21" s="43"/>
      <c r="ATW21" s="43"/>
      <c r="ATX21" s="43"/>
      <c r="ATY21" s="43"/>
      <c r="ATZ21" s="43"/>
      <c r="AUA21" s="43"/>
      <c r="AUB21" s="43"/>
      <c r="AUC21" s="43"/>
      <c r="AUD21" s="43"/>
      <c r="AUE21" s="43"/>
      <c r="AUF21" s="43"/>
      <c r="AUG21" s="43"/>
      <c r="AUH21" s="43"/>
      <c r="AUI21" s="43"/>
      <c r="AUJ21" s="43"/>
      <c r="AUK21" s="43"/>
      <c r="AUL21" s="43"/>
      <c r="AUM21" s="43"/>
      <c r="AUN21" s="43"/>
      <c r="AUO21" s="43"/>
      <c r="AUP21" s="43"/>
      <c r="AUQ21" s="43"/>
      <c r="AUR21" s="43"/>
      <c r="AUS21" s="43"/>
      <c r="AUT21" s="43"/>
      <c r="AUU21" s="43"/>
      <c r="AUV21" s="43"/>
      <c r="AUW21" s="43"/>
      <c r="AUX21" s="43"/>
      <c r="AUY21" s="43"/>
      <c r="AUZ21" s="43"/>
      <c r="AVA21" s="43"/>
      <c r="AVB21" s="43"/>
      <c r="AVC21" s="43"/>
      <c r="AVD21" s="43"/>
      <c r="AVE21" s="43"/>
      <c r="AVF21" s="43"/>
      <c r="AVG21" s="43"/>
      <c r="AVH21" s="43"/>
      <c r="AVI21" s="43"/>
      <c r="AVJ21" s="43"/>
      <c r="AVK21" s="43"/>
      <c r="AVL21" s="43"/>
      <c r="AVM21" s="43"/>
      <c r="AVN21" s="43"/>
      <c r="AVO21" s="43"/>
      <c r="AVP21" s="43"/>
      <c r="AVQ21" s="43"/>
      <c r="AVR21" s="43"/>
      <c r="AVS21" s="43"/>
      <c r="AVT21" s="43"/>
      <c r="AVU21" s="43"/>
      <c r="AVV21" s="43"/>
      <c r="AVW21" s="43"/>
      <c r="AVX21" s="43"/>
      <c r="AVY21" s="43"/>
      <c r="AVZ21" s="43"/>
      <c r="AWA21" s="43"/>
      <c r="AWB21" s="43"/>
      <c r="AWC21" s="43"/>
      <c r="AWD21" s="43"/>
      <c r="AWE21" s="43"/>
      <c r="AWF21" s="43"/>
      <c r="AWG21" s="43"/>
      <c r="AWH21" s="43"/>
      <c r="AWI21" s="43"/>
      <c r="AWJ21" s="43"/>
      <c r="AWK21" s="43"/>
      <c r="AWL21" s="43"/>
      <c r="AWM21" s="43"/>
      <c r="AWN21" s="43"/>
      <c r="AWO21" s="43"/>
      <c r="AWP21" s="43"/>
      <c r="AWQ21" s="43"/>
      <c r="AWR21" s="43"/>
      <c r="AWS21" s="43"/>
      <c r="AWT21" s="43"/>
      <c r="AWU21" s="43"/>
      <c r="AWV21" s="43"/>
      <c r="AWW21" s="43"/>
      <c r="AWX21" s="43"/>
      <c r="AWY21" s="43"/>
      <c r="AWZ21" s="43"/>
      <c r="AXA21" s="43"/>
      <c r="AXB21" s="43"/>
      <c r="AXC21" s="43"/>
      <c r="AXD21" s="43"/>
      <c r="AXE21" s="43"/>
      <c r="AXF21" s="43"/>
      <c r="AXG21" s="43"/>
      <c r="AXH21" s="43"/>
      <c r="AXI21" s="43"/>
      <c r="AXJ21" s="43"/>
      <c r="AXK21" s="43"/>
      <c r="AXL21" s="43"/>
      <c r="AXM21" s="43"/>
      <c r="AXN21" s="43"/>
      <c r="AXO21" s="43"/>
      <c r="AXP21" s="43"/>
      <c r="AXQ21" s="43"/>
      <c r="AXR21" s="43"/>
      <c r="AXS21" s="43"/>
      <c r="AXT21" s="43"/>
      <c r="AXU21" s="43"/>
      <c r="AXV21" s="43"/>
      <c r="AXW21" s="43"/>
      <c r="AXX21" s="43"/>
      <c r="AXY21" s="43"/>
      <c r="AXZ21" s="43"/>
      <c r="AYA21" s="43"/>
      <c r="AYB21" s="43"/>
      <c r="AYC21" s="43"/>
      <c r="AYD21" s="43"/>
      <c r="AYE21" s="43"/>
      <c r="AYF21" s="43"/>
      <c r="AYG21" s="43"/>
      <c r="AYH21" s="43"/>
      <c r="AYI21" s="43"/>
      <c r="AYJ21" s="43"/>
      <c r="AYK21" s="43"/>
      <c r="AYL21" s="43"/>
      <c r="AYM21" s="43"/>
      <c r="AYN21" s="43"/>
      <c r="AYO21" s="43"/>
      <c r="AYP21" s="43"/>
      <c r="AYQ21" s="43"/>
      <c r="AYR21" s="43"/>
      <c r="AYS21" s="43"/>
      <c r="AYT21" s="43"/>
      <c r="AYU21" s="43"/>
      <c r="AYV21" s="43"/>
      <c r="AYW21" s="43"/>
      <c r="AYX21" s="43"/>
      <c r="AYY21" s="43"/>
      <c r="AYZ21" s="43"/>
      <c r="AZA21" s="43"/>
      <c r="AZB21" s="43"/>
      <c r="AZC21" s="43"/>
      <c r="AZD21" s="43"/>
      <c r="AZE21" s="43"/>
      <c r="AZF21" s="43"/>
      <c r="AZG21" s="43"/>
      <c r="AZH21" s="43"/>
      <c r="AZI21" s="43"/>
      <c r="AZJ21" s="43"/>
      <c r="AZK21" s="43"/>
      <c r="AZL21" s="43"/>
      <c r="AZM21" s="43"/>
      <c r="AZN21" s="43"/>
      <c r="AZO21" s="43"/>
      <c r="AZP21" s="43"/>
      <c r="AZQ21" s="43"/>
      <c r="AZR21" s="43"/>
      <c r="AZS21" s="43"/>
      <c r="AZT21" s="43"/>
      <c r="AZU21" s="43"/>
      <c r="AZV21" s="43"/>
      <c r="AZW21" s="43"/>
      <c r="AZX21" s="43"/>
      <c r="AZY21" s="43"/>
      <c r="AZZ21" s="43"/>
      <c r="BAA21" s="43"/>
      <c r="BAB21" s="43"/>
      <c r="BAC21" s="43"/>
      <c r="BAD21" s="43"/>
      <c r="BAE21" s="43"/>
      <c r="BAF21" s="43"/>
      <c r="BAG21" s="43"/>
      <c r="BAH21" s="43"/>
      <c r="BAI21" s="43"/>
      <c r="BAJ21" s="43"/>
      <c r="BAK21" s="43"/>
      <c r="BAL21" s="43"/>
      <c r="BAM21" s="43"/>
      <c r="BAN21" s="43"/>
      <c r="BAO21" s="43"/>
      <c r="BAP21" s="43"/>
      <c r="BAQ21" s="43"/>
      <c r="BAR21" s="43"/>
      <c r="BAS21" s="43"/>
      <c r="BAT21" s="43"/>
      <c r="BAU21" s="43"/>
      <c r="BAV21" s="43"/>
      <c r="BAW21" s="43"/>
      <c r="BAX21" s="43"/>
      <c r="BAY21" s="43"/>
      <c r="BAZ21" s="43"/>
      <c r="BBA21" s="43"/>
      <c r="BBB21" s="43"/>
      <c r="BBC21" s="43"/>
      <c r="BBD21" s="43"/>
      <c r="BBE21" s="43"/>
      <c r="BBF21" s="43"/>
      <c r="BBG21" s="43"/>
      <c r="BBH21" s="43"/>
      <c r="BBI21" s="43"/>
      <c r="BBJ21" s="43"/>
      <c r="BBK21" s="43"/>
      <c r="BBL21" s="43"/>
      <c r="BBM21" s="43"/>
      <c r="BBN21" s="43"/>
      <c r="BBO21" s="43"/>
      <c r="BBP21" s="43"/>
      <c r="BBQ21" s="43"/>
      <c r="BBR21" s="43"/>
      <c r="BBS21" s="43"/>
      <c r="BBT21" s="43"/>
      <c r="BBU21" s="43"/>
      <c r="BBV21" s="43"/>
      <c r="BBW21" s="43"/>
      <c r="BBX21" s="43"/>
      <c r="BBY21" s="43"/>
      <c r="BBZ21" s="43"/>
      <c r="BCA21" s="43"/>
      <c r="BCB21" s="43"/>
      <c r="BCC21" s="43"/>
      <c r="BCD21" s="43"/>
      <c r="BCE21" s="43"/>
      <c r="BCF21" s="43"/>
      <c r="BCG21" s="43"/>
      <c r="BCH21" s="43"/>
      <c r="BCI21" s="43"/>
      <c r="BCJ21" s="43"/>
      <c r="BCK21" s="43"/>
      <c r="BCL21" s="43"/>
      <c r="BCM21" s="43"/>
      <c r="BCN21" s="43"/>
      <c r="BCO21" s="43"/>
      <c r="BCP21" s="43"/>
      <c r="BCQ21" s="43"/>
    </row>
    <row r="22" spans="1:1447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56" t="s">
        <v>622</v>
      </c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  <c r="QI22" s="43"/>
      <c r="QJ22" s="43"/>
      <c r="QK22" s="43"/>
      <c r="QL22" s="43"/>
      <c r="QM22" s="43"/>
      <c r="QN22" s="43"/>
      <c r="QO22" s="43"/>
      <c r="QP22" s="43"/>
      <c r="QQ22" s="43"/>
      <c r="QR22" s="43"/>
      <c r="QS22" s="43"/>
      <c r="QT22" s="43"/>
      <c r="QU22" s="43"/>
      <c r="QV22" s="43"/>
      <c r="QW22" s="43"/>
      <c r="QX22" s="43"/>
      <c r="QY22" s="43"/>
      <c r="QZ22" s="43"/>
      <c r="RA22" s="43"/>
      <c r="RB22" s="43"/>
      <c r="RC22" s="43"/>
      <c r="RD22" s="43"/>
      <c r="RE22" s="43"/>
      <c r="RF22" s="43"/>
      <c r="RG22" s="43"/>
      <c r="RH22" s="43"/>
      <c r="RI22" s="43"/>
      <c r="RJ22" s="43"/>
      <c r="RK22" s="43"/>
      <c r="RL22" s="43"/>
      <c r="RM22" s="43"/>
      <c r="RN22" s="43"/>
      <c r="RO22" s="43"/>
      <c r="RP22" s="43"/>
      <c r="RQ22" s="43"/>
      <c r="RR22" s="43"/>
      <c r="RS22" s="43"/>
      <c r="RT22" s="43"/>
      <c r="RU22" s="43"/>
      <c r="RV22" s="43"/>
      <c r="RW22" s="43"/>
      <c r="RX22" s="43"/>
      <c r="RY22" s="43"/>
      <c r="RZ22" s="43"/>
      <c r="SA22" s="43"/>
      <c r="SB22" s="43"/>
      <c r="SC22" s="43"/>
      <c r="SD22" s="43"/>
      <c r="SE22" s="43"/>
      <c r="SF22" s="43"/>
      <c r="SG22" s="43"/>
      <c r="SH22" s="43"/>
      <c r="SI22" s="43"/>
      <c r="SJ22" s="43"/>
      <c r="SK22" s="43"/>
      <c r="SL22" s="43"/>
      <c r="SM22" s="43"/>
      <c r="SN22" s="43"/>
      <c r="SO22" s="43"/>
      <c r="SP22" s="43"/>
      <c r="SQ22" s="43"/>
      <c r="SR22" s="43"/>
      <c r="SS22" s="43"/>
      <c r="ST22" s="43"/>
      <c r="SU22" s="43"/>
      <c r="SV22" s="43"/>
      <c r="SW22" s="43"/>
      <c r="SX22" s="43"/>
      <c r="SY22" s="43"/>
      <c r="SZ22" s="43"/>
      <c r="TA22" s="43"/>
      <c r="TB22" s="43"/>
      <c r="TC22" s="43"/>
      <c r="TD22" s="43"/>
      <c r="TE22" s="43"/>
      <c r="TF22" s="43"/>
      <c r="TG22" s="43"/>
      <c r="TH22" s="43"/>
      <c r="TI22" s="43"/>
      <c r="TJ22" s="43"/>
      <c r="TK22" s="43"/>
      <c r="TL22" s="43"/>
      <c r="TM22" s="43"/>
      <c r="TN22" s="43"/>
      <c r="TO22" s="43"/>
      <c r="TP22" s="43"/>
      <c r="TQ22" s="43"/>
      <c r="TR22" s="43"/>
      <c r="TS22" s="43"/>
      <c r="TT22" s="43"/>
      <c r="TU22" s="43"/>
      <c r="TV22" s="58" t="s">
        <v>22</v>
      </c>
      <c r="TW22" s="58"/>
      <c r="TX22" s="43"/>
      <c r="TY22" s="43"/>
      <c r="TZ22" s="43"/>
      <c r="UA22" s="43"/>
      <c r="UB22" s="43"/>
      <c r="UC22" s="43"/>
      <c r="UD22" s="43"/>
      <c r="UE22" s="43"/>
      <c r="UF22" s="43"/>
      <c r="UG22" s="43"/>
      <c r="UH22" s="43"/>
      <c r="UI22" s="43"/>
      <c r="UJ22" s="43"/>
      <c r="UK22" s="43"/>
      <c r="UL22" s="43"/>
      <c r="UM22" s="43"/>
      <c r="UN22" s="43"/>
      <c r="UO22" s="43"/>
      <c r="UP22" s="43"/>
      <c r="UQ22" s="43"/>
      <c r="UR22" s="43"/>
      <c r="US22" s="43"/>
      <c r="UT22" s="43"/>
      <c r="UU22" s="43"/>
      <c r="UV22" s="43"/>
      <c r="UW22" s="43"/>
      <c r="UX22" s="43"/>
      <c r="UY22" s="43"/>
      <c r="UZ22" s="43"/>
      <c r="VA22" s="43"/>
      <c r="VB22" s="43"/>
      <c r="VC22" s="43"/>
      <c r="VD22" s="43"/>
      <c r="VE22" s="43"/>
      <c r="VF22" s="43"/>
      <c r="VG22" s="43"/>
      <c r="VH22" s="43"/>
      <c r="VI22" s="43"/>
      <c r="VJ22" s="43"/>
      <c r="VK22" s="43"/>
      <c r="VL22" s="43"/>
      <c r="VM22" s="43"/>
      <c r="VN22" s="43"/>
      <c r="VO22" s="43"/>
      <c r="VP22" s="43"/>
      <c r="VQ22" s="43"/>
      <c r="VR22" s="43"/>
      <c r="VS22" s="43"/>
      <c r="VT22" s="43"/>
      <c r="VU22" s="43"/>
      <c r="VV22" s="43"/>
      <c r="VW22" s="43"/>
      <c r="VX22" s="43"/>
      <c r="VY22" s="43"/>
      <c r="VZ22" s="43"/>
      <c r="WA22" s="43"/>
      <c r="WB22" s="43"/>
      <c r="WC22" s="43"/>
      <c r="WD22" s="43"/>
      <c r="WE22" s="43"/>
      <c r="WF22" s="43"/>
      <c r="WG22" s="43"/>
      <c r="WH22" s="43"/>
      <c r="WI22" s="43"/>
      <c r="WJ22" s="43"/>
      <c r="WK22" s="43"/>
      <c r="WL22" s="43"/>
      <c r="WM22" s="43"/>
      <c r="WN22" s="43"/>
      <c r="WO22" s="43"/>
      <c r="WP22" s="43"/>
      <c r="WQ22" s="43"/>
      <c r="WR22" s="43"/>
      <c r="WS22" s="43"/>
      <c r="WT22" s="43"/>
      <c r="WU22" s="43"/>
      <c r="WV22" s="43"/>
      <c r="WW22" s="43"/>
      <c r="WX22" s="43"/>
      <c r="WY22" s="43"/>
      <c r="WZ22" s="43"/>
      <c r="XA22" s="43"/>
      <c r="XB22" s="43"/>
      <c r="XC22" s="43"/>
      <c r="XD22" s="43"/>
      <c r="XE22" s="43"/>
      <c r="XF22" s="43"/>
      <c r="XG22" s="43"/>
      <c r="XH22" s="43"/>
      <c r="XI22" s="43"/>
      <c r="XJ22" s="43"/>
      <c r="XK22" s="43"/>
      <c r="XL22" s="43"/>
      <c r="XM22" s="43"/>
      <c r="XN22" s="43"/>
      <c r="XO22" s="43"/>
      <c r="XP22" s="43"/>
      <c r="XQ22" s="43"/>
      <c r="XR22" s="43"/>
      <c r="XS22" s="43"/>
      <c r="XT22" s="43"/>
      <c r="XU22" s="43"/>
      <c r="XV22" s="43"/>
      <c r="XW22" s="43"/>
      <c r="XX22" s="43"/>
      <c r="XY22" s="43"/>
      <c r="XZ22" s="43"/>
      <c r="YA22" s="43"/>
      <c r="YB22" s="43"/>
      <c r="YC22" s="43"/>
      <c r="YD22" s="43"/>
      <c r="YE22" s="43"/>
      <c r="YF22" s="43"/>
      <c r="YG22" s="43"/>
      <c r="YH22" s="43"/>
      <c r="YI22" s="43"/>
      <c r="YJ22" s="43"/>
      <c r="YK22" s="43"/>
      <c r="YL22" s="43"/>
      <c r="YM22" s="43"/>
      <c r="YN22" s="43"/>
      <c r="YO22" s="43"/>
      <c r="YP22" s="43"/>
      <c r="YQ22" s="43"/>
      <c r="YR22" s="43"/>
      <c r="YS22" s="43"/>
      <c r="YT22" s="43"/>
      <c r="YU22" s="43"/>
      <c r="YV22" s="43"/>
      <c r="YW22" s="43"/>
      <c r="YX22" s="43"/>
      <c r="YY22" s="43"/>
      <c r="YZ22" s="43"/>
      <c r="ZA22" s="43"/>
      <c r="ZB22" s="43"/>
      <c r="ZC22" s="43"/>
      <c r="ZD22" s="43"/>
      <c r="ZE22" s="43"/>
      <c r="ZF22" s="43"/>
      <c r="ZG22" s="43"/>
      <c r="ZH22" s="43"/>
      <c r="ZI22" s="43"/>
      <c r="ZJ22" s="43"/>
      <c r="ZK22" s="43"/>
      <c r="ZL22" s="43"/>
      <c r="ZM22" s="43"/>
      <c r="ZN22" s="43"/>
      <c r="ZO22" s="43"/>
      <c r="ZP22" s="43"/>
      <c r="ZQ22" s="43"/>
      <c r="ZR22" s="43"/>
      <c r="ZS22" s="43"/>
      <c r="ZT22" s="43"/>
      <c r="ZU22" s="43"/>
      <c r="ZV22" s="43"/>
      <c r="ZW22" s="43"/>
      <c r="ZX22" s="43"/>
      <c r="ZY22" s="43"/>
      <c r="ZZ22" s="43"/>
      <c r="AAA22" s="43"/>
      <c r="AAB22" s="43"/>
      <c r="AAC22" s="43"/>
      <c r="AAD22" s="43"/>
      <c r="AAE22" s="43"/>
      <c r="AAF22" s="43"/>
      <c r="AAG22" s="43"/>
      <c r="AAH22" s="43"/>
      <c r="AAI22" s="43"/>
      <c r="AAJ22" s="43"/>
      <c r="AAK22" s="43"/>
      <c r="AAL22" s="43"/>
      <c r="AAM22" s="43"/>
      <c r="AAN22" s="43"/>
      <c r="AAO22" s="43"/>
      <c r="AAP22" s="43"/>
      <c r="AAQ22" s="43"/>
      <c r="AAR22" s="43"/>
      <c r="AAS22" s="43"/>
      <c r="AAT22" s="43"/>
      <c r="AAU22" s="43"/>
      <c r="AAV22" s="43"/>
      <c r="AAW22" s="43"/>
      <c r="AAX22" s="43"/>
      <c r="AAY22" s="43"/>
      <c r="AAZ22" s="43"/>
      <c r="ABA22" s="43"/>
      <c r="ABB22" s="43"/>
      <c r="ABC22" s="43"/>
      <c r="ABD22" s="43"/>
      <c r="ABE22" s="43"/>
      <c r="ABF22" s="43"/>
      <c r="ABG22" s="43"/>
      <c r="ABH22" s="43"/>
      <c r="ABI22" s="43"/>
      <c r="ABJ22" s="43"/>
      <c r="ABK22" s="43"/>
      <c r="ABL22" s="43"/>
      <c r="ABM22" s="43"/>
      <c r="ABN22" s="43"/>
      <c r="ABO22" s="43"/>
      <c r="ABP22" s="43"/>
      <c r="ABQ22" s="43"/>
      <c r="ABR22" s="43"/>
      <c r="ABS22" s="43"/>
      <c r="ABT22" s="43"/>
      <c r="ABU22" s="43"/>
      <c r="ABV22" s="43"/>
      <c r="ABW22" s="43"/>
      <c r="ABX22" s="43"/>
      <c r="ABY22" s="43"/>
      <c r="ABZ22" s="43"/>
      <c r="ACA22" s="43"/>
      <c r="ACB22" s="43"/>
      <c r="ACC22" s="43"/>
      <c r="ACD22" s="43"/>
      <c r="ACE22" s="43"/>
      <c r="ACF22" s="43"/>
      <c r="ACG22" s="43"/>
      <c r="ACH22" s="43"/>
      <c r="ACI22" s="43"/>
      <c r="ACJ22" s="43"/>
      <c r="ACK22" s="43"/>
      <c r="ACL22" s="43"/>
      <c r="ACM22" s="43"/>
      <c r="ACN22" s="43"/>
      <c r="ACO22" s="43"/>
      <c r="ACP22" s="43"/>
      <c r="ACQ22" s="43"/>
      <c r="ACR22" s="43"/>
      <c r="ACS22" s="43"/>
      <c r="ACT22" s="43"/>
      <c r="ACU22" s="43"/>
      <c r="ACV22" s="43"/>
      <c r="ACW22" s="43"/>
      <c r="ACX22" s="43"/>
      <c r="ACY22" s="43"/>
      <c r="ACZ22" s="43"/>
      <c r="ADA22" s="43"/>
      <c r="ADB22" s="43"/>
      <c r="ADC22" s="43"/>
      <c r="ADD22" s="43"/>
      <c r="ADE22" s="43"/>
      <c r="ADF22" s="43"/>
      <c r="ADG22" s="43"/>
      <c r="ADH22" s="43"/>
      <c r="ADI22" s="43"/>
      <c r="ADJ22" s="43"/>
      <c r="ADK22" s="43"/>
      <c r="ADL22" s="43"/>
      <c r="ADM22" s="43"/>
      <c r="ADN22" s="43"/>
      <c r="ADO22" s="43"/>
      <c r="ADP22" s="43"/>
      <c r="ADQ22" s="43"/>
      <c r="ADR22" s="43"/>
      <c r="ADS22" s="43"/>
      <c r="ADT22" s="43"/>
      <c r="ADU22" s="43"/>
      <c r="ADV22" s="43"/>
      <c r="ADW22" s="43"/>
      <c r="ADX22" s="43"/>
      <c r="ADY22" s="43"/>
      <c r="ADZ22" s="43"/>
      <c r="AEA22" s="43"/>
      <c r="AEB22" s="43"/>
      <c r="AEC22" s="43"/>
      <c r="AED22" s="43"/>
      <c r="AEE22" s="43"/>
      <c r="AEF22" s="43"/>
      <c r="AEG22" s="43"/>
      <c r="AEH22" s="43"/>
      <c r="AEI22" s="43"/>
      <c r="AEJ22" s="43"/>
      <c r="AEK22" s="43"/>
      <c r="AEL22" s="43"/>
      <c r="AEM22" s="43"/>
      <c r="AEN22" s="43"/>
      <c r="AEO22" s="43"/>
      <c r="AEP22" s="43"/>
      <c r="AEQ22" s="43"/>
      <c r="AER22" s="43"/>
      <c r="AES22" s="43"/>
      <c r="AET22" s="43"/>
      <c r="AEU22" s="43"/>
      <c r="AEV22" s="43"/>
      <c r="AEW22" s="43"/>
      <c r="AEX22" s="43"/>
      <c r="AEY22" s="43"/>
      <c r="AEZ22" s="43"/>
      <c r="AFA22" s="43"/>
      <c r="AFB22" s="43"/>
      <c r="AFC22" s="43"/>
      <c r="AFD22" s="43"/>
      <c r="AFE22" s="43"/>
      <c r="AFF22" s="43"/>
      <c r="AFG22" s="43"/>
      <c r="AFH22" s="43"/>
      <c r="AFI22" s="43"/>
      <c r="AFJ22" s="43"/>
      <c r="AFK22" s="43"/>
      <c r="AFL22" s="43"/>
      <c r="AFM22" s="43"/>
      <c r="AFN22" s="43"/>
      <c r="AFO22" s="43"/>
      <c r="AFP22" s="43"/>
      <c r="AFQ22" s="43"/>
      <c r="AFR22" s="43"/>
      <c r="AFS22" s="43"/>
      <c r="AFT22" s="43"/>
      <c r="AFU22" s="43"/>
      <c r="AFV22" s="43"/>
      <c r="AFW22" s="43"/>
      <c r="AFX22" s="43"/>
      <c r="AFY22" s="43"/>
      <c r="AFZ22" s="43"/>
      <c r="AGA22" s="43"/>
      <c r="AGB22" s="43"/>
      <c r="AGC22" s="43"/>
      <c r="AGD22" s="43"/>
      <c r="AGE22" s="43"/>
      <c r="AGF22" s="43"/>
      <c r="AGG22" s="43"/>
      <c r="AGH22" s="43"/>
      <c r="AGI22" s="43"/>
      <c r="AGJ22" s="43"/>
      <c r="AGK22" s="43"/>
      <c r="AGL22" s="43"/>
      <c r="AGM22" s="43"/>
      <c r="AGN22" s="43"/>
      <c r="AGO22" s="43"/>
      <c r="AGP22" s="43"/>
      <c r="AGQ22" s="43"/>
      <c r="AGR22" s="43"/>
      <c r="AGS22" s="43"/>
      <c r="AGT22" s="43"/>
      <c r="AGU22" s="43"/>
      <c r="AGV22" s="43"/>
      <c r="AGW22" s="43"/>
      <c r="AGX22" s="43"/>
      <c r="AGY22" s="43"/>
      <c r="AGZ22" s="43"/>
      <c r="AHA22" s="43"/>
      <c r="AHB22" s="43"/>
      <c r="AHC22" s="43"/>
      <c r="AHD22" s="43"/>
      <c r="AHE22" s="43"/>
      <c r="AHF22" s="43"/>
      <c r="AHG22" s="43"/>
      <c r="AHH22" s="43"/>
      <c r="AHI22" s="43"/>
      <c r="AHJ22" s="43"/>
      <c r="AHK22" s="43"/>
      <c r="AHL22" s="43"/>
      <c r="AHM22" s="43"/>
      <c r="AHN22" s="43"/>
      <c r="AHO22" s="43"/>
      <c r="AHP22" s="43"/>
      <c r="AHQ22" s="43"/>
      <c r="AHR22" s="43"/>
      <c r="AHS22" s="43"/>
      <c r="AHT22" s="43"/>
      <c r="AHU22" s="43"/>
      <c r="AHV22" s="43"/>
      <c r="AHW22" s="43"/>
      <c r="AHX22" s="43"/>
      <c r="AHY22" s="43"/>
      <c r="AHZ22" s="43"/>
      <c r="AIA22" s="43"/>
      <c r="AIB22" s="43"/>
      <c r="AIC22" s="43"/>
      <c r="AID22" s="43"/>
      <c r="AIE22" s="43"/>
      <c r="AIF22" s="43"/>
      <c r="AIG22" s="43"/>
      <c r="AIH22" s="43"/>
      <c r="AII22" s="43"/>
      <c r="AIJ22" s="43"/>
      <c r="AIK22" s="43"/>
      <c r="AIL22" s="43"/>
      <c r="AIM22" s="43"/>
      <c r="AIN22" s="43"/>
      <c r="AIO22" s="43"/>
      <c r="AIP22" s="43"/>
      <c r="AIQ22" s="43"/>
      <c r="AIR22" s="43"/>
      <c r="AIS22" s="43"/>
      <c r="AIT22" s="43"/>
      <c r="AIU22" s="43"/>
      <c r="AIV22" s="43"/>
      <c r="AIW22" s="43"/>
      <c r="AIX22" s="43"/>
      <c r="AIY22" s="43"/>
      <c r="AIZ22" s="43"/>
      <c r="AJA22" s="43"/>
      <c r="AJB22" s="43"/>
      <c r="AJC22" s="43"/>
      <c r="AJD22" s="43"/>
      <c r="AJE22" s="43"/>
      <c r="AJF22" s="43"/>
      <c r="AJG22" s="43"/>
      <c r="AJH22" s="43"/>
      <c r="AJI22" s="43"/>
      <c r="AJJ22" s="43"/>
      <c r="AJK22" s="43"/>
      <c r="AJL22" s="43"/>
      <c r="AJM22" s="43"/>
      <c r="AJN22" s="43"/>
      <c r="AJO22" s="43"/>
      <c r="AJP22" s="43"/>
      <c r="AJQ22" s="43"/>
      <c r="AJR22" s="43"/>
      <c r="AJS22" s="43"/>
      <c r="AJT22" s="43"/>
      <c r="AJU22" s="43"/>
      <c r="AJV22" s="43"/>
      <c r="AJW22" s="43"/>
      <c r="AJX22" s="43"/>
      <c r="AJY22" s="43"/>
      <c r="AJZ22" s="43"/>
      <c r="AKA22" s="43"/>
      <c r="AKB22" s="43"/>
      <c r="AKC22" s="43"/>
      <c r="AKD22" s="43"/>
      <c r="AKE22" s="43"/>
      <c r="AKF22" s="43"/>
      <c r="AKG22" s="43"/>
      <c r="AKH22" s="43"/>
      <c r="AKI22" s="43"/>
      <c r="AKJ22" s="43"/>
      <c r="AKK22" s="43"/>
      <c r="AKL22" s="43"/>
      <c r="AKM22" s="43"/>
      <c r="AKN22" s="43"/>
      <c r="AKO22" s="43"/>
      <c r="AKP22" s="43"/>
      <c r="AKQ22" s="43"/>
      <c r="AKR22" s="43"/>
      <c r="AKS22" s="43"/>
      <c r="AKT22" s="43"/>
      <c r="AKU22" s="43"/>
      <c r="AKV22" s="43"/>
      <c r="AKW22" s="43"/>
      <c r="AKX22" s="43"/>
      <c r="AKY22" s="43"/>
      <c r="AKZ22" s="43"/>
      <c r="ALA22" s="43"/>
      <c r="ALB22" s="43"/>
      <c r="ALC22" s="43"/>
      <c r="ALD22" s="43"/>
      <c r="ALE22" s="43"/>
      <c r="ALF22" s="43"/>
      <c r="ALG22" s="43"/>
      <c r="ALH22" s="43"/>
      <c r="ALI22" s="43"/>
      <c r="ALJ22" s="43"/>
      <c r="ALK22" s="43"/>
      <c r="ALL22" s="43"/>
      <c r="ALM22" s="43"/>
      <c r="ALN22" s="43"/>
      <c r="ALO22" s="43"/>
      <c r="ALP22" s="43"/>
      <c r="ALQ22" s="43"/>
      <c r="ALR22" s="43"/>
      <c r="ALS22" s="43"/>
      <c r="ALT22" s="43"/>
      <c r="ALU22" s="43"/>
      <c r="ALV22" s="43"/>
      <c r="ALW22" s="43"/>
      <c r="ALX22" s="43"/>
      <c r="ALY22" s="43"/>
      <c r="ALZ22" s="43"/>
      <c r="AMA22" s="43"/>
      <c r="AMB22" s="43"/>
      <c r="AMC22" s="43"/>
      <c r="AMD22" s="43"/>
      <c r="AME22" s="43"/>
      <c r="AMF22" s="43"/>
      <c r="AMG22" s="43"/>
      <c r="AMH22" s="43"/>
      <c r="AMI22" s="43"/>
      <c r="AMJ22" s="43"/>
      <c r="AMK22" s="43"/>
      <c r="AML22" s="43"/>
      <c r="AMM22" s="43"/>
      <c r="AMN22" s="43"/>
      <c r="AMO22" s="43"/>
      <c r="AMP22" s="43"/>
      <c r="AMQ22" s="43"/>
      <c r="AMR22" s="43"/>
      <c r="AMS22" s="43"/>
      <c r="AMT22" s="43"/>
      <c r="AMU22" s="43"/>
      <c r="AMV22" s="43"/>
      <c r="AMW22" s="43"/>
      <c r="AMX22" s="43"/>
      <c r="AMY22" s="43"/>
      <c r="AMZ22" s="43"/>
      <c r="ANA22" s="43"/>
      <c r="ANB22" s="43"/>
      <c r="ANC22" s="43"/>
      <c r="AND22" s="43"/>
      <c r="ANE22" s="43"/>
      <c r="ANF22" s="43"/>
      <c r="ANG22" s="43"/>
      <c r="ANH22" s="43"/>
      <c r="ANI22" s="43"/>
      <c r="ANJ22" s="43"/>
      <c r="ANK22" s="43"/>
      <c r="ANL22" s="43"/>
      <c r="ANM22" s="43"/>
      <c r="ANN22" s="43"/>
      <c r="ANO22" s="43"/>
      <c r="ANP22" s="43"/>
      <c r="ANQ22" s="43"/>
      <c r="ANR22" s="43"/>
      <c r="ANS22" s="43"/>
      <c r="ANT22" s="43"/>
      <c r="ANU22" s="43"/>
      <c r="ANV22" s="43"/>
      <c r="ANW22" s="43"/>
      <c r="ANX22" s="43"/>
      <c r="ANY22" s="43"/>
      <c r="ANZ22" s="43"/>
      <c r="AOA22" s="43"/>
      <c r="AOB22" s="43"/>
      <c r="AOC22" s="43"/>
      <c r="AOD22" s="43"/>
      <c r="AOE22" s="43"/>
      <c r="AOF22" s="43"/>
      <c r="AOG22" s="43"/>
      <c r="AOH22" s="43"/>
      <c r="AOI22" s="43"/>
      <c r="AOJ22" s="43"/>
      <c r="AOK22" s="43"/>
      <c r="AOL22" s="43"/>
      <c r="AOM22" s="43"/>
      <c r="AON22" s="43"/>
      <c r="AOO22" s="43"/>
      <c r="AOP22" s="43"/>
      <c r="AOQ22" s="43"/>
      <c r="AOR22" s="43"/>
      <c r="AOS22" s="43"/>
      <c r="AOT22" s="43"/>
      <c r="AOU22" s="43"/>
      <c r="AOV22" s="43"/>
      <c r="AOW22" s="43"/>
      <c r="AOX22" s="43"/>
      <c r="AOY22" s="43"/>
      <c r="AOZ22" s="43"/>
      <c r="APA22" s="43"/>
      <c r="APB22" s="43"/>
      <c r="APC22" s="43"/>
      <c r="APD22" s="43"/>
      <c r="APE22" s="43"/>
      <c r="APF22" s="43"/>
      <c r="APG22" s="43"/>
      <c r="APH22" s="43"/>
      <c r="API22" s="43"/>
      <c r="APJ22" s="43"/>
      <c r="APK22" s="43"/>
      <c r="APL22" s="43"/>
      <c r="APM22" s="43"/>
      <c r="APN22" s="43"/>
      <c r="APO22" s="43"/>
      <c r="APP22" s="43"/>
      <c r="APQ22" s="43"/>
      <c r="APR22" s="43"/>
      <c r="APS22" s="43"/>
      <c r="APT22" s="43"/>
      <c r="APU22" s="43"/>
      <c r="APV22" s="43"/>
      <c r="APW22" s="43"/>
      <c r="APX22" s="43"/>
      <c r="APY22" s="43"/>
      <c r="APZ22" s="43"/>
      <c r="AQA22" s="43"/>
      <c r="AQB22" s="43"/>
      <c r="AQC22" s="43"/>
      <c r="AQD22" s="43"/>
      <c r="AQE22" s="43"/>
      <c r="AQF22" s="43"/>
      <c r="AQG22" s="43"/>
      <c r="AQH22" s="43"/>
      <c r="AQI22" s="43"/>
      <c r="AQJ22" s="43"/>
      <c r="AQK22" s="43"/>
      <c r="AQL22" s="43"/>
      <c r="AQM22" s="43"/>
      <c r="AQN22" s="43"/>
      <c r="AQO22" s="43"/>
      <c r="AQP22" s="43"/>
      <c r="AQQ22" s="43"/>
      <c r="AQR22" s="43"/>
      <c r="AQS22" s="43"/>
      <c r="AQT22" s="43"/>
      <c r="AQU22" s="43"/>
      <c r="AQV22" s="43"/>
      <c r="AQW22" s="43"/>
      <c r="AQX22" s="43"/>
      <c r="AQY22" s="43"/>
      <c r="AQZ22" s="43"/>
      <c r="ARA22" s="43"/>
      <c r="ARB22" s="43"/>
      <c r="ARC22" s="43"/>
      <c r="ARD22" s="43"/>
      <c r="ARE22" s="43"/>
      <c r="ARF22" s="43"/>
      <c r="ARG22" s="43"/>
      <c r="ARH22" s="43"/>
      <c r="ARI22" s="43"/>
      <c r="ARJ22" s="43"/>
      <c r="ARK22" s="43"/>
      <c r="ARL22" s="43"/>
      <c r="ARM22" s="43"/>
      <c r="ARN22" s="43"/>
      <c r="ARO22" s="43"/>
      <c r="ARP22" s="43"/>
      <c r="ARQ22" s="43"/>
      <c r="ARR22" s="43"/>
      <c r="ARS22" s="43"/>
      <c r="ART22" s="43"/>
      <c r="ARU22" s="43"/>
      <c r="ARV22" s="43"/>
      <c r="ARW22" s="43"/>
      <c r="ARX22" s="43"/>
      <c r="ARY22" s="43"/>
      <c r="ARZ22" s="43"/>
      <c r="ASA22" s="43"/>
      <c r="ASB22" s="43"/>
      <c r="ASC22" s="43"/>
      <c r="ASD22" s="43"/>
      <c r="ASE22" s="43"/>
      <c r="ASF22" s="43"/>
      <c r="ASG22" s="43"/>
      <c r="ASH22" s="43"/>
      <c r="ASI22" s="43"/>
      <c r="ASJ22" s="43"/>
      <c r="ASK22" s="43"/>
      <c r="ASL22" s="43"/>
      <c r="ASM22" s="43"/>
      <c r="ASN22" s="43"/>
      <c r="ASO22" s="43"/>
      <c r="ASP22" s="43"/>
      <c r="ASQ22" s="43"/>
      <c r="ASR22" s="43"/>
      <c r="ASS22" s="43"/>
      <c r="AST22" s="43"/>
      <c r="ASU22" s="43"/>
      <c r="ASV22" s="43"/>
      <c r="ASW22" s="43"/>
      <c r="ASX22" s="43"/>
      <c r="ASY22" s="43"/>
      <c r="ASZ22" s="43"/>
      <c r="ATA22" s="43"/>
      <c r="ATB22" s="43"/>
      <c r="ATC22" s="43"/>
      <c r="ATD22" s="43"/>
      <c r="ATE22" s="43"/>
      <c r="ATF22" s="43"/>
      <c r="ATG22" s="43"/>
      <c r="ATH22" s="43"/>
      <c r="ATI22" s="43"/>
      <c r="ATJ22" s="43"/>
      <c r="ATK22" s="43"/>
      <c r="ATL22" s="43"/>
      <c r="ATM22" s="43"/>
      <c r="ATN22" s="43"/>
      <c r="ATO22" s="43"/>
      <c r="ATP22" s="43"/>
      <c r="ATQ22" s="43"/>
      <c r="ATR22" s="43"/>
      <c r="ATS22" s="43"/>
      <c r="ATT22" s="43"/>
      <c r="ATU22" s="43"/>
      <c r="ATV22" s="43"/>
      <c r="ATW22" s="43"/>
      <c r="ATX22" s="43"/>
      <c r="ATY22" s="43"/>
      <c r="ATZ22" s="43"/>
      <c r="AUA22" s="43"/>
      <c r="AUB22" s="43"/>
      <c r="AUC22" s="43"/>
      <c r="AUD22" s="43"/>
      <c r="AUE22" s="43"/>
      <c r="AUF22" s="43"/>
      <c r="AUG22" s="43"/>
      <c r="AUH22" s="43"/>
      <c r="AUI22" s="43"/>
      <c r="AUJ22" s="43"/>
      <c r="AUK22" s="43"/>
      <c r="AUL22" s="43"/>
      <c r="AUM22" s="43"/>
      <c r="AUN22" s="43"/>
      <c r="AUO22" s="43"/>
      <c r="AUP22" s="43"/>
      <c r="AUQ22" s="43"/>
      <c r="AUR22" s="43"/>
      <c r="AUS22" s="43"/>
      <c r="AUT22" s="43"/>
      <c r="AUU22" s="43"/>
      <c r="AUV22" s="43"/>
      <c r="AUW22" s="43"/>
      <c r="AUX22" s="43"/>
      <c r="AUY22" s="43"/>
      <c r="AUZ22" s="43"/>
      <c r="AVA22" s="43"/>
      <c r="AVB22" s="43"/>
      <c r="AVC22" s="43"/>
      <c r="AVD22" s="43"/>
      <c r="AVE22" s="43"/>
      <c r="AVF22" s="43"/>
      <c r="AVG22" s="43"/>
      <c r="AVH22" s="43"/>
      <c r="AVI22" s="43"/>
      <c r="AVJ22" s="43"/>
      <c r="AVK22" s="43"/>
      <c r="AVL22" s="43"/>
      <c r="AVM22" s="43"/>
      <c r="AVN22" s="43"/>
      <c r="AVO22" s="43"/>
      <c r="AVP22" s="43"/>
      <c r="AVQ22" s="43"/>
      <c r="AVR22" s="43"/>
      <c r="AVS22" s="43"/>
      <c r="AVT22" s="43"/>
      <c r="AVU22" s="43"/>
      <c r="AVV22" s="43"/>
      <c r="AVW22" s="43"/>
      <c r="AVX22" s="43"/>
      <c r="AVY22" s="43"/>
      <c r="AVZ22" s="43"/>
      <c r="AWA22" s="43"/>
      <c r="AWB22" s="43"/>
      <c r="AWC22" s="43"/>
      <c r="AWD22" s="43"/>
      <c r="AWE22" s="43"/>
      <c r="AWF22" s="43"/>
      <c r="AWG22" s="43"/>
      <c r="AWH22" s="43"/>
      <c r="AWI22" s="43"/>
      <c r="AWJ22" s="43"/>
      <c r="AWK22" s="43"/>
      <c r="AWL22" s="43"/>
      <c r="AWM22" s="43"/>
      <c r="AWN22" s="43"/>
      <c r="AWO22" s="43"/>
      <c r="AWP22" s="43"/>
      <c r="AWQ22" s="43"/>
      <c r="AWR22" s="43"/>
      <c r="AWS22" s="43"/>
      <c r="AWT22" s="43"/>
      <c r="AWU22" s="43"/>
      <c r="AWV22" s="43"/>
      <c r="AWW22" s="43"/>
      <c r="AWX22" s="43"/>
      <c r="AWY22" s="43"/>
      <c r="AWZ22" s="43"/>
      <c r="AXA22" s="43"/>
      <c r="AXB22" s="43"/>
      <c r="AXC22" s="43"/>
      <c r="AXD22" s="43"/>
      <c r="AXE22" s="43"/>
      <c r="AXF22" s="43"/>
      <c r="AXG22" s="43"/>
      <c r="AXH22" s="43"/>
      <c r="AXI22" s="43"/>
      <c r="AXJ22" s="43"/>
      <c r="AXK22" s="43"/>
      <c r="AXL22" s="43"/>
      <c r="AXM22" s="43"/>
      <c r="AXN22" s="43"/>
      <c r="AXO22" s="43"/>
      <c r="AXP22" s="43"/>
      <c r="AXQ22" s="43"/>
      <c r="AXR22" s="43"/>
      <c r="AXS22" s="43"/>
      <c r="AXT22" s="43"/>
      <c r="AXU22" s="43"/>
      <c r="AXV22" s="43"/>
      <c r="AXW22" s="43"/>
      <c r="AXX22" s="43"/>
      <c r="AXY22" s="43"/>
      <c r="AXZ22" s="43"/>
      <c r="AYA22" s="43"/>
      <c r="AYB22" s="43"/>
      <c r="AYC22" s="43"/>
      <c r="AYD22" s="43"/>
      <c r="AYE22" s="43"/>
      <c r="AYF22" s="43"/>
      <c r="AYG22" s="43"/>
      <c r="AYH22" s="43"/>
      <c r="AYI22" s="43"/>
      <c r="AYJ22" s="43"/>
      <c r="AYK22" s="43"/>
      <c r="AYL22" s="43"/>
      <c r="AYM22" s="43"/>
      <c r="AYN22" s="43"/>
      <c r="AYO22" s="43"/>
      <c r="AYP22" s="43"/>
      <c r="AYQ22" s="43"/>
      <c r="AYR22" s="43"/>
      <c r="AYS22" s="43"/>
      <c r="AYT22" s="43"/>
      <c r="AYU22" s="43"/>
      <c r="AYV22" s="43"/>
      <c r="AYW22" s="43"/>
      <c r="AYX22" s="43"/>
      <c r="AYY22" s="43"/>
      <c r="AYZ22" s="43"/>
      <c r="AZA22" s="43"/>
      <c r="AZB22" s="43"/>
      <c r="AZC22" s="43"/>
      <c r="AZD22" s="43"/>
      <c r="AZE22" s="43"/>
      <c r="AZF22" s="43"/>
      <c r="AZG22" s="43"/>
      <c r="AZH22" s="43"/>
      <c r="AZI22" s="43"/>
      <c r="AZJ22" s="43"/>
      <c r="AZK22" s="43"/>
      <c r="AZL22" s="43"/>
      <c r="AZM22" s="43"/>
      <c r="AZN22" s="43"/>
      <c r="AZO22" s="43"/>
      <c r="AZP22" s="43"/>
      <c r="AZQ22" s="43"/>
      <c r="AZR22" s="43"/>
      <c r="AZS22" s="43"/>
      <c r="AZT22" s="43"/>
      <c r="AZU22" s="43"/>
      <c r="AZV22" s="43"/>
      <c r="AZW22" s="43"/>
      <c r="AZX22" s="43"/>
      <c r="AZY22" s="43"/>
      <c r="AZZ22" s="43"/>
      <c r="BAA22" s="43"/>
      <c r="BAB22" s="43"/>
      <c r="BAC22" s="43"/>
      <c r="BAD22" s="43"/>
      <c r="BAE22" s="43"/>
      <c r="BAF22" s="43"/>
      <c r="BAG22" s="43"/>
      <c r="BAH22" s="43"/>
      <c r="BAI22" s="43"/>
      <c r="BAJ22" s="43"/>
      <c r="BAK22" s="43"/>
      <c r="BAL22" s="43"/>
      <c r="BAM22" s="43"/>
      <c r="BAN22" s="43"/>
      <c r="BAO22" s="43"/>
      <c r="BAP22" s="43"/>
      <c r="BAQ22" s="43"/>
      <c r="BAR22" s="43"/>
      <c r="BAS22" s="43"/>
      <c r="BAT22" s="43"/>
      <c r="BAU22" s="43"/>
      <c r="BAV22" s="43"/>
      <c r="BAW22" s="43"/>
      <c r="BAX22" s="43"/>
      <c r="BAY22" s="43"/>
      <c r="BAZ22" s="43"/>
      <c r="BBA22" s="43"/>
      <c r="BBB22" s="43"/>
      <c r="BBC22" s="43"/>
      <c r="BBD22" s="43"/>
      <c r="BBE22" s="43"/>
      <c r="BBF22" s="43"/>
      <c r="BBG22" s="43"/>
      <c r="BBH22" s="43"/>
      <c r="BBI22" s="43"/>
      <c r="BBJ22" s="43"/>
      <c r="BBK22" s="43"/>
      <c r="BBL22" s="43"/>
      <c r="BBM22" s="43"/>
      <c r="BBN22" s="43"/>
      <c r="BBO22" s="43"/>
      <c r="BBP22" s="43"/>
      <c r="BBQ22" s="43"/>
      <c r="BBR22" s="43"/>
      <c r="BBS22" s="43"/>
      <c r="BBT22" s="43"/>
      <c r="BBU22" s="43"/>
      <c r="BBV22" s="43"/>
      <c r="BBW22" s="43"/>
      <c r="BBX22" s="43"/>
      <c r="BBY22" s="43"/>
      <c r="BBZ22" s="43"/>
      <c r="BCA22" s="43"/>
      <c r="BCB22" s="43"/>
      <c r="BCC22" s="43"/>
      <c r="BCD22" s="43"/>
      <c r="BCE22" s="43"/>
      <c r="BCF22" s="43"/>
      <c r="BCG22" s="43"/>
      <c r="BCH22" s="43"/>
      <c r="BCI22" s="43"/>
      <c r="BCJ22" s="43"/>
      <c r="BCK22" s="43"/>
      <c r="BCL22" s="43"/>
      <c r="BCM22" s="43"/>
      <c r="BCN22" s="43"/>
      <c r="BCO22" s="43"/>
      <c r="BCP22" s="43"/>
      <c r="BCQ22" s="43"/>
    </row>
    <row r="23" spans="1:1447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  <c r="QI23" s="43"/>
      <c r="QJ23" s="43"/>
      <c r="QK23" s="43"/>
      <c r="QL23" s="43"/>
      <c r="QM23" s="43"/>
      <c r="QN23" s="43"/>
      <c r="QO23" s="43"/>
      <c r="QP23" s="43"/>
      <c r="QQ23" s="43"/>
      <c r="QR23" s="43"/>
      <c r="QS23" s="43"/>
      <c r="QT23" s="43"/>
      <c r="QU23" s="43"/>
      <c r="QV23" s="43"/>
      <c r="QW23" s="43"/>
      <c r="QX23" s="43"/>
      <c r="QY23" s="43"/>
      <c r="QZ23" s="43"/>
      <c r="RA23" s="43"/>
      <c r="RB23" s="43"/>
      <c r="RC23" s="43"/>
      <c r="RD23" s="43"/>
      <c r="RE23" s="43"/>
      <c r="RF23" s="43"/>
      <c r="RG23" s="43"/>
      <c r="RH23" s="43"/>
      <c r="RI23" s="43"/>
      <c r="RJ23" s="43"/>
      <c r="RK23" s="43"/>
      <c r="RL23" s="43"/>
      <c r="RM23" s="43"/>
      <c r="RN23" s="43"/>
      <c r="RO23" s="43"/>
      <c r="RP23" s="43"/>
      <c r="RQ23" s="43"/>
      <c r="RR23" s="43"/>
      <c r="RS23" s="43"/>
      <c r="RT23" s="43"/>
      <c r="RU23" s="43"/>
      <c r="RV23" s="43"/>
      <c r="RW23" s="43"/>
      <c r="RX23" s="43"/>
      <c r="RY23" s="43"/>
      <c r="RZ23" s="43"/>
      <c r="SA23" s="43"/>
      <c r="SB23" s="43"/>
      <c r="SC23" s="43"/>
      <c r="SD23" s="43"/>
      <c r="SE23" s="43"/>
      <c r="SF23" s="43"/>
      <c r="SG23" s="43"/>
      <c r="SH23" s="43"/>
      <c r="SI23" s="43"/>
      <c r="SJ23" s="43"/>
      <c r="SK23" s="43"/>
      <c r="SL23" s="43"/>
      <c r="SM23" s="43"/>
      <c r="SN23" s="43"/>
      <c r="SO23" s="43"/>
      <c r="SP23" s="43"/>
      <c r="SQ23" s="43"/>
      <c r="SR23" s="43"/>
      <c r="SS23" s="43"/>
      <c r="ST23" s="43"/>
      <c r="SU23" s="43"/>
      <c r="SV23" s="43"/>
      <c r="SW23" s="43"/>
      <c r="SX23" s="43"/>
      <c r="SY23" s="43"/>
      <c r="SZ23" s="43"/>
      <c r="TA23" s="43"/>
      <c r="TB23" s="43"/>
      <c r="TC23" s="43"/>
      <c r="TD23" s="43"/>
      <c r="TE23" s="43"/>
      <c r="TF23" s="43"/>
      <c r="TG23" s="43"/>
      <c r="TH23" s="43"/>
      <c r="TI23" s="43"/>
      <c r="TJ23" s="43"/>
      <c r="TK23" s="43"/>
      <c r="TL23" s="43"/>
      <c r="TM23" s="43"/>
      <c r="TN23" s="43"/>
      <c r="TO23" s="43"/>
      <c r="TP23" s="43"/>
      <c r="TQ23" s="43"/>
      <c r="TR23" s="43"/>
      <c r="TS23" s="43"/>
      <c r="TT23" s="43"/>
      <c r="TU23" s="43"/>
      <c r="TV23" s="59" t="s">
        <v>314</v>
      </c>
      <c r="TW23" s="58"/>
      <c r="TX23" s="43"/>
      <c r="TY23" s="43"/>
      <c r="TZ23" s="43"/>
      <c r="UA23" s="43"/>
      <c r="UB23" s="43"/>
      <c r="UC23" s="43"/>
      <c r="UD23" s="43"/>
      <c r="UE23" s="43"/>
      <c r="UF23" s="43"/>
      <c r="UG23" s="43"/>
      <c r="UH23" s="43"/>
      <c r="UI23" s="43"/>
      <c r="UJ23" s="43"/>
      <c r="UK23" s="43"/>
      <c r="UL23" s="43"/>
      <c r="UM23" s="43"/>
      <c r="UN23" s="43"/>
      <c r="UO23" s="43"/>
      <c r="UP23" s="43"/>
      <c r="UQ23" s="43"/>
      <c r="UR23" s="43"/>
      <c r="US23" s="43"/>
      <c r="UT23" s="43"/>
      <c r="UU23" s="43"/>
      <c r="UV23" s="43"/>
      <c r="UW23" s="43"/>
      <c r="UX23" s="43"/>
      <c r="UY23" s="43"/>
      <c r="UZ23" s="43"/>
      <c r="VA23" s="43"/>
      <c r="VB23" s="43"/>
      <c r="VC23" s="43"/>
      <c r="VD23" s="43"/>
      <c r="VE23" s="43"/>
      <c r="VF23" s="43"/>
      <c r="VG23" s="43"/>
      <c r="VH23" s="43"/>
      <c r="VI23" s="43"/>
      <c r="VJ23" s="43"/>
      <c r="VK23" s="43"/>
      <c r="VL23" s="43"/>
      <c r="VM23" s="43"/>
      <c r="VN23" s="43"/>
      <c r="VO23" s="43"/>
      <c r="VP23" s="43"/>
      <c r="VQ23" s="43"/>
      <c r="VR23" s="43"/>
      <c r="VS23" s="43"/>
      <c r="VT23" s="43"/>
      <c r="VU23" s="43"/>
      <c r="VV23" s="43"/>
      <c r="VW23" s="43"/>
      <c r="VX23" s="43"/>
      <c r="VY23" s="43"/>
      <c r="VZ23" s="43"/>
      <c r="WA23" s="43"/>
      <c r="WB23" s="43"/>
      <c r="WC23" s="43"/>
      <c r="WD23" s="43"/>
      <c r="WE23" s="43"/>
      <c r="WF23" s="43"/>
      <c r="WG23" s="43"/>
      <c r="WH23" s="43"/>
      <c r="WI23" s="43"/>
      <c r="WJ23" s="43"/>
      <c r="WK23" s="43"/>
      <c r="WL23" s="43"/>
      <c r="WM23" s="43"/>
      <c r="WN23" s="43"/>
      <c r="WO23" s="43"/>
      <c r="WP23" s="43"/>
      <c r="WQ23" s="43"/>
      <c r="WR23" s="43"/>
      <c r="WS23" s="43"/>
      <c r="WT23" s="43"/>
      <c r="WU23" s="43"/>
      <c r="WV23" s="43"/>
      <c r="WW23" s="43"/>
      <c r="WX23" s="43"/>
      <c r="WY23" s="43"/>
      <c r="WZ23" s="43"/>
      <c r="XA23" s="43"/>
      <c r="XB23" s="43"/>
      <c r="XC23" s="43"/>
      <c r="XD23" s="43"/>
      <c r="XE23" s="43"/>
      <c r="XF23" s="43"/>
      <c r="XG23" s="43"/>
      <c r="XH23" s="43"/>
      <c r="XI23" s="43"/>
      <c r="XJ23" s="43"/>
      <c r="XK23" s="43"/>
      <c r="XL23" s="43"/>
      <c r="XM23" s="43"/>
      <c r="XN23" s="43"/>
      <c r="XO23" s="43"/>
      <c r="XP23" s="43"/>
      <c r="XQ23" s="43"/>
      <c r="XR23" s="43"/>
      <c r="XS23" s="43"/>
      <c r="XT23" s="43"/>
      <c r="XU23" s="43"/>
      <c r="XV23" s="43"/>
      <c r="XW23" s="43"/>
      <c r="XX23" s="43"/>
      <c r="XY23" s="43"/>
      <c r="XZ23" s="43"/>
      <c r="YA23" s="43"/>
      <c r="YB23" s="43"/>
      <c r="YC23" s="43"/>
      <c r="YD23" s="43"/>
      <c r="YE23" s="43"/>
      <c r="YF23" s="43"/>
      <c r="YG23" s="43"/>
      <c r="YH23" s="43"/>
      <c r="YI23" s="43"/>
      <c r="YJ23" s="43"/>
      <c r="YK23" s="43"/>
      <c r="YL23" s="43"/>
      <c r="YM23" s="43"/>
      <c r="YN23" s="43"/>
      <c r="YO23" s="43"/>
      <c r="YP23" s="43"/>
      <c r="YQ23" s="43"/>
      <c r="YR23" s="43"/>
      <c r="YS23" s="43"/>
      <c r="YT23" s="43"/>
      <c r="YU23" s="43"/>
      <c r="YV23" s="43"/>
      <c r="YW23" s="43"/>
      <c r="YX23" s="43"/>
      <c r="YY23" s="43"/>
      <c r="YZ23" s="43"/>
      <c r="ZA23" s="43"/>
      <c r="ZB23" s="43"/>
      <c r="ZC23" s="43"/>
      <c r="ZD23" s="43"/>
      <c r="ZE23" s="43"/>
      <c r="ZF23" s="43"/>
      <c r="ZG23" s="43"/>
      <c r="ZH23" s="43"/>
      <c r="ZI23" s="43"/>
      <c r="ZJ23" s="43"/>
      <c r="ZK23" s="43"/>
      <c r="ZL23" s="43"/>
      <c r="ZM23" s="43"/>
      <c r="ZN23" s="43"/>
      <c r="ZO23" s="43"/>
      <c r="ZP23" s="43"/>
      <c r="ZQ23" s="43"/>
      <c r="ZR23" s="43"/>
      <c r="ZS23" s="43"/>
      <c r="ZT23" s="43"/>
      <c r="ZU23" s="43"/>
      <c r="ZV23" s="43"/>
      <c r="ZW23" s="43"/>
      <c r="ZX23" s="43"/>
      <c r="ZY23" s="43"/>
      <c r="ZZ23" s="43"/>
      <c r="AAA23" s="43"/>
      <c r="AAB23" s="43"/>
      <c r="AAC23" s="43"/>
      <c r="AAD23" s="43"/>
      <c r="AAE23" s="43"/>
      <c r="AAF23" s="43"/>
      <c r="AAG23" s="43"/>
      <c r="AAH23" s="43"/>
      <c r="AAI23" s="43"/>
      <c r="AAJ23" s="43"/>
      <c r="AAK23" s="43"/>
      <c r="AAL23" s="43"/>
      <c r="AAM23" s="43"/>
      <c r="AAN23" s="43"/>
      <c r="AAO23" s="43"/>
      <c r="AAP23" s="43"/>
      <c r="AAQ23" s="43"/>
      <c r="AAR23" s="43"/>
      <c r="AAS23" s="43"/>
      <c r="AAT23" s="43"/>
      <c r="AAU23" s="43"/>
      <c r="AAV23" s="43"/>
      <c r="AAW23" s="43"/>
      <c r="AAX23" s="43"/>
      <c r="AAY23" s="43"/>
      <c r="AAZ23" s="43"/>
      <c r="ABA23" s="43"/>
      <c r="ABB23" s="43"/>
      <c r="ABC23" s="43"/>
      <c r="ABD23" s="43"/>
      <c r="ABE23" s="43"/>
      <c r="ABF23" s="43"/>
      <c r="ABG23" s="43"/>
      <c r="ABH23" s="43"/>
      <c r="ABI23" s="43"/>
      <c r="ABJ23" s="43"/>
      <c r="ABK23" s="43"/>
      <c r="ABL23" s="43"/>
      <c r="ABM23" s="43"/>
      <c r="ABN23" s="43"/>
      <c r="ABO23" s="43"/>
      <c r="ABP23" s="43"/>
      <c r="ABQ23" s="43"/>
      <c r="ABR23" s="43"/>
      <c r="ABS23" s="43"/>
      <c r="ABT23" s="43"/>
      <c r="ABU23" s="43"/>
      <c r="ABV23" s="43"/>
      <c r="ABW23" s="43"/>
      <c r="ABX23" s="43"/>
      <c r="ABY23" s="43"/>
      <c r="ABZ23" s="43"/>
      <c r="ACA23" s="43"/>
      <c r="ACB23" s="43"/>
      <c r="ACC23" s="43"/>
      <c r="ACD23" s="43"/>
      <c r="ACE23" s="43"/>
      <c r="ACF23" s="43"/>
      <c r="ACG23" s="43"/>
      <c r="ACH23" s="43"/>
      <c r="ACI23" s="43"/>
      <c r="ACJ23" s="43"/>
      <c r="ACK23" s="43"/>
      <c r="ACL23" s="43"/>
      <c r="ACM23" s="43"/>
      <c r="ACN23" s="43"/>
      <c r="ACO23" s="43"/>
      <c r="ACP23" s="43"/>
      <c r="ACQ23" s="43"/>
      <c r="ACR23" s="43"/>
      <c r="ACS23" s="43"/>
      <c r="ACT23" s="43"/>
      <c r="ACU23" s="43"/>
      <c r="ACV23" s="43"/>
      <c r="ACW23" s="43"/>
      <c r="ACX23" s="43"/>
      <c r="ACY23" s="43"/>
      <c r="ACZ23" s="43"/>
      <c r="ADA23" s="43"/>
      <c r="ADB23" s="43"/>
      <c r="ADC23" s="43"/>
      <c r="ADD23" s="43"/>
      <c r="ADE23" s="43"/>
      <c r="ADF23" s="43"/>
      <c r="ADG23" s="43"/>
      <c r="ADH23" s="43"/>
      <c r="ADI23" s="43"/>
      <c r="ADJ23" s="43"/>
      <c r="ADK23" s="43"/>
      <c r="ADL23" s="43"/>
      <c r="ADM23" s="43"/>
      <c r="ADN23" s="43"/>
      <c r="ADO23" s="43"/>
      <c r="ADP23" s="43"/>
      <c r="ADQ23" s="43"/>
      <c r="ADR23" s="43"/>
      <c r="ADS23" s="43"/>
      <c r="ADT23" s="43"/>
      <c r="ADU23" s="43"/>
      <c r="ADV23" s="43"/>
      <c r="ADW23" s="43"/>
      <c r="ADX23" s="43"/>
      <c r="ADY23" s="43"/>
      <c r="ADZ23" s="43"/>
      <c r="AEA23" s="43"/>
      <c r="AEB23" s="43"/>
      <c r="AEC23" s="43"/>
      <c r="AED23" s="43"/>
      <c r="AEE23" s="43"/>
      <c r="AEF23" s="43"/>
      <c r="AEG23" s="43"/>
      <c r="AEH23" s="43"/>
      <c r="AEI23" s="43"/>
      <c r="AEJ23" s="43"/>
      <c r="AEK23" s="43"/>
      <c r="AEL23" s="43"/>
      <c r="AEM23" s="43"/>
      <c r="AEN23" s="43"/>
      <c r="AEO23" s="43"/>
      <c r="AEP23" s="43"/>
      <c r="AEQ23" s="43"/>
      <c r="AER23" s="43"/>
      <c r="AES23" s="43"/>
      <c r="AET23" s="43"/>
      <c r="AEU23" s="43"/>
      <c r="AEV23" s="43"/>
      <c r="AEW23" s="43"/>
      <c r="AEX23" s="43"/>
      <c r="AEY23" s="43"/>
      <c r="AEZ23" s="43"/>
      <c r="AFA23" s="43"/>
      <c r="AFB23" s="43"/>
      <c r="AFC23" s="43"/>
      <c r="AFD23" s="43"/>
      <c r="AFE23" s="43"/>
      <c r="AFF23" s="43"/>
      <c r="AFG23" s="43"/>
      <c r="AFH23" s="43"/>
      <c r="AFI23" s="43"/>
      <c r="AFJ23" s="43"/>
      <c r="AFK23" s="43"/>
      <c r="AFL23" s="43"/>
      <c r="AFM23" s="43"/>
      <c r="AFN23" s="43"/>
      <c r="AFO23" s="43"/>
      <c r="AFP23" s="43"/>
      <c r="AFQ23" s="43"/>
      <c r="AFR23" s="43"/>
      <c r="AFS23" s="43"/>
      <c r="AFT23" s="43"/>
      <c r="AFU23" s="43"/>
      <c r="AFV23" s="43"/>
      <c r="AFW23" s="43"/>
      <c r="AFX23" s="43"/>
      <c r="AFY23" s="43"/>
      <c r="AFZ23" s="43"/>
      <c r="AGA23" s="43"/>
      <c r="AGB23" s="43"/>
      <c r="AGC23" s="43"/>
      <c r="AGD23" s="43"/>
      <c r="AGE23" s="43"/>
      <c r="AGF23" s="43"/>
      <c r="AGG23" s="43"/>
      <c r="AGH23" s="43"/>
      <c r="AGI23" s="43"/>
      <c r="AGJ23" s="43"/>
      <c r="AGK23" s="43"/>
      <c r="AGL23" s="43"/>
      <c r="AGM23" s="43"/>
      <c r="AGN23" s="43"/>
      <c r="AGO23" s="43"/>
      <c r="AGP23" s="43"/>
      <c r="AGQ23" s="43"/>
      <c r="AGR23" s="43"/>
      <c r="AGS23" s="43"/>
      <c r="AGT23" s="43"/>
      <c r="AGU23" s="43"/>
      <c r="AGV23" s="43"/>
      <c r="AGW23" s="43"/>
      <c r="AGX23" s="43"/>
      <c r="AGY23" s="43"/>
      <c r="AGZ23" s="43"/>
      <c r="AHA23" s="43"/>
      <c r="AHB23" s="43"/>
      <c r="AHC23" s="43"/>
      <c r="AHD23" s="43"/>
      <c r="AHE23" s="43"/>
      <c r="AHF23" s="43"/>
      <c r="AHG23" s="43"/>
      <c r="AHH23" s="43"/>
      <c r="AHI23" s="43"/>
      <c r="AHJ23" s="43"/>
      <c r="AHK23" s="43"/>
      <c r="AHL23" s="43"/>
      <c r="AHM23" s="43"/>
      <c r="AHN23" s="43"/>
      <c r="AHO23" s="43"/>
      <c r="AHP23" s="43"/>
      <c r="AHQ23" s="43"/>
      <c r="AHR23" s="43"/>
      <c r="AHS23" s="43"/>
      <c r="AHT23" s="43"/>
      <c r="AHU23" s="43"/>
      <c r="AHV23" s="43"/>
      <c r="AHW23" s="43"/>
      <c r="AHX23" s="43"/>
      <c r="AHY23" s="43"/>
      <c r="AHZ23" s="43"/>
      <c r="AIA23" s="43"/>
      <c r="AIB23" s="43"/>
      <c r="AIC23" s="43"/>
      <c r="AID23" s="43"/>
      <c r="AIE23" s="43"/>
      <c r="AIF23" s="43"/>
      <c r="AIG23" s="43"/>
      <c r="AIH23" s="43"/>
      <c r="AII23" s="43"/>
      <c r="AIJ23" s="43"/>
      <c r="AIK23" s="43"/>
      <c r="AIL23" s="43"/>
      <c r="AIM23" s="43"/>
      <c r="AIN23" s="43"/>
      <c r="AIO23" s="43"/>
      <c r="AIP23" s="43"/>
      <c r="AIQ23" s="43"/>
      <c r="AIR23" s="43"/>
      <c r="AIS23" s="43"/>
      <c r="AIT23" s="43"/>
      <c r="AIU23" s="43"/>
      <c r="AIV23" s="43"/>
      <c r="AIW23" s="43"/>
      <c r="AIX23" s="43"/>
      <c r="AIY23" s="43"/>
      <c r="AIZ23" s="43"/>
      <c r="AJA23" s="43"/>
      <c r="AJB23" s="43"/>
      <c r="AJC23" s="43"/>
      <c r="AJD23" s="43"/>
      <c r="AJE23" s="43"/>
      <c r="AJF23" s="43"/>
      <c r="AJG23" s="43"/>
      <c r="AJH23" s="43"/>
      <c r="AJI23" s="43"/>
      <c r="AJJ23" s="43"/>
      <c r="AJK23" s="43"/>
      <c r="AJL23" s="43"/>
      <c r="AJM23" s="43"/>
      <c r="AJN23" s="43"/>
      <c r="AJO23" s="43"/>
      <c r="AJP23" s="43"/>
      <c r="AJQ23" s="43"/>
      <c r="AJR23" s="43"/>
      <c r="AJS23" s="43"/>
      <c r="AJT23" s="43"/>
      <c r="AJU23" s="43"/>
      <c r="AJV23" s="43"/>
      <c r="AJW23" s="43"/>
      <c r="AJX23" s="43"/>
      <c r="AJY23" s="43"/>
      <c r="AJZ23" s="43"/>
      <c r="AKA23" s="43"/>
      <c r="AKB23" s="43"/>
      <c r="AKC23" s="43"/>
      <c r="AKD23" s="43"/>
      <c r="AKE23" s="43"/>
      <c r="AKF23" s="43"/>
      <c r="AKG23" s="43"/>
      <c r="AKH23" s="43"/>
      <c r="AKI23" s="43"/>
      <c r="AKJ23" s="43"/>
      <c r="AKK23" s="43"/>
      <c r="AKL23" s="43"/>
      <c r="AKM23" s="43"/>
      <c r="AKN23" s="43"/>
      <c r="AKO23" s="43"/>
      <c r="AKP23" s="43"/>
      <c r="AKQ23" s="43"/>
      <c r="AKR23" s="43"/>
      <c r="AKS23" s="43"/>
      <c r="AKT23" s="43"/>
      <c r="AKU23" s="43"/>
      <c r="AKV23" s="43"/>
      <c r="AKW23" s="43"/>
      <c r="AKX23" s="43"/>
      <c r="AKY23" s="43"/>
      <c r="AKZ23" s="43"/>
      <c r="ALA23" s="43"/>
      <c r="ALB23" s="43"/>
      <c r="ALC23" s="43"/>
      <c r="ALD23" s="43"/>
      <c r="ALE23" s="43"/>
      <c r="ALF23" s="43"/>
      <c r="ALG23" s="43"/>
      <c r="ALH23" s="43"/>
      <c r="ALI23" s="43"/>
      <c r="ALJ23" s="43"/>
      <c r="ALK23" s="43"/>
      <c r="ALL23" s="43"/>
      <c r="ALM23" s="43"/>
      <c r="ALN23" s="43"/>
      <c r="ALO23" s="43"/>
      <c r="ALP23" s="43"/>
      <c r="ALQ23" s="43"/>
      <c r="ALR23" s="43"/>
      <c r="ALS23" s="43"/>
      <c r="ALT23" s="43"/>
      <c r="ALU23" s="43"/>
      <c r="ALV23" s="43"/>
      <c r="ALW23" s="43"/>
      <c r="ALX23" s="43"/>
      <c r="ALY23" s="43"/>
      <c r="ALZ23" s="43"/>
      <c r="AMA23" s="43"/>
      <c r="AMB23" s="43"/>
      <c r="AMC23" s="43"/>
      <c r="AMD23" s="43"/>
      <c r="AME23" s="43"/>
      <c r="AMF23" s="43"/>
      <c r="AMG23" s="43"/>
      <c r="AMH23" s="43"/>
      <c r="AMI23" s="43"/>
      <c r="AMJ23" s="43"/>
      <c r="AMK23" s="43"/>
      <c r="AML23" s="43"/>
      <c r="AMM23" s="43"/>
      <c r="AMN23" s="43"/>
      <c r="AMO23" s="43"/>
      <c r="AMP23" s="43"/>
      <c r="AMQ23" s="43"/>
      <c r="AMR23" s="43"/>
      <c r="AMS23" s="43"/>
      <c r="AMT23" s="43"/>
      <c r="AMU23" s="43"/>
      <c r="AMV23" s="43"/>
      <c r="AMW23" s="43"/>
      <c r="AMX23" s="43"/>
      <c r="AMY23" s="43"/>
      <c r="AMZ23" s="43"/>
      <c r="ANA23" s="43"/>
      <c r="ANB23" s="43"/>
      <c r="ANC23" s="43"/>
      <c r="AND23" s="43"/>
      <c r="ANE23" s="43"/>
      <c r="ANF23" s="43"/>
      <c r="ANJ23" s="43"/>
      <c r="ANK23" s="43"/>
      <c r="ANL23" s="43"/>
      <c r="ANM23" s="43"/>
      <c r="ANN23" s="43"/>
      <c r="ANO23" s="43"/>
      <c r="ANP23" s="43"/>
      <c r="ANQ23" s="43"/>
      <c r="ANR23" s="43"/>
      <c r="ANS23" s="43"/>
      <c r="ANT23" s="43"/>
      <c r="ANU23" s="43"/>
      <c r="ANV23" s="43"/>
      <c r="ANW23" s="43"/>
      <c r="ANX23" s="43"/>
      <c r="ANY23" s="43"/>
      <c r="ANZ23" s="43"/>
      <c r="AOA23" s="43"/>
      <c r="AOB23" s="43"/>
      <c r="AOC23" s="43"/>
      <c r="AOD23" s="43"/>
      <c r="AOE23" s="43"/>
      <c r="AOF23" s="43"/>
      <c r="AOG23" s="43"/>
      <c r="AOH23" s="43"/>
      <c r="AOI23" s="43"/>
      <c r="AOJ23" s="43"/>
      <c r="AOK23" s="43"/>
      <c r="AOL23" s="43"/>
      <c r="AOM23" s="43"/>
      <c r="AON23" s="43"/>
      <c r="AOO23" s="43"/>
      <c r="AOP23" s="43"/>
      <c r="AOQ23" s="43"/>
      <c r="AOR23" s="43"/>
      <c r="AOS23" s="43"/>
      <c r="AOT23" s="43"/>
      <c r="AOU23" s="43"/>
      <c r="AOV23" s="43"/>
      <c r="AOW23" s="43"/>
      <c r="AOX23" s="43"/>
      <c r="AOY23" s="43"/>
      <c r="AOZ23" s="43"/>
      <c r="APA23" s="43"/>
      <c r="APB23" s="43"/>
      <c r="APC23" s="43"/>
      <c r="APD23" s="43"/>
      <c r="APE23" s="43"/>
      <c r="APF23" s="43"/>
      <c r="APG23" s="43"/>
      <c r="APH23" s="43"/>
      <c r="API23" s="43"/>
      <c r="APJ23" s="43"/>
      <c r="APK23" s="43"/>
      <c r="APL23" s="43"/>
      <c r="APM23" s="43"/>
      <c r="APN23" s="43"/>
      <c r="APO23" s="43"/>
      <c r="APP23" s="43"/>
      <c r="APQ23" s="43"/>
      <c r="APR23" s="43"/>
      <c r="APS23" s="43"/>
      <c r="APT23" s="43"/>
      <c r="APU23" s="43"/>
      <c r="APV23" s="43"/>
      <c r="APW23" s="43"/>
      <c r="APX23" s="43"/>
      <c r="APY23" s="43"/>
      <c r="APZ23" s="43"/>
      <c r="AQA23" s="43"/>
      <c r="AQB23" s="43"/>
      <c r="AQC23" s="43"/>
      <c r="AQD23" s="43"/>
      <c r="AQE23" s="43"/>
      <c r="AQF23" s="43"/>
      <c r="AQG23" s="43"/>
      <c r="AQH23" s="43"/>
      <c r="AQI23" s="43"/>
      <c r="AQJ23" s="43"/>
      <c r="AQK23" s="43"/>
      <c r="AQL23" s="43"/>
      <c r="AQM23" s="43"/>
      <c r="AQN23" s="43"/>
      <c r="AQO23" s="43"/>
      <c r="AQP23" s="43"/>
      <c r="AQQ23" s="43"/>
      <c r="AQR23" s="43"/>
      <c r="AQS23" s="43"/>
      <c r="AQT23" s="43"/>
      <c r="AQU23" s="43"/>
      <c r="AQV23" s="43"/>
      <c r="AQW23" s="43"/>
      <c r="AQX23" s="43"/>
      <c r="AQY23" s="43"/>
      <c r="AQZ23" s="43"/>
      <c r="ARA23" s="43"/>
      <c r="ARB23" s="43"/>
      <c r="ARC23" s="43"/>
      <c r="ARD23" s="43"/>
      <c r="ARE23" s="43"/>
      <c r="ARF23" s="43"/>
      <c r="ARG23" s="43"/>
      <c r="ARH23" s="43"/>
      <c r="ARI23" s="43"/>
      <c r="ARJ23" s="43"/>
      <c r="ARK23" s="43"/>
      <c r="ARL23" s="43"/>
      <c r="ARM23" s="43"/>
      <c r="ARN23" s="43"/>
      <c r="ARO23" s="43"/>
      <c r="ARP23" s="43"/>
      <c r="ARQ23" s="43"/>
      <c r="ARR23" s="43"/>
      <c r="ARS23" s="43"/>
      <c r="ART23" s="43"/>
      <c r="ARU23" s="43"/>
      <c r="ARV23" s="43"/>
      <c r="ARW23" s="43"/>
      <c r="ARX23" s="43"/>
      <c r="ARY23" s="43"/>
      <c r="ARZ23" s="43"/>
      <c r="ASA23" s="43"/>
      <c r="ASB23" s="43"/>
      <c r="ASC23" s="43"/>
      <c r="ASD23" s="43"/>
      <c r="ASE23" s="43"/>
      <c r="ASF23" s="43"/>
      <c r="ASG23" s="43"/>
      <c r="ASH23" s="43"/>
      <c r="ASI23" s="43"/>
      <c r="ASJ23" s="43"/>
      <c r="ASK23" s="43"/>
      <c r="ASL23" s="43"/>
      <c r="ASM23" s="43"/>
      <c r="ASN23" s="43"/>
      <c r="ASO23" s="43"/>
      <c r="ASP23" s="43"/>
      <c r="ASQ23" s="43"/>
      <c r="ASR23" s="43"/>
      <c r="ASS23" s="43"/>
      <c r="AST23" s="43"/>
      <c r="ASU23" s="43"/>
      <c r="ASV23" s="43"/>
      <c r="ASW23" s="43"/>
      <c r="ASX23" s="43"/>
      <c r="ASY23" s="43"/>
      <c r="ASZ23" s="43"/>
      <c r="ATA23" s="43"/>
      <c r="ATB23" s="43"/>
      <c r="ATC23" s="43"/>
      <c r="ATD23" s="43"/>
      <c r="ATE23" s="43"/>
      <c r="ATF23" s="43"/>
      <c r="ATG23" s="43"/>
      <c r="ATH23" s="43"/>
      <c r="ATI23" s="43"/>
      <c r="ATJ23" s="43"/>
      <c r="ATK23" s="43"/>
      <c r="ATL23" s="43"/>
      <c r="ATM23" s="43"/>
      <c r="ATN23" s="43"/>
      <c r="ATO23" s="43"/>
      <c r="ATP23" s="43"/>
      <c r="ATQ23" s="43"/>
      <c r="ATR23" s="43"/>
      <c r="ATS23" s="43"/>
      <c r="ATT23" s="43"/>
      <c r="ATU23" s="43"/>
      <c r="ATV23" s="43"/>
      <c r="ATW23" s="43"/>
      <c r="ATX23" s="43"/>
      <c r="ATY23" s="43"/>
      <c r="ATZ23" s="43"/>
      <c r="AUA23" s="43"/>
      <c r="AUB23" s="43"/>
      <c r="AUC23" s="43"/>
      <c r="AUD23" s="43"/>
      <c r="AUE23" s="43"/>
      <c r="AUF23" s="43"/>
      <c r="AUG23" s="43"/>
      <c r="AUH23" s="43"/>
      <c r="AUI23" s="43"/>
      <c r="AUJ23" s="43"/>
      <c r="AUK23" s="43"/>
      <c r="AUL23" s="43"/>
      <c r="AUM23" s="43"/>
      <c r="AUN23" s="43"/>
      <c r="AUO23" s="43"/>
      <c r="AUP23" s="43"/>
      <c r="AUQ23" s="43"/>
      <c r="AUR23" s="43"/>
      <c r="AUS23" s="43"/>
      <c r="AUT23" s="43"/>
      <c r="AUU23" s="43"/>
      <c r="AUV23" s="43"/>
      <c r="AUW23" s="43"/>
      <c r="AUX23" s="43"/>
      <c r="AUY23" s="43"/>
      <c r="AUZ23" s="43"/>
      <c r="AVA23" s="43"/>
      <c r="AVB23" s="43"/>
      <c r="AVC23" s="43"/>
      <c r="AVD23" s="43"/>
      <c r="AVE23" s="43"/>
      <c r="AVF23" s="43"/>
      <c r="AVG23" s="43"/>
      <c r="AVH23" s="43"/>
      <c r="AVI23" s="43"/>
      <c r="AVJ23" s="43"/>
      <c r="AVK23" s="43"/>
      <c r="AVL23" s="43"/>
      <c r="AVM23" s="43"/>
      <c r="AVN23" s="43"/>
      <c r="AVO23" s="43"/>
      <c r="AVP23" s="43"/>
      <c r="AVQ23" s="43"/>
      <c r="AVR23" s="43"/>
      <c r="AVS23" s="43"/>
      <c r="AVT23" s="43"/>
      <c r="AVU23" s="43"/>
      <c r="AVV23" s="43"/>
      <c r="AVW23" s="43"/>
      <c r="AVX23" s="43"/>
      <c r="AVY23" s="43"/>
      <c r="AVZ23" s="43"/>
      <c r="AWA23" s="43"/>
      <c r="AWB23" s="43"/>
      <c r="AWC23" s="43"/>
      <c r="AWD23" s="43"/>
      <c r="AWE23" s="43"/>
      <c r="AWF23" s="43"/>
      <c r="AWG23" s="43"/>
      <c r="AWH23" s="43"/>
      <c r="AWI23" s="43"/>
      <c r="AWJ23" s="43"/>
      <c r="AWK23" s="43"/>
      <c r="AWL23" s="43"/>
      <c r="AWM23" s="43"/>
      <c r="AWN23" s="43"/>
      <c r="AWO23" s="43"/>
      <c r="AWP23" s="43"/>
      <c r="AWQ23" s="43"/>
      <c r="AWR23" s="43"/>
      <c r="AWS23" s="43"/>
      <c r="AWT23" s="43"/>
      <c r="AWU23" s="43"/>
      <c r="AWV23" s="43"/>
      <c r="AWW23" s="43"/>
      <c r="AWX23" s="43"/>
      <c r="AWY23" s="43"/>
      <c r="AWZ23" s="43"/>
      <c r="AXA23" s="43"/>
      <c r="AXB23" s="43"/>
      <c r="AXC23" s="43"/>
      <c r="AXD23" s="43"/>
      <c r="AXE23" s="43"/>
      <c r="AXF23" s="43"/>
      <c r="AXG23" s="43"/>
      <c r="AXH23" s="43"/>
      <c r="AXI23" s="43"/>
      <c r="AXJ23" s="43"/>
      <c r="AXK23" s="43"/>
      <c r="AXL23" s="43"/>
      <c r="AXM23" s="43"/>
      <c r="AXN23" s="43"/>
      <c r="AXO23" s="43"/>
      <c r="AXP23" s="43"/>
      <c r="AXQ23" s="43"/>
      <c r="AXR23" s="43"/>
      <c r="AXS23" s="43"/>
      <c r="AXT23" s="43"/>
      <c r="AXU23" s="43"/>
      <c r="AXV23" s="43"/>
      <c r="AXW23" s="43"/>
      <c r="AXX23" s="43"/>
      <c r="AXY23" s="43"/>
      <c r="AXZ23" s="43"/>
      <c r="AYA23" s="43"/>
      <c r="AYB23" s="43"/>
      <c r="AYC23" s="43"/>
      <c r="AYD23" s="43"/>
      <c r="AYE23" s="43"/>
      <c r="AYF23" s="43"/>
      <c r="AYG23" s="43"/>
      <c r="AYH23" s="43"/>
      <c r="AYI23" s="43"/>
      <c r="AYJ23" s="43"/>
      <c r="AYK23" s="43"/>
      <c r="AYL23" s="43"/>
      <c r="AYM23" s="43"/>
      <c r="AYN23" s="43"/>
      <c r="AYO23" s="43"/>
      <c r="AYP23" s="43"/>
      <c r="AYQ23" s="43"/>
      <c r="AYR23" s="43"/>
      <c r="AYS23" s="43"/>
      <c r="AYT23" s="43"/>
      <c r="AYU23" s="43"/>
      <c r="AYV23" s="43"/>
      <c r="AYW23" s="43"/>
      <c r="AYX23" s="43"/>
      <c r="AYY23" s="43"/>
      <c r="AYZ23" s="43"/>
      <c r="AZA23" s="43"/>
      <c r="AZB23" s="43"/>
      <c r="AZC23" s="43"/>
      <c r="AZD23" s="43"/>
      <c r="AZE23" s="43"/>
      <c r="AZF23" s="43"/>
      <c r="AZG23" s="43"/>
      <c r="AZH23" s="43"/>
      <c r="AZI23" s="43"/>
      <c r="AZJ23" s="43"/>
      <c r="AZK23" s="43"/>
      <c r="AZL23" s="43"/>
      <c r="AZM23" s="43"/>
      <c r="AZN23" s="43"/>
      <c r="AZO23" s="43"/>
      <c r="AZP23" s="43"/>
      <c r="AZQ23" s="43"/>
      <c r="AZR23" s="43"/>
      <c r="AZS23" s="43"/>
      <c r="AZT23" s="43"/>
      <c r="AZU23" s="43"/>
      <c r="AZV23" s="43"/>
      <c r="AZW23" s="43"/>
      <c r="AZX23" s="43"/>
      <c r="AZY23" s="43"/>
      <c r="AZZ23" s="43"/>
      <c r="BAA23" s="43"/>
      <c r="BAB23" s="43"/>
      <c r="BAC23" s="43"/>
      <c r="BAD23" s="43"/>
      <c r="BAE23" s="43"/>
      <c r="BAF23" s="43"/>
      <c r="BAG23" s="43"/>
      <c r="BAH23" s="43"/>
      <c r="BAI23" s="43"/>
      <c r="BAJ23" s="43"/>
      <c r="BAK23" s="43"/>
      <c r="BAL23" s="43"/>
      <c r="BAM23" s="43"/>
      <c r="BAN23" s="43"/>
      <c r="BAO23" s="43"/>
      <c r="BAP23" s="43"/>
      <c r="BAQ23" s="43"/>
      <c r="BAR23" s="43"/>
      <c r="BAS23" s="43"/>
      <c r="BAT23" s="43"/>
      <c r="BAU23" s="43"/>
      <c r="BAV23" s="43"/>
      <c r="BAW23" s="43"/>
      <c r="BAX23" s="43"/>
      <c r="BAY23" s="43"/>
      <c r="BAZ23" s="43"/>
      <c r="BBA23" s="43"/>
      <c r="BBB23" s="43"/>
      <c r="BBC23" s="43"/>
      <c r="BBD23" s="43"/>
      <c r="BBE23" s="43"/>
      <c r="BBF23" s="43"/>
      <c r="BBG23" s="43"/>
      <c r="BBH23" s="43"/>
      <c r="BBI23" s="43"/>
      <c r="BBJ23" s="43"/>
      <c r="BBK23" s="43"/>
      <c r="BBL23" s="43"/>
      <c r="BBM23" s="43"/>
      <c r="BBN23" s="43"/>
      <c r="BBO23" s="43"/>
      <c r="BBP23" s="43"/>
      <c r="BBQ23" s="43"/>
      <c r="BBR23" s="43"/>
      <c r="BBS23" s="43"/>
      <c r="BBT23" s="43"/>
      <c r="BBU23" s="43"/>
      <c r="BBV23" s="43"/>
      <c r="BBW23" s="43"/>
      <c r="BBX23" s="43"/>
      <c r="BBY23" s="43"/>
      <c r="BBZ23" s="43"/>
      <c r="BCA23" s="43"/>
      <c r="BCB23" s="43"/>
      <c r="BCC23" s="43"/>
      <c r="BCD23" s="43"/>
      <c r="BCE23" s="43"/>
      <c r="BCF23" s="43"/>
      <c r="BCG23" s="43"/>
      <c r="BCH23" s="43"/>
      <c r="BCI23" s="43"/>
      <c r="BCJ23" s="43"/>
      <c r="BCK23" s="43"/>
      <c r="BCL23" s="43"/>
      <c r="BCM23" s="43"/>
      <c r="BCN23" s="43"/>
      <c r="BCO23" s="43"/>
      <c r="BCP23" s="43"/>
      <c r="BCQ23" s="43"/>
    </row>
    <row r="24" spans="1:1447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  <c r="QI24" s="43"/>
      <c r="QJ24" s="43"/>
      <c r="QK24" s="43"/>
      <c r="QL24" s="43"/>
      <c r="QM24" s="43"/>
      <c r="QN24" s="43"/>
      <c r="QO24" s="43"/>
      <c r="QP24" s="43"/>
      <c r="QQ24" s="43"/>
      <c r="QR24" s="43"/>
      <c r="QS24" s="43"/>
      <c r="QT24" s="43"/>
      <c r="QU24" s="43"/>
      <c r="QV24" s="43"/>
      <c r="QW24" s="43"/>
      <c r="QX24" s="43"/>
      <c r="QY24" s="43"/>
      <c r="QZ24" s="43"/>
      <c r="RA24" s="43"/>
      <c r="RB24" s="43"/>
      <c r="RC24" s="43"/>
      <c r="RD24" s="43"/>
      <c r="RE24" s="43"/>
      <c r="RF24" s="43"/>
      <c r="RG24" s="43"/>
      <c r="RH24" s="43"/>
      <c r="RI24" s="43"/>
      <c r="RJ24" s="43"/>
      <c r="RK24" s="43"/>
      <c r="RL24" s="43"/>
      <c r="RM24" s="43"/>
      <c r="RN24" s="43"/>
      <c r="RO24" s="43"/>
      <c r="RP24" s="43"/>
      <c r="RQ24" s="43"/>
      <c r="RR24" s="43"/>
      <c r="RS24" s="43"/>
      <c r="RT24" s="43"/>
      <c r="RU24" s="43"/>
      <c r="RV24" s="43"/>
      <c r="RW24" s="43"/>
      <c r="RX24" s="43"/>
      <c r="RY24" s="43"/>
      <c r="RZ24" s="43"/>
      <c r="SA24" s="43"/>
      <c r="SB24" s="43"/>
      <c r="SC24" s="43"/>
      <c r="SD24" s="43"/>
      <c r="SE24" s="43"/>
      <c r="SF24" s="43"/>
      <c r="SG24" s="43"/>
      <c r="SH24" s="43"/>
      <c r="SI24" s="43"/>
      <c r="SJ24" s="43"/>
      <c r="SK24" s="43"/>
      <c r="SL24" s="43"/>
      <c r="SM24" s="43"/>
      <c r="SN24" s="43"/>
      <c r="SO24" s="43"/>
      <c r="SP24" s="43"/>
      <c r="SQ24" s="43"/>
      <c r="SR24" s="43"/>
      <c r="SS24" s="43"/>
      <c r="ST24" s="43"/>
      <c r="SU24" s="43"/>
      <c r="SV24" s="43"/>
      <c r="SW24" s="43"/>
      <c r="SX24" s="43"/>
      <c r="SY24" s="43"/>
      <c r="SZ24" s="43"/>
      <c r="TA24" s="43"/>
      <c r="TB24" s="43"/>
      <c r="TC24" s="43"/>
      <c r="TD24" s="43"/>
      <c r="TE24" s="43"/>
      <c r="TF24" s="43"/>
      <c r="TG24" s="43"/>
      <c r="TH24" s="43"/>
      <c r="TI24" s="43"/>
      <c r="TJ24" s="43"/>
      <c r="TK24" s="43"/>
      <c r="TL24" s="43"/>
      <c r="TM24" s="43"/>
      <c r="TN24" s="43"/>
      <c r="TO24" s="43"/>
      <c r="TP24" s="43"/>
      <c r="TQ24" s="43"/>
      <c r="TR24" s="43"/>
      <c r="TS24" s="43"/>
      <c r="TT24" s="43"/>
      <c r="TU24" s="43"/>
      <c r="TV24" s="59" t="s">
        <v>599</v>
      </c>
      <c r="TW24" s="58"/>
      <c r="TX24" s="43"/>
      <c r="TY24" s="43"/>
      <c r="TZ24" s="43"/>
      <c r="UA24" s="43"/>
      <c r="UB24" s="43"/>
      <c r="UC24" s="43"/>
      <c r="UD24" s="43"/>
      <c r="UE24" s="43"/>
      <c r="UF24" s="43"/>
      <c r="UG24" s="43"/>
      <c r="UH24" s="43"/>
      <c r="UI24" s="43"/>
      <c r="UJ24" s="43"/>
      <c r="UK24" s="43"/>
      <c r="UL24" s="43"/>
      <c r="UM24" s="43"/>
      <c r="UN24" s="43"/>
      <c r="UO24" s="43"/>
      <c r="UP24" s="43"/>
      <c r="UQ24" s="43"/>
      <c r="UR24" s="43"/>
      <c r="US24" s="43"/>
      <c r="UT24" s="43"/>
      <c r="UU24" s="43"/>
      <c r="UV24" s="43"/>
      <c r="UW24" s="43"/>
      <c r="UX24" s="43"/>
      <c r="UY24" s="43"/>
      <c r="UZ24" s="43"/>
      <c r="VA24" s="43"/>
      <c r="VB24" s="43"/>
      <c r="VC24" s="43"/>
      <c r="VD24" s="43"/>
      <c r="VE24" s="43"/>
      <c r="VF24" s="43"/>
      <c r="VG24" s="43"/>
      <c r="VH24" s="43"/>
      <c r="VI24" s="43"/>
      <c r="VJ24" s="43"/>
      <c r="VK24" s="43"/>
      <c r="VL24" s="43"/>
      <c r="VM24" s="43"/>
      <c r="VN24" s="43"/>
      <c r="VO24" s="43"/>
      <c r="VP24" s="43"/>
      <c r="VQ24" s="43"/>
      <c r="VR24" s="43"/>
      <c r="VS24" s="43"/>
      <c r="VT24" s="43"/>
      <c r="VU24" s="43"/>
      <c r="VV24" s="43"/>
      <c r="VW24" s="43"/>
      <c r="VX24" s="43"/>
      <c r="VY24" s="43"/>
      <c r="VZ24" s="43"/>
      <c r="WA24" s="43"/>
      <c r="WB24" s="43"/>
      <c r="WC24" s="43"/>
      <c r="WD24" s="43"/>
      <c r="WE24" s="43"/>
      <c r="WF24" s="43"/>
      <c r="WG24" s="43"/>
      <c r="WH24" s="43"/>
      <c r="WI24" s="43"/>
      <c r="WJ24" s="43"/>
      <c r="WK24" s="43"/>
      <c r="WL24" s="43"/>
      <c r="WM24" s="43"/>
      <c r="WN24" s="43"/>
      <c r="WO24" s="43"/>
      <c r="WP24" s="43"/>
      <c r="WQ24" s="43"/>
      <c r="WR24" s="43"/>
      <c r="WS24" s="43"/>
      <c r="WT24" s="43"/>
      <c r="WU24" s="43"/>
      <c r="WV24" s="43"/>
      <c r="WW24" s="43"/>
      <c r="WX24" s="43"/>
      <c r="WY24" s="43"/>
      <c r="WZ24" s="43"/>
      <c r="XA24" s="43"/>
      <c r="XB24" s="43"/>
      <c r="XC24" s="43"/>
      <c r="XD24" s="43"/>
      <c r="XE24" s="43"/>
      <c r="XF24" s="43"/>
      <c r="XG24" s="43"/>
      <c r="XH24" s="43"/>
      <c r="XI24" s="43"/>
      <c r="XJ24" s="43"/>
      <c r="XK24" s="43"/>
      <c r="XL24" s="43"/>
      <c r="XM24" s="43"/>
      <c r="XN24" s="43"/>
      <c r="XO24" s="43"/>
      <c r="XP24" s="43"/>
      <c r="XQ24" s="43"/>
      <c r="XR24" s="43"/>
      <c r="XS24" s="43"/>
      <c r="XT24" s="43"/>
      <c r="XU24" s="43"/>
      <c r="XV24" s="43"/>
      <c r="XW24" s="43"/>
      <c r="XX24" s="43"/>
      <c r="XY24" s="43"/>
      <c r="XZ24" s="43"/>
      <c r="YA24" s="43"/>
      <c r="YB24" s="43"/>
      <c r="YC24" s="43"/>
      <c r="YD24" s="43"/>
      <c r="YE24" s="43"/>
      <c r="YF24" s="43"/>
      <c r="YG24" s="43"/>
      <c r="YH24" s="43"/>
      <c r="YI24" s="43"/>
      <c r="YJ24" s="43"/>
      <c r="YK24" s="43"/>
      <c r="YL24" s="43"/>
      <c r="YM24" s="43"/>
      <c r="YN24" s="43"/>
      <c r="YO24" s="43"/>
      <c r="YP24" s="43"/>
      <c r="YQ24" s="43"/>
      <c r="YR24" s="43"/>
      <c r="YS24" s="43"/>
      <c r="YT24" s="43"/>
      <c r="YU24" s="43"/>
      <c r="YV24" s="43"/>
      <c r="YW24" s="43"/>
      <c r="YX24" s="43"/>
      <c r="YY24" s="43"/>
      <c r="YZ24" s="43"/>
      <c r="ZA24" s="43"/>
      <c r="ZB24" s="43"/>
      <c r="ZC24" s="43"/>
      <c r="ZD24" s="43"/>
      <c r="ZE24" s="43"/>
      <c r="ZF24" s="43"/>
      <c r="ZG24" s="43"/>
      <c r="ZH24" s="43"/>
      <c r="ZI24" s="43"/>
      <c r="ZJ24" s="43"/>
      <c r="ZK24" s="43"/>
      <c r="ZL24" s="43"/>
      <c r="ZM24" s="43"/>
      <c r="ZN24" s="43"/>
      <c r="ZO24" s="43"/>
      <c r="ZP24" s="43"/>
      <c r="ZQ24" s="43"/>
      <c r="ZR24" s="43"/>
      <c r="ZS24" s="43"/>
      <c r="ZT24" s="43"/>
      <c r="ZU24" s="43"/>
      <c r="ZV24" s="43"/>
      <c r="ZW24" s="43"/>
      <c r="ZX24" s="43"/>
      <c r="ZY24" s="43"/>
      <c r="ZZ24" s="43"/>
      <c r="AAA24" s="43"/>
      <c r="AAB24" s="43"/>
      <c r="AAC24" s="43"/>
      <c r="AAD24" s="43"/>
      <c r="AAE24" s="43"/>
      <c r="AAF24" s="43"/>
      <c r="AAG24" s="43"/>
      <c r="AAH24" s="43"/>
      <c r="AAI24" s="43"/>
      <c r="AAJ24" s="43"/>
      <c r="AAK24" s="43"/>
      <c r="AAL24" s="43"/>
      <c r="AAM24" s="43"/>
      <c r="AAN24" s="43"/>
      <c r="AAO24" s="43"/>
      <c r="AAP24" s="43"/>
      <c r="AAQ24" s="43"/>
      <c r="AAR24" s="43"/>
      <c r="AAS24" s="43"/>
      <c r="AAT24" s="43"/>
      <c r="AAU24" s="43"/>
      <c r="AAV24" s="43"/>
      <c r="AAW24" s="43"/>
      <c r="AAX24" s="43"/>
      <c r="AAY24" s="43"/>
      <c r="AAZ24" s="43"/>
      <c r="ABA24" s="43"/>
      <c r="ABB24" s="43"/>
      <c r="ABC24" s="43"/>
      <c r="ABD24" s="43"/>
      <c r="ABE24" s="43"/>
      <c r="ABF24" s="43"/>
      <c r="ABG24" s="43"/>
      <c r="ABH24" s="43"/>
      <c r="ABI24" s="43"/>
      <c r="ABJ24" s="43"/>
      <c r="ABK24" s="43"/>
      <c r="ABL24" s="43"/>
      <c r="ABM24" s="43"/>
      <c r="ABN24" s="43"/>
      <c r="ABO24" s="43"/>
      <c r="ABP24" s="43"/>
      <c r="ABQ24" s="43"/>
      <c r="ABR24" s="43"/>
      <c r="ABS24" s="43"/>
      <c r="ABT24" s="43"/>
      <c r="ABU24" s="43"/>
      <c r="ABV24" s="43"/>
      <c r="ABW24" s="43"/>
      <c r="ABX24" s="43"/>
      <c r="ABY24" s="43"/>
      <c r="ABZ24" s="43"/>
      <c r="ACA24" s="43"/>
      <c r="ACB24" s="43"/>
      <c r="ACC24" s="43"/>
      <c r="ACD24" s="43"/>
      <c r="ACE24" s="43"/>
      <c r="ACF24" s="43"/>
      <c r="ACG24" s="43"/>
      <c r="ACH24" s="43"/>
      <c r="ACI24" s="43"/>
      <c r="ACJ24" s="43"/>
      <c r="ACK24" s="43"/>
      <c r="ACL24" s="43"/>
      <c r="ACM24" s="43"/>
      <c r="ACN24" s="43"/>
      <c r="ACO24" s="43"/>
      <c r="ACP24" s="43"/>
      <c r="ACQ24" s="43"/>
      <c r="ACR24" s="43"/>
      <c r="ACS24" s="43"/>
      <c r="ACT24" s="43"/>
      <c r="ACU24" s="43"/>
      <c r="ACV24" s="43"/>
      <c r="ACW24" s="43"/>
      <c r="ACX24" s="43"/>
      <c r="ACY24" s="43"/>
      <c r="ACZ24" s="43"/>
      <c r="ADA24" s="43"/>
      <c r="ADB24" s="43"/>
      <c r="ADC24" s="43"/>
      <c r="ADD24" s="43"/>
      <c r="ADE24" s="43"/>
      <c r="ADF24" s="43"/>
      <c r="ADG24" s="43"/>
      <c r="ADH24" s="43"/>
      <c r="ADI24" s="43"/>
      <c r="ADJ24" s="43"/>
      <c r="ADK24" s="43"/>
      <c r="ADL24" s="43"/>
      <c r="ADM24" s="43"/>
      <c r="ADN24" s="43"/>
      <c r="ADO24" s="43"/>
      <c r="ADP24" s="43"/>
      <c r="ADQ24" s="43"/>
      <c r="ADR24" s="43"/>
      <c r="ADS24" s="43"/>
      <c r="ADT24" s="43"/>
      <c r="ADU24" s="43"/>
      <c r="ADV24" s="43"/>
      <c r="ADW24" s="43"/>
      <c r="ADX24" s="43"/>
      <c r="ADY24" s="43"/>
      <c r="ADZ24" s="43"/>
      <c r="AEA24" s="43"/>
      <c r="AEB24" s="43"/>
      <c r="AEC24" s="43"/>
      <c r="AED24" s="43"/>
      <c r="AEE24" s="43"/>
      <c r="AEF24" s="43"/>
      <c r="AEG24" s="43"/>
      <c r="AEH24" s="43"/>
      <c r="AEI24" s="43"/>
      <c r="AEJ24" s="43"/>
      <c r="AEK24" s="43"/>
      <c r="AEL24" s="43"/>
      <c r="AEM24" s="43"/>
      <c r="AEN24" s="43"/>
      <c r="AEO24" s="43"/>
      <c r="AEP24" s="43"/>
      <c r="AEQ24" s="43"/>
      <c r="AER24" s="43"/>
      <c r="AES24" s="43"/>
      <c r="AET24" s="43"/>
      <c r="AEU24" s="43"/>
      <c r="AEV24" s="43"/>
      <c r="AEW24" s="43"/>
      <c r="AEX24" s="43"/>
      <c r="AEY24" s="43"/>
      <c r="AEZ24" s="43"/>
      <c r="AFA24" s="43"/>
      <c r="AFB24" s="43"/>
      <c r="AFC24" s="43"/>
      <c r="AFD24" s="43"/>
      <c r="AFE24" s="43"/>
      <c r="AFF24" s="43"/>
      <c r="AFG24" s="43"/>
      <c r="AFH24" s="43"/>
      <c r="AFI24" s="43"/>
      <c r="AFJ24" s="43"/>
      <c r="AFK24" s="43"/>
      <c r="AFL24" s="43"/>
      <c r="AFM24" s="43"/>
      <c r="AFN24" s="43"/>
      <c r="AFO24" s="43"/>
      <c r="AFP24" s="43"/>
      <c r="AFQ24" s="43"/>
      <c r="AFR24" s="43"/>
      <c r="AFS24" s="43"/>
      <c r="AFT24" s="43"/>
      <c r="AFU24" s="43"/>
      <c r="AFV24" s="43"/>
      <c r="AFW24" s="43"/>
      <c r="AFX24" s="43"/>
      <c r="AFY24" s="43"/>
      <c r="AFZ24" s="43"/>
      <c r="AGA24" s="43"/>
      <c r="AGB24" s="43"/>
      <c r="AGC24" s="43"/>
      <c r="AGD24" s="43"/>
      <c r="AGE24" s="43"/>
      <c r="AGF24" s="43"/>
      <c r="AGG24" s="43"/>
      <c r="AGH24" s="43"/>
      <c r="AGI24" s="43"/>
      <c r="AGJ24" s="43"/>
      <c r="AGK24" s="43"/>
      <c r="AGL24" s="43"/>
      <c r="AGM24" s="43"/>
      <c r="AGN24" s="43"/>
      <c r="AGO24" s="43"/>
      <c r="AGP24" s="43"/>
      <c r="AGQ24" s="43"/>
      <c r="AGR24" s="43"/>
      <c r="AGS24" s="43"/>
      <c r="AGT24" s="43"/>
      <c r="AGU24" s="43"/>
      <c r="AGV24" s="43"/>
      <c r="AGW24" s="43"/>
      <c r="AGX24" s="43"/>
      <c r="AGY24" s="43"/>
      <c r="AGZ24" s="43"/>
      <c r="AHA24" s="43"/>
      <c r="AHB24" s="43"/>
      <c r="AHC24" s="43"/>
      <c r="AHD24" s="43"/>
      <c r="AHE24" s="43"/>
      <c r="AHF24" s="43"/>
      <c r="AHG24" s="43"/>
      <c r="AHH24" s="43"/>
      <c r="AHI24" s="43"/>
      <c r="AHJ24" s="43"/>
      <c r="AHK24" s="43"/>
      <c r="AHL24" s="43"/>
      <c r="AHM24" s="43"/>
      <c r="AHN24" s="43"/>
      <c r="AHO24" s="43"/>
      <c r="AHP24" s="43"/>
      <c r="AHQ24" s="43"/>
      <c r="AHR24" s="43"/>
      <c r="AHS24" s="43"/>
      <c r="AHT24" s="43"/>
      <c r="AHU24" s="43"/>
      <c r="AHV24" s="43"/>
      <c r="AHW24" s="43"/>
      <c r="AHX24" s="43"/>
      <c r="AHY24" s="43"/>
      <c r="AHZ24" s="43"/>
      <c r="AIA24" s="43"/>
      <c r="AIB24" s="43"/>
      <c r="AIC24" s="43"/>
      <c r="AID24" s="43"/>
      <c r="AIE24" s="43"/>
      <c r="AIF24" s="43"/>
      <c r="AIG24" s="43"/>
      <c r="AIH24" s="43"/>
      <c r="AII24" s="43"/>
      <c r="AIJ24" s="43"/>
      <c r="AIK24" s="43"/>
      <c r="AIL24" s="43"/>
      <c r="AIM24" s="43"/>
      <c r="AIN24" s="43"/>
      <c r="AIO24" s="43"/>
      <c r="AIP24" s="43"/>
      <c r="AIQ24" s="43"/>
      <c r="AIR24" s="43"/>
      <c r="AIS24" s="43"/>
      <c r="AIT24" s="43"/>
      <c r="AIU24" s="43"/>
      <c r="AIV24" s="43"/>
      <c r="AIW24" s="43"/>
      <c r="AIX24" s="43"/>
      <c r="AIY24" s="43"/>
      <c r="AIZ24" s="43"/>
      <c r="AJA24" s="43"/>
      <c r="AJB24" s="43"/>
      <c r="AJC24" s="43"/>
      <c r="AJD24" s="43"/>
      <c r="AJE24" s="43"/>
      <c r="AJF24" s="43"/>
      <c r="AJG24" s="43"/>
      <c r="AJH24" s="43"/>
      <c r="AJI24" s="43"/>
      <c r="AJJ24" s="43"/>
      <c r="AJK24" s="43"/>
      <c r="AJL24" s="43"/>
      <c r="AJM24" s="43"/>
      <c r="AJN24" s="43"/>
      <c r="AJO24" s="43"/>
      <c r="AJP24" s="43"/>
      <c r="AJQ24" s="43"/>
      <c r="AJR24" s="43"/>
      <c r="AJS24" s="43"/>
      <c r="AJT24" s="43"/>
      <c r="AJU24" s="43"/>
      <c r="AJV24" s="43"/>
      <c r="AJW24" s="43"/>
      <c r="AJX24" s="43"/>
      <c r="AJY24" s="43"/>
      <c r="AJZ24" s="43"/>
      <c r="AKA24" s="43"/>
      <c r="AKB24" s="43"/>
      <c r="AKC24" s="43"/>
      <c r="AKD24" s="43"/>
      <c r="AKE24" s="43"/>
      <c r="AKF24" s="43"/>
      <c r="AKG24" s="43"/>
      <c r="AKH24" s="43"/>
      <c r="AKI24" s="43"/>
      <c r="AKJ24" s="43"/>
      <c r="AKK24" s="43"/>
      <c r="AKL24" s="43"/>
      <c r="AKM24" s="43"/>
      <c r="AKN24" s="43"/>
      <c r="AKO24" s="43"/>
      <c r="AKP24" s="43"/>
      <c r="AKQ24" s="43"/>
      <c r="AKR24" s="43"/>
      <c r="AKS24" s="43"/>
      <c r="AKT24" s="43"/>
      <c r="AKU24" s="43"/>
      <c r="AKV24" s="43"/>
      <c r="AKW24" s="43"/>
      <c r="AKX24" s="43"/>
      <c r="AKY24" s="43"/>
      <c r="AKZ24" s="43"/>
      <c r="ALA24" s="43"/>
      <c r="ALB24" s="43"/>
      <c r="ALC24" s="43"/>
      <c r="ALD24" s="43"/>
      <c r="ALE24" s="43"/>
      <c r="ALF24" s="43"/>
      <c r="ALG24" s="43"/>
      <c r="ALH24" s="43"/>
      <c r="ALI24" s="43"/>
      <c r="ALJ24" s="43"/>
      <c r="ALK24" s="43"/>
      <c r="ALL24" s="43"/>
      <c r="ALM24" s="43"/>
      <c r="ALN24" s="43"/>
      <c r="ALO24" s="43"/>
      <c r="ALP24" s="43"/>
      <c r="ALQ24" s="43"/>
      <c r="ALR24" s="43"/>
      <c r="ALS24" s="43"/>
      <c r="ALT24" s="43"/>
      <c r="ALU24" s="43"/>
      <c r="ALV24" s="43"/>
      <c r="ALW24" s="43"/>
      <c r="ALX24" s="43"/>
      <c r="ALY24" s="43"/>
      <c r="ALZ24" s="43"/>
      <c r="AMA24" s="43"/>
      <c r="AMB24" s="43"/>
      <c r="AMC24" s="43"/>
      <c r="AMD24" s="43"/>
      <c r="AME24" s="43"/>
      <c r="AMF24" s="43"/>
      <c r="AMG24" s="43"/>
      <c r="AMH24" s="43"/>
      <c r="AMI24" s="43"/>
      <c r="AMJ24" s="43"/>
      <c r="AMK24" s="43"/>
      <c r="AML24" s="43"/>
      <c r="AMM24" s="43"/>
      <c r="AMN24" s="43"/>
      <c r="AMO24" s="43"/>
      <c r="AMP24" s="43"/>
      <c r="AMQ24" s="43"/>
      <c r="AMR24" s="43"/>
      <c r="AMS24" s="43"/>
      <c r="AMT24" s="43"/>
      <c r="AMU24" s="43"/>
      <c r="AMV24" s="43"/>
      <c r="AMW24" s="43"/>
      <c r="AMX24" s="43"/>
      <c r="AMY24" s="43"/>
      <c r="AMZ24" s="43"/>
      <c r="ANA24" s="43"/>
      <c r="ANB24" s="43"/>
      <c r="ANC24" s="43"/>
      <c r="AND24" s="43"/>
      <c r="ANE24" s="43"/>
      <c r="ANF24" s="43"/>
      <c r="ANJ24" s="43"/>
      <c r="ANK24" s="43"/>
      <c r="ANL24" s="43"/>
      <c r="ANM24" s="43"/>
      <c r="ANN24" s="43"/>
      <c r="ANO24" s="43"/>
      <c r="ANP24" s="43"/>
      <c r="ANQ24" s="43"/>
      <c r="ANR24" s="43"/>
      <c r="ANS24" s="43"/>
      <c r="ANT24" s="43"/>
      <c r="ANU24" s="43"/>
      <c r="ANV24" s="43"/>
      <c r="ANW24" s="43"/>
      <c r="ANX24" s="43"/>
      <c r="ANY24" s="43"/>
      <c r="ANZ24" s="43"/>
      <c r="AOA24" s="43"/>
      <c r="AOB24" s="43"/>
      <c r="AOC24" s="43"/>
      <c r="AOD24" s="43"/>
      <c r="AOE24" s="43"/>
      <c r="AOF24" s="43"/>
      <c r="AOG24" s="43"/>
      <c r="AOH24" s="43"/>
      <c r="AOI24" s="43"/>
      <c r="AOJ24" s="43"/>
      <c r="AOK24" s="43"/>
      <c r="AOL24" s="43"/>
      <c r="AOM24" s="43"/>
      <c r="AON24" s="43"/>
      <c r="AOO24" s="43"/>
      <c r="AOP24" s="43"/>
      <c r="AOQ24" s="43"/>
      <c r="AOR24" s="43"/>
      <c r="AOS24" s="43"/>
      <c r="AOT24" s="43"/>
      <c r="AOU24" s="43"/>
      <c r="AOV24" s="43"/>
      <c r="AOW24" s="43"/>
      <c r="AOX24" s="43"/>
      <c r="AOY24" s="43"/>
      <c r="AOZ24" s="43"/>
      <c r="APA24" s="43"/>
      <c r="APB24" s="43"/>
      <c r="APC24" s="43"/>
      <c r="APD24" s="43"/>
      <c r="APE24" s="43"/>
      <c r="APF24" s="43"/>
      <c r="APG24" s="43"/>
      <c r="APH24" s="43"/>
      <c r="API24" s="43"/>
      <c r="APJ24" s="43"/>
      <c r="APK24" s="43"/>
      <c r="APL24" s="43"/>
      <c r="APM24" s="43"/>
      <c r="APN24" s="43"/>
      <c r="APO24" s="43"/>
      <c r="APP24" s="43"/>
      <c r="APQ24" s="43"/>
      <c r="APR24" s="43"/>
      <c r="APS24" s="43"/>
      <c r="APT24" s="43"/>
      <c r="APU24" s="43"/>
      <c r="APV24" s="43"/>
      <c r="APW24" s="43"/>
      <c r="APX24" s="43"/>
      <c r="APY24" s="43"/>
      <c r="APZ24" s="43"/>
      <c r="AQA24" s="43"/>
      <c r="AQB24" s="43"/>
      <c r="AQC24" s="43"/>
      <c r="AQD24" s="43"/>
      <c r="AQE24" s="43"/>
      <c r="AQF24" s="43"/>
      <c r="AQG24" s="43"/>
      <c r="AQH24" s="43"/>
      <c r="AQI24" s="43"/>
      <c r="AQJ24" s="43"/>
      <c r="AQK24" s="43"/>
      <c r="AQL24" s="43"/>
      <c r="AQM24" s="43"/>
      <c r="AQN24" s="43"/>
      <c r="AQO24" s="43"/>
      <c r="AQP24" s="43"/>
      <c r="AQQ24" s="43"/>
      <c r="AQR24" s="43"/>
      <c r="AQS24" s="43"/>
      <c r="AQT24" s="43"/>
      <c r="AQU24" s="43"/>
      <c r="AQV24" s="43"/>
      <c r="AQW24" s="43"/>
      <c r="AQX24" s="43"/>
      <c r="AQY24" s="43"/>
      <c r="AQZ24" s="43"/>
      <c r="ARA24" s="43"/>
      <c r="ARB24" s="43"/>
      <c r="ARC24" s="43"/>
      <c r="ARD24" s="43"/>
      <c r="ARE24" s="43"/>
      <c r="ARF24" s="43"/>
      <c r="ARG24" s="43"/>
      <c r="ARH24" s="43"/>
      <c r="ARI24" s="43"/>
      <c r="ARJ24" s="43"/>
      <c r="ARK24" s="43"/>
      <c r="ARL24" s="43"/>
      <c r="ARM24" s="43"/>
      <c r="ARN24" s="43"/>
      <c r="ARO24" s="43"/>
      <c r="ARP24" s="43"/>
      <c r="ARQ24" s="43"/>
      <c r="ARR24" s="43"/>
      <c r="ARS24" s="43"/>
      <c r="ART24" s="43"/>
      <c r="ARU24" s="43"/>
      <c r="ARV24" s="43"/>
      <c r="ARW24" s="43"/>
      <c r="ARX24" s="43"/>
      <c r="ARY24" s="43"/>
      <c r="ARZ24" s="43"/>
      <c r="ASA24" s="43"/>
      <c r="ASB24" s="43"/>
      <c r="ASC24" s="43"/>
      <c r="ASD24" s="43"/>
      <c r="ASE24" s="43"/>
      <c r="ASF24" s="43"/>
      <c r="ASG24" s="43"/>
      <c r="ASH24" s="43"/>
      <c r="ASI24" s="43"/>
      <c r="ASJ24" s="43"/>
      <c r="ASK24" s="43"/>
      <c r="ASL24" s="43"/>
      <c r="ASM24" s="43"/>
      <c r="ASN24" s="43"/>
      <c r="ASO24" s="43"/>
      <c r="ASP24" s="43"/>
      <c r="ASQ24" s="43"/>
      <c r="ASR24" s="43"/>
      <c r="ASS24" s="43"/>
      <c r="AST24" s="43"/>
      <c r="ASU24" s="43"/>
      <c r="ASV24" s="43"/>
      <c r="ASW24" s="43"/>
      <c r="ASX24" s="43"/>
      <c r="ASY24" s="43"/>
      <c r="ASZ24" s="43"/>
      <c r="ATA24" s="43"/>
      <c r="ATB24" s="43"/>
      <c r="ATC24" s="43"/>
      <c r="ATD24" s="43"/>
      <c r="ATE24" s="43"/>
      <c r="ATF24" s="43"/>
      <c r="ATG24" s="43"/>
      <c r="ATH24" s="43"/>
      <c r="ATI24" s="43"/>
      <c r="ATJ24" s="43"/>
      <c r="ATK24" s="43"/>
      <c r="ATL24" s="43"/>
      <c r="ATM24" s="43"/>
      <c r="ATN24" s="43"/>
      <c r="ATO24" s="43"/>
      <c r="ATP24" s="43"/>
      <c r="ATQ24" s="43"/>
      <c r="ATR24" s="43"/>
      <c r="ATS24" s="43"/>
      <c r="ATT24" s="43"/>
      <c r="ATU24" s="43"/>
      <c r="ATV24" s="43"/>
      <c r="ATW24" s="43"/>
      <c r="ATX24" s="43"/>
      <c r="ATY24" s="43"/>
      <c r="ATZ24" s="43"/>
      <c r="AUA24" s="43"/>
      <c r="AUB24" s="43"/>
      <c r="AUC24" s="43"/>
      <c r="AUD24" s="43"/>
      <c r="AUE24" s="43"/>
      <c r="AUF24" s="43"/>
      <c r="AUG24" s="43"/>
      <c r="AUH24" s="43"/>
      <c r="AUI24" s="43"/>
      <c r="AUJ24" s="43"/>
      <c r="AUK24" s="43"/>
      <c r="AUL24" s="43"/>
      <c r="AUM24" s="43"/>
      <c r="AUN24" s="43"/>
      <c r="AUO24" s="43"/>
      <c r="AUP24" s="43"/>
      <c r="AUQ24" s="43"/>
      <c r="AUR24" s="43"/>
      <c r="AUS24" s="43"/>
      <c r="AUT24" s="43"/>
      <c r="AUU24" s="43"/>
      <c r="AUV24" s="43"/>
      <c r="AUW24" s="43"/>
      <c r="AUX24" s="43"/>
      <c r="AUY24" s="43"/>
      <c r="AUZ24" s="43"/>
      <c r="AVA24" s="43"/>
      <c r="AVB24" s="43"/>
      <c r="AVC24" s="43"/>
      <c r="AVD24" s="43"/>
      <c r="AVE24" s="43"/>
      <c r="AVF24" s="43"/>
      <c r="AVG24" s="43"/>
      <c r="AVH24" s="43"/>
      <c r="AVI24" s="43"/>
      <c r="AVJ24" s="43"/>
      <c r="AVK24" s="43"/>
      <c r="AVL24" s="43"/>
      <c r="AVM24" s="43"/>
      <c r="AVN24" s="43"/>
      <c r="AVO24" s="43"/>
      <c r="AVP24" s="43"/>
      <c r="AVQ24" s="43"/>
      <c r="AVR24" s="43"/>
      <c r="AVS24" s="43"/>
      <c r="AVT24" s="43"/>
      <c r="AVU24" s="43"/>
      <c r="AVV24" s="43"/>
      <c r="AVW24" s="43"/>
      <c r="AVX24" s="43"/>
      <c r="AVY24" s="43"/>
      <c r="AVZ24" s="43"/>
      <c r="AWA24" s="43"/>
      <c r="AWB24" s="43"/>
      <c r="AWC24" s="43"/>
      <c r="AWD24" s="43"/>
      <c r="AWE24" s="43"/>
      <c r="AWF24" s="43"/>
      <c r="AWG24" s="43"/>
      <c r="AWH24" s="43"/>
      <c r="AWI24" s="43"/>
      <c r="AWJ24" s="43"/>
      <c r="AWK24" s="43"/>
      <c r="AWL24" s="43"/>
      <c r="AWM24" s="43"/>
      <c r="AWN24" s="43"/>
      <c r="AWO24" s="43"/>
      <c r="AWP24" s="43"/>
      <c r="AWQ24" s="43"/>
      <c r="AWR24" s="43"/>
      <c r="AWS24" s="43"/>
      <c r="AWT24" s="43"/>
      <c r="AWU24" s="43"/>
      <c r="AWV24" s="43"/>
      <c r="AWW24" s="43"/>
      <c r="AWX24" s="43"/>
      <c r="AWY24" s="43"/>
      <c r="AWZ24" s="43"/>
      <c r="AXA24" s="43"/>
      <c r="AXB24" s="43"/>
      <c r="AXC24" s="43"/>
      <c r="AXD24" s="43"/>
      <c r="AXE24" s="43"/>
      <c r="AXF24" s="43"/>
      <c r="AXG24" s="43"/>
      <c r="AXH24" s="43"/>
      <c r="AXI24" s="43"/>
      <c r="AXJ24" s="43"/>
      <c r="AXK24" s="43"/>
      <c r="AXL24" s="43"/>
      <c r="AXM24" s="43"/>
      <c r="AXN24" s="43"/>
      <c r="AXO24" s="43"/>
      <c r="AXP24" s="43"/>
      <c r="AXQ24" s="43"/>
      <c r="AXR24" s="43"/>
      <c r="AXS24" s="43"/>
      <c r="AXT24" s="43"/>
      <c r="AXU24" s="43"/>
      <c r="AXV24" s="43"/>
      <c r="AXW24" s="43"/>
      <c r="AXX24" s="43"/>
      <c r="AXY24" s="43"/>
      <c r="AXZ24" s="43"/>
      <c r="AYA24" s="43"/>
      <c r="AYB24" s="43"/>
      <c r="AYC24" s="43"/>
      <c r="AYD24" s="43"/>
      <c r="AYE24" s="43"/>
      <c r="AYF24" s="43"/>
      <c r="AYG24" s="43"/>
      <c r="AYH24" s="43"/>
      <c r="AYI24" s="43"/>
      <c r="AYJ24" s="43"/>
      <c r="AYK24" s="43"/>
      <c r="AYL24" s="43"/>
      <c r="AYM24" s="43"/>
      <c r="AYN24" s="43"/>
      <c r="AYO24" s="43"/>
      <c r="AYP24" s="43"/>
      <c r="AYQ24" s="43"/>
      <c r="AYR24" s="43"/>
      <c r="AYS24" s="43"/>
      <c r="AYT24" s="43"/>
      <c r="AYU24" s="43"/>
      <c r="AYV24" s="43"/>
      <c r="AYW24" s="43"/>
      <c r="AYX24" s="43"/>
      <c r="AYY24" s="43"/>
      <c r="AYZ24" s="43"/>
      <c r="AZA24" s="43"/>
      <c r="AZB24" s="43"/>
      <c r="AZC24" s="43"/>
      <c r="AZD24" s="43"/>
      <c r="AZE24" s="43"/>
      <c r="AZF24" s="43"/>
      <c r="AZG24" s="43"/>
      <c r="AZH24" s="43"/>
      <c r="AZI24" s="43"/>
      <c r="AZJ24" s="43"/>
      <c r="AZK24" s="43"/>
      <c r="AZL24" s="43"/>
      <c r="AZM24" s="43"/>
      <c r="AZN24" s="43"/>
      <c r="AZO24" s="43"/>
      <c r="AZP24" s="43"/>
      <c r="AZQ24" s="43"/>
      <c r="AZR24" s="43"/>
      <c r="AZS24" s="43"/>
      <c r="AZT24" s="43"/>
      <c r="AZU24" s="43"/>
      <c r="AZV24" s="43"/>
      <c r="AZW24" s="43"/>
      <c r="AZX24" s="43"/>
      <c r="AZY24" s="43"/>
      <c r="AZZ24" s="43"/>
      <c r="BAA24" s="43"/>
      <c r="BAB24" s="43"/>
      <c r="BAC24" s="43"/>
      <c r="BAD24" s="43"/>
      <c r="BAE24" s="43"/>
      <c r="BAF24" s="43"/>
      <c r="BAG24" s="43"/>
      <c r="BAH24" s="43"/>
      <c r="BAI24" s="43"/>
      <c r="BAJ24" s="43"/>
      <c r="BAK24" s="43"/>
      <c r="BAL24" s="43"/>
      <c r="BAM24" s="43"/>
      <c r="BAN24" s="43"/>
      <c r="BAO24" s="43"/>
      <c r="BAP24" s="43"/>
      <c r="BAQ24" s="43"/>
      <c r="BAR24" s="43"/>
      <c r="BAS24" s="43"/>
      <c r="BAT24" s="43"/>
      <c r="BAU24" s="43"/>
      <c r="BAV24" s="43"/>
      <c r="BAW24" s="43"/>
      <c r="BAX24" s="43"/>
      <c r="BAY24" s="43"/>
      <c r="BAZ24" s="43"/>
      <c r="BBA24" s="43"/>
      <c r="BBB24" s="43"/>
      <c r="BBC24" s="43"/>
      <c r="BBD24" s="43"/>
      <c r="BBE24" s="43"/>
      <c r="BBF24" s="43"/>
      <c r="BBG24" s="43"/>
      <c r="BBH24" s="43"/>
      <c r="BBI24" s="43"/>
      <c r="BBJ24" s="43"/>
      <c r="BBK24" s="43"/>
      <c r="BBL24" s="43"/>
      <c r="BBM24" s="43"/>
      <c r="BBN24" s="43"/>
      <c r="BBO24" s="43"/>
      <c r="BBP24" s="43"/>
      <c r="BBQ24" s="43"/>
      <c r="BBR24" s="43"/>
      <c r="BBS24" s="43"/>
      <c r="BBT24" s="43"/>
      <c r="BBU24" s="43"/>
      <c r="BBV24" s="43"/>
      <c r="BBW24" s="43"/>
      <c r="BBX24" s="43"/>
      <c r="BBY24" s="43"/>
      <c r="BBZ24" s="43"/>
      <c r="BCA24" s="43"/>
      <c r="BCB24" s="43"/>
      <c r="BCC24" s="43"/>
      <c r="BCD24" s="43"/>
      <c r="BCE24" s="43"/>
      <c r="BCF24" s="43"/>
      <c r="BCG24" s="43"/>
      <c r="BCH24" s="43"/>
      <c r="BCI24" s="43"/>
      <c r="BCJ24" s="43"/>
      <c r="BCK24" s="43"/>
      <c r="BCL24" s="43"/>
      <c r="BCM24" s="43"/>
      <c r="BCN24" s="43"/>
      <c r="BCO24" s="43"/>
      <c r="BCP24" s="43"/>
      <c r="BCQ24" s="43"/>
    </row>
    <row r="25" spans="1:1447" ht="15.75" customHeight="1"/>
    <row r="26" spans="1:1447" ht="15.75" customHeight="1"/>
    <row r="27" spans="1:1447" ht="15.75" customHeight="1"/>
    <row r="28" spans="1:1447" ht="15.75" customHeight="1"/>
    <row r="29" spans="1:1447" ht="15.75" customHeight="1"/>
    <row r="30" spans="1:1447" ht="15.75" customHeight="1"/>
    <row r="31" spans="1:1447" ht="15.75" customHeight="1"/>
    <row r="32" spans="1:144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723">
    <mergeCell ref="ZH1:ZI1"/>
    <mergeCell ref="ZJ1:ZK1"/>
    <mergeCell ref="YP1:YQ1"/>
    <mergeCell ref="YR1:YS1"/>
    <mergeCell ref="YT1:YU1"/>
    <mergeCell ref="YV1:YW1"/>
    <mergeCell ref="YX1:YY1"/>
    <mergeCell ref="YZ1:ZA1"/>
    <mergeCell ref="ZB1:ZC1"/>
    <mergeCell ref="ZD1:ZE1"/>
    <mergeCell ref="ZF1:ZG1"/>
    <mergeCell ref="XX1:XY1"/>
    <mergeCell ref="XZ1:YA1"/>
    <mergeCell ref="YB1:YC1"/>
    <mergeCell ref="YD1:YE1"/>
    <mergeCell ref="YF1:YG1"/>
    <mergeCell ref="YH1:YI1"/>
    <mergeCell ref="YJ1:YK1"/>
    <mergeCell ref="YL1:YM1"/>
    <mergeCell ref="YN1:YO1"/>
    <mergeCell ref="XF1:XG1"/>
    <mergeCell ref="XH1:XI1"/>
    <mergeCell ref="XJ1:XK1"/>
    <mergeCell ref="XL1:XM1"/>
    <mergeCell ref="XN1:XO1"/>
    <mergeCell ref="XP1:XQ1"/>
    <mergeCell ref="XR1:XS1"/>
    <mergeCell ref="XT1:XU1"/>
    <mergeCell ref="XV1:XW1"/>
    <mergeCell ref="WN1:WO1"/>
    <mergeCell ref="WP1:WQ1"/>
    <mergeCell ref="WR1:WS1"/>
    <mergeCell ref="WT1:WU1"/>
    <mergeCell ref="WV1:WW1"/>
    <mergeCell ref="WX1:WY1"/>
    <mergeCell ref="WZ1:XA1"/>
    <mergeCell ref="XB1:XC1"/>
    <mergeCell ref="XD1:XE1"/>
    <mergeCell ref="VV1:VW1"/>
    <mergeCell ref="VX1:VY1"/>
    <mergeCell ref="VZ1:WA1"/>
    <mergeCell ref="WB1:WC1"/>
    <mergeCell ref="WD1:WE1"/>
    <mergeCell ref="WF1:WG1"/>
    <mergeCell ref="WH1:WI1"/>
    <mergeCell ref="WJ1:WK1"/>
    <mergeCell ref="WL1:WM1"/>
    <mergeCell ref="VD1:VE1"/>
    <mergeCell ref="VF1:VG1"/>
    <mergeCell ref="VH1:VI1"/>
    <mergeCell ref="VJ1:VK1"/>
    <mergeCell ref="VL1:VM1"/>
    <mergeCell ref="VN1:VO1"/>
    <mergeCell ref="VP1:VQ1"/>
    <mergeCell ref="VR1:VS1"/>
    <mergeCell ref="VT1:VU1"/>
    <mergeCell ref="UL1:UM1"/>
    <mergeCell ref="UN1:UO1"/>
    <mergeCell ref="UP1:UQ1"/>
    <mergeCell ref="UR1:US1"/>
    <mergeCell ref="UT1:UU1"/>
    <mergeCell ref="UV1:UW1"/>
    <mergeCell ref="UX1:UY1"/>
    <mergeCell ref="UZ1:VA1"/>
    <mergeCell ref="VB1:VC1"/>
    <mergeCell ref="TT1:TU1"/>
    <mergeCell ref="TV1:TW1"/>
    <mergeCell ref="TX1:TY1"/>
    <mergeCell ref="TZ1:UA1"/>
    <mergeCell ref="UB1:UC1"/>
    <mergeCell ref="UD1:UE1"/>
    <mergeCell ref="UF1:UG1"/>
    <mergeCell ref="UH1:UI1"/>
    <mergeCell ref="UJ1:UK1"/>
    <mergeCell ref="TB1:TC1"/>
    <mergeCell ref="TD1:TE1"/>
    <mergeCell ref="TF1:TG1"/>
    <mergeCell ref="TH1:TI1"/>
    <mergeCell ref="TJ1:TK1"/>
    <mergeCell ref="TL1:TM1"/>
    <mergeCell ref="TN1:TO1"/>
    <mergeCell ref="TP1:TQ1"/>
    <mergeCell ref="TR1:TS1"/>
    <mergeCell ref="SI1:SK1"/>
    <mergeCell ref="SL1:SM1"/>
    <mergeCell ref="SN1:SO1"/>
    <mergeCell ref="SP1:SQ1"/>
    <mergeCell ref="SR1:SS1"/>
    <mergeCell ref="ST1:SU1"/>
    <mergeCell ref="SV1:SW1"/>
    <mergeCell ref="SX1:SY1"/>
    <mergeCell ref="SZ1:TA1"/>
    <mergeCell ref="RQ1:RR1"/>
    <mergeCell ref="RS1:RT1"/>
    <mergeCell ref="RU1:RV1"/>
    <mergeCell ref="RW1:RX1"/>
    <mergeCell ref="RY1:RZ1"/>
    <mergeCell ref="SA1:SB1"/>
    <mergeCell ref="SC1:SD1"/>
    <mergeCell ref="SE1:SF1"/>
    <mergeCell ref="SG1:SH1"/>
    <mergeCell ref="QY1:QZ1"/>
    <mergeCell ref="RA1:RB1"/>
    <mergeCell ref="RC1:RD1"/>
    <mergeCell ref="RE1:RF1"/>
    <mergeCell ref="RG1:RH1"/>
    <mergeCell ref="RI1:RJ1"/>
    <mergeCell ref="RK1:RL1"/>
    <mergeCell ref="RM1:RN1"/>
    <mergeCell ref="RO1:RP1"/>
    <mergeCell ref="QG1:QH1"/>
    <mergeCell ref="QI1:QJ1"/>
    <mergeCell ref="QK1:QL1"/>
    <mergeCell ref="QM1:QN1"/>
    <mergeCell ref="QO1:QP1"/>
    <mergeCell ref="QQ1:QR1"/>
    <mergeCell ref="QS1:QT1"/>
    <mergeCell ref="QU1:QV1"/>
    <mergeCell ref="QW1:QX1"/>
    <mergeCell ref="PO1:PP1"/>
    <mergeCell ref="PQ1:PR1"/>
    <mergeCell ref="PS1:PT1"/>
    <mergeCell ref="PU1:PV1"/>
    <mergeCell ref="PW1:PX1"/>
    <mergeCell ref="PY1:PZ1"/>
    <mergeCell ref="QA1:QB1"/>
    <mergeCell ref="QC1:QD1"/>
    <mergeCell ref="QE1:QF1"/>
    <mergeCell ref="OW1:OX1"/>
    <mergeCell ref="OY1:OZ1"/>
    <mergeCell ref="PA1:PB1"/>
    <mergeCell ref="PC1:PD1"/>
    <mergeCell ref="PE1:PF1"/>
    <mergeCell ref="PG1:PH1"/>
    <mergeCell ref="PI1:PJ1"/>
    <mergeCell ref="PK1:PL1"/>
    <mergeCell ref="PM1:PN1"/>
    <mergeCell ref="OE1:OF1"/>
    <mergeCell ref="OG1:OH1"/>
    <mergeCell ref="OI1:OJ1"/>
    <mergeCell ref="OK1:OL1"/>
    <mergeCell ref="OM1:ON1"/>
    <mergeCell ref="OO1:OP1"/>
    <mergeCell ref="OQ1:OR1"/>
    <mergeCell ref="OS1:OT1"/>
    <mergeCell ref="OU1:OV1"/>
    <mergeCell ref="NM1:NN1"/>
    <mergeCell ref="NO1:NP1"/>
    <mergeCell ref="NQ1:NR1"/>
    <mergeCell ref="NS1:NT1"/>
    <mergeCell ref="NU1:NV1"/>
    <mergeCell ref="NW1:NX1"/>
    <mergeCell ref="NY1:NZ1"/>
    <mergeCell ref="OA1:OB1"/>
    <mergeCell ref="OC1:OD1"/>
    <mergeCell ref="MU1:MV1"/>
    <mergeCell ref="MW1:MX1"/>
    <mergeCell ref="MY1:MZ1"/>
    <mergeCell ref="NA1:NB1"/>
    <mergeCell ref="NC1:ND1"/>
    <mergeCell ref="NE1:NF1"/>
    <mergeCell ref="NG1:NH1"/>
    <mergeCell ref="NI1:NJ1"/>
    <mergeCell ref="NK1:NL1"/>
    <mergeCell ref="MC1:MD1"/>
    <mergeCell ref="ME1:MF1"/>
    <mergeCell ref="MG1:MH1"/>
    <mergeCell ref="MI1:MJ1"/>
    <mergeCell ref="MK1:ML1"/>
    <mergeCell ref="MM1:MN1"/>
    <mergeCell ref="MO1:MP1"/>
    <mergeCell ref="MQ1:MR1"/>
    <mergeCell ref="MS1:MT1"/>
    <mergeCell ref="LK1:LL1"/>
    <mergeCell ref="LM1:LN1"/>
    <mergeCell ref="LO1:LP1"/>
    <mergeCell ref="LQ1:LR1"/>
    <mergeCell ref="LS1:LT1"/>
    <mergeCell ref="LU1:LV1"/>
    <mergeCell ref="LW1:LX1"/>
    <mergeCell ref="LY1:LZ1"/>
    <mergeCell ref="MA1:MB1"/>
    <mergeCell ref="KS1:KT1"/>
    <mergeCell ref="KU1:KV1"/>
    <mergeCell ref="KW1:KX1"/>
    <mergeCell ref="KY1:KZ1"/>
    <mergeCell ref="LA1:LB1"/>
    <mergeCell ref="LC1:LD1"/>
    <mergeCell ref="LE1:LF1"/>
    <mergeCell ref="LG1:LH1"/>
    <mergeCell ref="LI1:LJ1"/>
    <mergeCell ref="KA1:KB1"/>
    <mergeCell ref="KC1:KD1"/>
    <mergeCell ref="KE1:KF1"/>
    <mergeCell ref="KG1:KH1"/>
    <mergeCell ref="KI1:KJ1"/>
    <mergeCell ref="KK1:KL1"/>
    <mergeCell ref="KM1:KN1"/>
    <mergeCell ref="KO1:KP1"/>
    <mergeCell ref="KQ1:KR1"/>
    <mergeCell ref="JI1:JJ1"/>
    <mergeCell ref="JK1:JL1"/>
    <mergeCell ref="JM1:JN1"/>
    <mergeCell ref="JO1:JP1"/>
    <mergeCell ref="JQ1:JR1"/>
    <mergeCell ref="JS1:JT1"/>
    <mergeCell ref="JU1:JV1"/>
    <mergeCell ref="JW1:JX1"/>
    <mergeCell ref="JY1:JZ1"/>
    <mergeCell ref="IQ1:IR1"/>
    <mergeCell ref="IS1:IT1"/>
    <mergeCell ref="IU1:IV1"/>
    <mergeCell ref="IW1:IX1"/>
    <mergeCell ref="IY1:IZ1"/>
    <mergeCell ref="JA1:JB1"/>
    <mergeCell ref="JC1:JD1"/>
    <mergeCell ref="JE1:JF1"/>
    <mergeCell ref="JG1:JH1"/>
    <mergeCell ref="HY1:HZ1"/>
    <mergeCell ref="IA1:IB1"/>
    <mergeCell ref="IC1:ID1"/>
    <mergeCell ref="IE1:IF1"/>
    <mergeCell ref="IG1:IH1"/>
    <mergeCell ref="II1:IJ1"/>
    <mergeCell ref="IK1:IL1"/>
    <mergeCell ref="IM1:IN1"/>
    <mergeCell ref="IO1:IP1"/>
    <mergeCell ref="HG1:HH1"/>
    <mergeCell ref="HI1:HJ1"/>
    <mergeCell ref="HK1:HL1"/>
    <mergeCell ref="HM1:HN1"/>
    <mergeCell ref="HO1:HP1"/>
    <mergeCell ref="HQ1:HR1"/>
    <mergeCell ref="HS1:HT1"/>
    <mergeCell ref="HU1:HV1"/>
    <mergeCell ref="HW1:HX1"/>
    <mergeCell ref="GO1:GP1"/>
    <mergeCell ref="GQ1:GR1"/>
    <mergeCell ref="GS1:GT1"/>
    <mergeCell ref="GU1:GV1"/>
    <mergeCell ref="GW1:GX1"/>
    <mergeCell ref="GY1:GZ1"/>
    <mergeCell ref="HA1:HB1"/>
    <mergeCell ref="HC1:HD1"/>
    <mergeCell ref="HE1:HF1"/>
    <mergeCell ref="FW1:FX1"/>
    <mergeCell ref="FY1:FZ1"/>
    <mergeCell ref="GA1:GB1"/>
    <mergeCell ref="GC1:GD1"/>
    <mergeCell ref="GE1:GF1"/>
    <mergeCell ref="GG1:GH1"/>
    <mergeCell ref="GI1:GJ1"/>
    <mergeCell ref="GK1:GL1"/>
    <mergeCell ref="GM1:GN1"/>
    <mergeCell ref="FE1:FF1"/>
    <mergeCell ref="FG1:FH1"/>
    <mergeCell ref="FI1:FJ1"/>
    <mergeCell ref="FK1:FL1"/>
    <mergeCell ref="FM1:FN1"/>
    <mergeCell ref="FO1:FP1"/>
    <mergeCell ref="FQ1:FR1"/>
    <mergeCell ref="FS1:FT1"/>
    <mergeCell ref="FU1:FV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AZH1:AZI1"/>
    <mergeCell ref="AZJ1:AZK1"/>
    <mergeCell ref="AZL1:AZM1"/>
    <mergeCell ref="AZN1:AZO1"/>
    <mergeCell ref="AZP1:AZQ1"/>
    <mergeCell ref="AZR1:AZS1"/>
    <mergeCell ref="AZT1:AZU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YP1:AYQ1"/>
    <mergeCell ref="AYR1:AYS1"/>
    <mergeCell ref="AYT1:AYU1"/>
    <mergeCell ref="AYV1:AYW1"/>
    <mergeCell ref="AYX1:AYY1"/>
    <mergeCell ref="AYZ1:AZA1"/>
    <mergeCell ref="AZB1:AZC1"/>
    <mergeCell ref="AZD1:AZE1"/>
    <mergeCell ref="AZF1:AZG1"/>
    <mergeCell ref="AXX1:AXY1"/>
    <mergeCell ref="AXZ1:AYA1"/>
    <mergeCell ref="AYB1:AYC1"/>
    <mergeCell ref="AYD1:AYE1"/>
    <mergeCell ref="AYF1:AYG1"/>
    <mergeCell ref="AYH1:AYI1"/>
    <mergeCell ref="AYJ1:AYK1"/>
    <mergeCell ref="AYL1:AYM1"/>
    <mergeCell ref="AYN1:AYO1"/>
    <mergeCell ref="AXF1:AXG1"/>
    <mergeCell ref="AXH1:AXI1"/>
    <mergeCell ref="AXJ1:AXK1"/>
    <mergeCell ref="AXL1:AXM1"/>
    <mergeCell ref="AXN1:AXO1"/>
    <mergeCell ref="AXP1:AXQ1"/>
    <mergeCell ref="AXR1:AXS1"/>
    <mergeCell ref="AXT1:AXU1"/>
    <mergeCell ref="AXV1:AXW1"/>
    <mergeCell ref="BBL1:BBM1"/>
    <mergeCell ref="BBN1:BBO1"/>
    <mergeCell ref="BBP1:BBQ1"/>
    <mergeCell ref="BBR1:BBS1"/>
    <mergeCell ref="BBT1:BBU1"/>
    <mergeCell ref="BBV1:BBW1"/>
    <mergeCell ref="BBX1:BBY1"/>
    <mergeCell ref="BCN1:BCO1"/>
    <mergeCell ref="BCP1:BCQ1"/>
    <mergeCell ref="BBZ1:BCA1"/>
    <mergeCell ref="BCB1:BCC1"/>
    <mergeCell ref="BCD1:BCE1"/>
    <mergeCell ref="BCF1:BCG1"/>
    <mergeCell ref="BCH1:BCI1"/>
    <mergeCell ref="BCJ1:BCK1"/>
    <mergeCell ref="BCL1:BCM1"/>
    <mergeCell ref="BAT1:BAU1"/>
    <mergeCell ref="BAV1:BAW1"/>
    <mergeCell ref="BAX1:BAY1"/>
    <mergeCell ref="BAZ1:BBA1"/>
    <mergeCell ref="BBB1:BBC1"/>
    <mergeCell ref="BBD1:BBE1"/>
    <mergeCell ref="BBF1:BBG1"/>
    <mergeCell ref="BBH1:BBI1"/>
    <mergeCell ref="BBJ1:BBK1"/>
    <mergeCell ref="BAB1:BAC1"/>
    <mergeCell ref="BAD1:BAE1"/>
    <mergeCell ref="BAF1:BAG1"/>
    <mergeCell ref="BAH1:BAI1"/>
    <mergeCell ref="BAJ1:BAK1"/>
    <mergeCell ref="BAL1:BAM1"/>
    <mergeCell ref="BAN1:BAO1"/>
    <mergeCell ref="BAP1:BAQ1"/>
    <mergeCell ref="BAR1:BAS1"/>
    <mergeCell ref="AVP1:AVQ1"/>
    <mergeCell ref="AVR1:AVS1"/>
    <mergeCell ref="AVT1:AVU1"/>
    <mergeCell ref="AVV1:AVW1"/>
    <mergeCell ref="AVX1:AVY1"/>
    <mergeCell ref="AVZ1:AWA1"/>
    <mergeCell ref="AZV1:AZW1"/>
    <mergeCell ref="AZX1:AZY1"/>
    <mergeCell ref="AZZ1:BAA1"/>
    <mergeCell ref="AWB1:AWC1"/>
    <mergeCell ref="AWD1:AWE1"/>
    <mergeCell ref="AWF1:AWG1"/>
    <mergeCell ref="AWH1:AWI1"/>
    <mergeCell ref="AWJ1:AWK1"/>
    <mergeCell ref="AWL1:AWM1"/>
    <mergeCell ref="AWN1:AWO1"/>
    <mergeCell ref="AWP1:AWQ1"/>
    <mergeCell ref="AWR1:AWS1"/>
    <mergeCell ref="AWT1:AWU1"/>
    <mergeCell ref="AWV1:AWW1"/>
    <mergeCell ref="AWX1:AWY1"/>
    <mergeCell ref="AWZ1:AXA1"/>
    <mergeCell ref="AXB1:AXC1"/>
    <mergeCell ref="AXD1:AXE1"/>
    <mergeCell ref="AUX1:AUY1"/>
    <mergeCell ref="AUZ1:AVA1"/>
    <mergeCell ref="AVB1:AVC1"/>
    <mergeCell ref="AVD1:AVE1"/>
    <mergeCell ref="AVF1:AVG1"/>
    <mergeCell ref="AVH1:AVI1"/>
    <mergeCell ref="AVJ1:AVK1"/>
    <mergeCell ref="AVL1:AVM1"/>
    <mergeCell ref="AVN1:AVO1"/>
    <mergeCell ref="AUF1:AUG1"/>
    <mergeCell ref="AUH1:AUI1"/>
    <mergeCell ref="AUJ1:AUK1"/>
    <mergeCell ref="AUL1:AUM1"/>
    <mergeCell ref="AUN1:AUO1"/>
    <mergeCell ref="AUP1:AUQ1"/>
    <mergeCell ref="AUR1:AUS1"/>
    <mergeCell ref="AUT1:AUU1"/>
    <mergeCell ref="AUV1:AUW1"/>
    <mergeCell ref="ATN1:ATO1"/>
    <mergeCell ref="ATP1:ATQ1"/>
    <mergeCell ref="ATR1:ATS1"/>
    <mergeCell ref="ATT1:ATU1"/>
    <mergeCell ref="ATV1:ATW1"/>
    <mergeCell ref="ATX1:ATY1"/>
    <mergeCell ref="ATZ1:AUA1"/>
    <mergeCell ref="AUB1:AUC1"/>
    <mergeCell ref="AUD1:AUE1"/>
    <mergeCell ref="ASV1:ASW1"/>
    <mergeCell ref="ASX1:ASY1"/>
    <mergeCell ref="ASZ1:ATA1"/>
    <mergeCell ref="ATB1:ATC1"/>
    <mergeCell ref="ATD1:ATE1"/>
    <mergeCell ref="ATF1:ATG1"/>
    <mergeCell ref="ATH1:ATI1"/>
    <mergeCell ref="ATJ1:ATK1"/>
    <mergeCell ref="ATL1:ATM1"/>
    <mergeCell ref="ASD1:ASE1"/>
    <mergeCell ref="ASF1:ASG1"/>
    <mergeCell ref="ASH1:ASI1"/>
    <mergeCell ref="ASJ1:ASK1"/>
    <mergeCell ref="ASL1:ASM1"/>
    <mergeCell ref="ASN1:ASO1"/>
    <mergeCell ref="ASP1:ASQ1"/>
    <mergeCell ref="ASR1:ASS1"/>
    <mergeCell ref="AST1:ASU1"/>
    <mergeCell ref="ARL1:ARM1"/>
    <mergeCell ref="ARN1:ARO1"/>
    <mergeCell ref="ARP1:ARQ1"/>
    <mergeCell ref="ARR1:ARS1"/>
    <mergeCell ref="ART1:ARU1"/>
    <mergeCell ref="ARV1:ARW1"/>
    <mergeCell ref="ARX1:ARY1"/>
    <mergeCell ref="ARZ1:ASA1"/>
    <mergeCell ref="ASB1:ASC1"/>
    <mergeCell ref="AQT1:AQU1"/>
    <mergeCell ref="AQV1:AQW1"/>
    <mergeCell ref="AQX1:AQY1"/>
    <mergeCell ref="AQZ1:ARA1"/>
    <mergeCell ref="ARB1:ARC1"/>
    <mergeCell ref="ARD1:ARE1"/>
    <mergeCell ref="ARF1:ARG1"/>
    <mergeCell ref="ARH1:ARI1"/>
    <mergeCell ref="ARJ1:ARK1"/>
    <mergeCell ref="AQB1:AQC1"/>
    <mergeCell ref="AQD1:AQE1"/>
    <mergeCell ref="AQF1:AQG1"/>
    <mergeCell ref="AQH1:AQI1"/>
    <mergeCell ref="AQJ1:AQK1"/>
    <mergeCell ref="AQL1:AQM1"/>
    <mergeCell ref="AQN1:AQO1"/>
    <mergeCell ref="AQP1:AQQ1"/>
    <mergeCell ref="AQR1:AQS1"/>
    <mergeCell ref="APJ1:APK1"/>
    <mergeCell ref="APL1:APM1"/>
    <mergeCell ref="APN1:APO1"/>
    <mergeCell ref="APP1:APQ1"/>
    <mergeCell ref="APR1:APS1"/>
    <mergeCell ref="APT1:APU1"/>
    <mergeCell ref="APV1:APW1"/>
    <mergeCell ref="APX1:APY1"/>
    <mergeCell ref="APZ1:AQA1"/>
    <mergeCell ref="AOR1:AOS1"/>
    <mergeCell ref="AOT1:AOU1"/>
    <mergeCell ref="AOV1:AOW1"/>
    <mergeCell ref="AOX1:AOY1"/>
    <mergeCell ref="AOZ1:APA1"/>
    <mergeCell ref="APB1:APC1"/>
    <mergeCell ref="APD1:APE1"/>
    <mergeCell ref="APF1:APG1"/>
    <mergeCell ref="APH1:API1"/>
    <mergeCell ref="ANZ1:AOA1"/>
    <mergeCell ref="AOB1:AOC1"/>
    <mergeCell ref="AOD1:AOE1"/>
    <mergeCell ref="AOF1:AOG1"/>
    <mergeCell ref="AOH1:AOI1"/>
    <mergeCell ref="AOJ1:AOK1"/>
    <mergeCell ref="AOL1:AOM1"/>
    <mergeCell ref="AON1:AOO1"/>
    <mergeCell ref="AOP1:AOQ1"/>
    <mergeCell ref="ANH1:ANI1"/>
    <mergeCell ref="ANJ1:ANK1"/>
    <mergeCell ref="ANL1:ANM1"/>
    <mergeCell ref="ANN1:ANO1"/>
    <mergeCell ref="ANP1:ANQ1"/>
    <mergeCell ref="ANR1:ANS1"/>
    <mergeCell ref="ANT1:ANU1"/>
    <mergeCell ref="ANV1:ANW1"/>
    <mergeCell ref="ANX1:ANY1"/>
    <mergeCell ref="AMP1:AMQ1"/>
    <mergeCell ref="AMR1:AMS1"/>
    <mergeCell ref="AMT1:AMU1"/>
    <mergeCell ref="AMV1:AMW1"/>
    <mergeCell ref="AMX1:AMY1"/>
    <mergeCell ref="AMZ1:ANA1"/>
    <mergeCell ref="ANB1:ANC1"/>
    <mergeCell ref="AND1:ANE1"/>
    <mergeCell ref="ANF1:ANG1"/>
    <mergeCell ref="ALX1:ALY1"/>
    <mergeCell ref="ALZ1:AMA1"/>
    <mergeCell ref="AMB1:AMC1"/>
    <mergeCell ref="AMD1:AME1"/>
    <mergeCell ref="AMF1:AMG1"/>
    <mergeCell ref="AMH1:AMI1"/>
    <mergeCell ref="AMJ1:AMK1"/>
    <mergeCell ref="AML1:AMM1"/>
    <mergeCell ref="AMN1:AMO1"/>
    <mergeCell ref="ALF1:ALG1"/>
    <mergeCell ref="ALH1:ALI1"/>
    <mergeCell ref="ALJ1:ALK1"/>
    <mergeCell ref="ALL1:ALM1"/>
    <mergeCell ref="ALN1:ALO1"/>
    <mergeCell ref="ALP1:ALQ1"/>
    <mergeCell ref="ALR1:ALS1"/>
    <mergeCell ref="ALT1:ALU1"/>
    <mergeCell ref="ALV1:ALW1"/>
    <mergeCell ref="AKN1:AKO1"/>
    <mergeCell ref="AKP1:AKQ1"/>
    <mergeCell ref="AKR1:AKS1"/>
    <mergeCell ref="AKT1:AKU1"/>
    <mergeCell ref="AKV1:AKW1"/>
    <mergeCell ref="AKX1:AKY1"/>
    <mergeCell ref="AKZ1:ALA1"/>
    <mergeCell ref="ALB1:ALC1"/>
    <mergeCell ref="ALD1:ALE1"/>
    <mergeCell ref="AJV1:AJW1"/>
    <mergeCell ref="AJX1:AJY1"/>
    <mergeCell ref="AJZ1:AKA1"/>
    <mergeCell ref="AKB1:AKC1"/>
    <mergeCell ref="AKD1:AKE1"/>
    <mergeCell ref="AKF1:AKG1"/>
    <mergeCell ref="AKH1:AKI1"/>
    <mergeCell ref="AKJ1:AKK1"/>
    <mergeCell ref="AKL1:AKM1"/>
    <mergeCell ref="AJD1:AJE1"/>
    <mergeCell ref="AJF1:AJG1"/>
    <mergeCell ref="AJH1:AJI1"/>
    <mergeCell ref="AJJ1:AJK1"/>
    <mergeCell ref="AJL1:AJM1"/>
    <mergeCell ref="AJN1:AJO1"/>
    <mergeCell ref="AJP1:AJQ1"/>
    <mergeCell ref="AJR1:AJS1"/>
    <mergeCell ref="AJT1:AJU1"/>
    <mergeCell ref="AIL1:AIM1"/>
    <mergeCell ref="AIN1:AIO1"/>
    <mergeCell ref="AIP1:AIQ1"/>
    <mergeCell ref="AIR1:AIS1"/>
    <mergeCell ref="AIT1:AIU1"/>
    <mergeCell ref="AIV1:AIW1"/>
    <mergeCell ref="AIX1:AIY1"/>
    <mergeCell ref="AIZ1:AJA1"/>
    <mergeCell ref="AJB1:AJC1"/>
    <mergeCell ref="AHT1:AHU1"/>
    <mergeCell ref="AHV1:AHW1"/>
    <mergeCell ref="AHX1:AHY1"/>
    <mergeCell ref="AHZ1:AIA1"/>
    <mergeCell ref="AIB1:AIC1"/>
    <mergeCell ref="AID1:AIE1"/>
    <mergeCell ref="AIF1:AIG1"/>
    <mergeCell ref="AIH1:AII1"/>
    <mergeCell ref="AIJ1:AIK1"/>
    <mergeCell ref="AHB1:AHC1"/>
    <mergeCell ref="AHD1:AHE1"/>
    <mergeCell ref="AHF1:AHG1"/>
    <mergeCell ref="AHH1:AHI1"/>
    <mergeCell ref="AHJ1:AHK1"/>
    <mergeCell ref="AHL1:AHM1"/>
    <mergeCell ref="AHN1:AHO1"/>
    <mergeCell ref="AHP1:AHQ1"/>
    <mergeCell ref="AHR1:AHS1"/>
    <mergeCell ref="AGJ1:AGK1"/>
    <mergeCell ref="AGL1:AGM1"/>
    <mergeCell ref="AGN1:AGO1"/>
    <mergeCell ref="AGP1:AGQ1"/>
    <mergeCell ref="AGR1:AGS1"/>
    <mergeCell ref="AGT1:AGU1"/>
    <mergeCell ref="AGV1:AGW1"/>
    <mergeCell ref="AGX1:AGY1"/>
    <mergeCell ref="AGZ1:AHA1"/>
    <mergeCell ref="AFR1:AFS1"/>
    <mergeCell ref="AFT1:AFU1"/>
    <mergeCell ref="AFV1:AFW1"/>
    <mergeCell ref="AFX1:AFY1"/>
    <mergeCell ref="AFZ1:AGA1"/>
    <mergeCell ref="AGB1:AGC1"/>
    <mergeCell ref="AGD1:AGE1"/>
    <mergeCell ref="AGF1:AGG1"/>
    <mergeCell ref="AGH1:AGI1"/>
    <mergeCell ref="AEZ1:AFA1"/>
    <mergeCell ref="AFB1:AFC1"/>
    <mergeCell ref="AFD1:AFE1"/>
    <mergeCell ref="AFF1:AFG1"/>
    <mergeCell ref="AFH1:AFI1"/>
    <mergeCell ref="AFJ1:AFK1"/>
    <mergeCell ref="AFL1:AFM1"/>
    <mergeCell ref="AFN1:AFO1"/>
    <mergeCell ref="AFP1:AFQ1"/>
    <mergeCell ref="AEH1:AEI1"/>
    <mergeCell ref="AEJ1:AEK1"/>
    <mergeCell ref="AEL1:AEM1"/>
    <mergeCell ref="AEN1:AEO1"/>
    <mergeCell ref="AEP1:AEQ1"/>
    <mergeCell ref="AER1:AES1"/>
    <mergeCell ref="AET1:AEU1"/>
    <mergeCell ref="AEV1:AEW1"/>
    <mergeCell ref="AEX1:AEY1"/>
    <mergeCell ref="ADP1:ADQ1"/>
    <mergeCell ref="ADR1:ADS1"/>
    <mergeCell ref="ADT1:ADU1"/>
    <mergeCell ref="ADV1:ADW1"/>
    <mergeCell ref="ADX1:ADY1"/>
    <mergeCell ref="ADZ1:AEA1"/>
    <mergeCell ref="AEB1:AEC1"/>
    <mergeCell ref="AED1:AEE1"/>
    <mergeCell ref="AEF1:AEG1"/>
    <mergeCell ref="ACX1:ACY1"/>
    <mergeCell ref="ACZ1:ADA1"/>
    <mergeCell ref="ADB1:ADC1"/>
    <mergeCell ref="ADD1:ADE1"/>
    <mergeCell ref="ADF1:ADG1"/>
    <mergeCell ref="ADH1:ADI1"/>
    <mergeCell ref="ADJ1:ADK1"/>
    <mergeCell ref="ADL1:ADM1"/>
    <mergeCell ref="ADN1:ADO1"/>
    <mergeCell ref="ACF1:ACG1"/>
    <mergeCell ref="ACH1:ACI1"/>
    <mergeCell ref="ACJ1:ACK1"/>
    <mergeCell ref="ACL1:ACM1"/>
    <mergeCell ref="ACN1:ACO1"/>
    <mergeCell ref="ACP1:ACQ1"/>
    <mergeCell ref="ACR1:ACS1"/>
    <mergeCell ref="ACT1:ACU1"/>
    <mergeCell ref="ACV1:ACW1"/>
    <mergeCell ref="ABN1:ABO1"/>
    <mergeCell ref="ABP1:ABQ1"/>
    <mergeCell ref="ABR1:ABS1"/>
    <mergeCell ref="ABT1:ABU1"/>
    <mergeCell ref="ABV1:ABW1"/>
    <mergeCell ref="ABX1:ABY1"/>
    <mergeCell ref="ABZ1:ACA1"/>
    <mergeCell ref="ACB1:ACC1"/>
    <mergeCell ref="ACD1:ACE1"/>
    <mergeCell ref="AAV1:AAW1"/>
    <mergeCell ref="AAX1:AAY1"/>
    <mergeCell ref="AAZ1:ABA1"/>
    <mergeCell ref="ABB1:ABC1"/>
    <mergeCell ref="ABD1:ABE1"/>
    <mergeCell ref="ABF1:ABG1"/>
    <mergeCell ref="ABH1:ABI1"/>
    <mergeCell ref="ABJ1:ABK1"/>
    <mergeCell ref="ABL1:ABM1"/>
    <mergeCell ref="AAD1:AAE1"/>
    <mergeCell ref="AAF1:AAG1"/>
    <mergeCell ref="AAH1:AAI1"/>
    <mergeCell ref="AAJ1:AAK1"/>
    <mergeCell ref="AAL1:AAM1"/>
    <mergeCell ref="AAN1:AAO1"/>
    <mergeCell ref="AAP1:AAQ1"/>
    <mergeCell ref="AAR1:AAS1"/>
    <mergeCell ref="AAT1:AAU1"/>
    <mergeCell ref="ZL1:ZM1"/>
    <mergeCell ref="ZN1:ZO1"/>
    <mergeCell ref="ZP1:ZQ1"/>
    <mergeCell ref="ZR1:ZS1"/>
    <mergeCell ref="ZT1:ZU1"/>
    <mergeCell ref="ZV1:ZW1"/>
    <mergeCell ref="ZX1:ZY1"/>
    <mergeCell ref="ZZ1:AAA1"/>
    <mergeCell ref="AAB1:AAC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92"/>
  <sheetViews>
    <sheetView workbookViewId="0"/>
  </sheetViews>
  <sheetFormatPr baseColWidth="10" defaultColWidth="12.6640625" defaultRowHeight="15" customHeight="1"/>
  <cols>
    <col min="1" max="1" width="15.6640625" customWidth="1"/>
    <col min="2" max="2" width="10.1640625" customWidth="1"/>
    <col min="3" max="3" width="20" customWidth="1"/>
    <col min="4" max="4" width="24.6640625" customWidth="1"/>
    <col min="5" max="5" width="22.1640625" customWidth="1"/>
    <col min="6" max="6" width="21.5" customWidth="1"/>
    <col min="7" max="7" width="33" customWidth="1"/>
    <col min="8" max="26" width="7" customWidth="1"/>
  </cols>
  <sheetData>
    <row r="1" spans="1:7" ht="15" customHeight="1">
      <c r="A1" s="60" t="s">
        <v>623</v>
      </c>
      <c r="B1" s="60" t="s">
        <v>624</v>
      </c>
      <c r="C1" s="60" t="s">
        <v>625</v>
      </c>
      <c r="D1" s="60" t="s">
        <v>626</v>
      </c>
      <c r="E1" s="43" t="s">
        <v>627</v>
      </c>
      <c r="F1" s="43" t="s">
        <v>628</v>
      </c>
    </row>
    <row r="2" spans="1:7" ht="14.25" customHeight="1">
      <c r="A2" s="61" t="s">
        <v>54</v>
      </c>
      <c r="B2" s="62" t="s">
        <v>629</v>
      </c>
      <c r="C2" s="62"/>
      <c r="D2" s="62"/>
      <c r="E2" s="63"/>
      <c r="F2" s="63"/>
      <c r="G2" s="64"/>
    </row>
    <row r="3" spans="1:7" ht="14.25" customHeight="1">
      <c r="A3" s="65" t="s">
        <v>613</v>
      </c>
      <c r="B3" s="66" t="s">
        <v>630</v>
      </c>
      <c r="C3" s="66"/>
      <c r="D3" s="66"/>
      <c r="E3" s="67" t="s">
        <v>631</v>
      </c>
      <c r="F3" s="67" t="s">
        <v>632</v>
      </c>
      <c r="G3" s="64"/>
    </row>
    <row r="4" spans="1:7" ht="14.25" customHeight="1">
      <c r="A4" s="65" t="s">
        <v>79</v>
      </c>
      <c r="B4" s="66" t="s">
        <v>629</v>
      </c>
      <c r="C4" s="66" t="s">
        <v>633</v>
      </c>
      <c r="D4" s="66" t="s">
        <v>634</v>
      </c>
      <c r="E4" s="67" t="s">
        <v>635</v>
      </c>
      <c r="F4" s="67" t="s">
        <v>632</v>
      </c>
      <c r="G4" s="64"/>
    </row>
    <row r="5" spans="1:7" ht="14.25" customHeight="1">
      <c r="A5" s="65" t="s">
        <v>28</v>
      </c>
      <c r="B5" s="66" t="s">
        <v>630</v>
      </c>
      <c r="C5" s="66"/>
      <c r="D5" s="66"/>
      <c r="E5" s="63"/>
      <c r="F5" s="63"/>
      <c r="G5" s="64"/>
    </row>
    <row r="6" spans="1:7" ht="14.25" customHeight="1">
      <c r="A6" s="65" t="s">
        <v>636</v>
      </c>
      <c r="B6" s="66" t="s">
        <v>629</v>
      </c>
      <c r="C6" s="66"/>
      <c r="D6" s="66"/>
      <c r="E6" s="67" t="s">
        <v>637</v>
      </c>
      <c r="F6" s="67" t="s">
        <v>638</v>
      </c>
      <c r="G6" s="64"/>
    </row>
    <row r="7" spans="1:7" ht="14.25" customHeight="1">
      <c r="A7" s="65" t="s">
        <v>639</v>
      </c>
      <c r="B7" s="66" t="s">
        <v>630</v>
      </c>
      <c r="C7" s="66" t="s">
        <v>640</v>
      </c>
      <c r="D7" s="66" t="s">
        <v>641</v>
      </c>
      <c r="E7" s="67" t="s">
        <v>642</v>
      </c>
      <c r="F7" s="67" t="s">
        <v>643</v>
      </c>
      <c r="G7" s="64"/>
    </row>
    <row r="8" spans="1:7" ht="14.25" customHeight="1">
      <c r="A8" s="65" t="s">
        <v>451</v>
      </c>
      <c r="B8" s="66" t="s">
        <v>630</v>
      </c>
      <c r="C8" s="66" t="s">
        <v>644</v>
      </c>
      <c r="D8" s="66"/>
      <c r="E8" s="67" t="s">
        <v>645</v>
      </c>
      <c r="F8" s="67" t="s">
        <v>646</v>
      </c>
      <c r="G8" s="68" t="s">
        <v>647</v>
      </c>
    </row>
    <row r="9" spans="1:7" ht="14.25" customHeight="1">
      <c r="A9" s="65" t="s">
        <v>611</v>
      </c>
      <c r="B9" s="66" t="s">
        <v>629</v>
      </c>
      <c r="C9" s="66" t="s">
        <v>633</v>
      </c>
      <c r="D9" s="66"/>
      <c r="E9" s="63"/>
      <c r="F9" s="63"/>
      <c r="G9" s="64"/>
    </row>
    <row r="10" spans="1:7" ht="14.25" customHeight="1">
      <c r="A10" s="65" t="s">
        <v>238</v>
      </c>
      <c r="B10" s="66" t="s">
        <v>630</v>
      </c>
      <c r="C10" s="66" t="s">
        <v>644</v>
      </c>
      <c r="D10" s="66"/>
      <c r="E10" s="67" t="s">
        <v>645</v>
      </c>
      <c r="F10" s="67" t="s">
        <v>646</v>
      </c>
      <c r="G10" s="64"/>
    </row>
    <row r="11" spans="1:7" ht="14.25" customHeight="1">
      <c r="A11" s="65" t="s">
        <v>81</v>
      </c>
      <c r="B11" s="66" t="s">
        <v>648</v>
      </c>
      <c r="C11" s="66" t="s">
        <v>640</v>
      </c>
      <c r="D11" s="66"/>
      <c r="E11" s="63"/>
      <c r="F11" s="63"/>
      <c r="G11" s="64"/>
    </row>
    <row r="12" spans="1:7" ht="14.25" customHeight="1">
      <c r="A12" s="65" t="s">
        <v>649</v>
      </c>
      <c r="B12" s="66" t="s">
        <v>648</v>
      </c>
      <c r="C12" s="66" t="s">
        <v>640</v>
      </c>
      <c r="D12" s="66"/>
      <c r="E12" s="63"/>
      <c r="F12" s="63"/>
      <c r="G12" s="64"/>
    </row>
    <row r="13" spans="1:7" ht="14.25" customHeight="1">
      <c r="A13" s="65" t="s">
        <v>650</v>
      </c>
      <c r="B13" s="66" t="s">
        <v>629</v>
      </c>
      <c r="C13" s="66" t="s">
        <v>633</v>
      </c>
      <c r="D13" s="66"/>
      <c r="E13" s="67" t="s">
        <v>645</v>
      </c>
      <c r="F13" s="63"/>
      <c r="G13" s="64"/>
    </row>
    <row r="14" spans="1:7" ht="14.25" customHeight="1">
      <c r="A14" s="65" t="s">
        <v>591</v>
      </c>
      <c r="B14" s="66" t="s">
        <v>629</v>
      </c>
      <c r="C14" s="66" t="s">
        <v>640</v>
      </c>
      <c r="D14" s="66" t="s">
        <v>634</v>
      </c>
      <c r="E14" s="69" t="s">
        <v>651</v>
      </c>
      <c r="F14" s="67" t="s">
        <v>652</v>
      </c>
      <c r="G14" s="64"/>
    </row>
    <row r="15" spans="1:7" ht="14.25" customHeight="1">
      <c r="A15" s="65" t="s">
        <v>653</v>
      </c>
      <c r="B15" s="66" t="s">
        <v>629</v>
      </c>
      <c r="C15" s="66" t="s">
        <v>633</v>
      </c>
      <c r="D15" s="66" t="s">
        <v>654</v>
      </c>
      <c r="E15" s="63"/>
      <c r="F15" s="63"/>
      <c r="G15" s="64"/>
    </row>
    <row r="16" spans="1:7" ht="14.25" customHeight="1">
      <c r="A16" s="65" t="s">
        <v>655</v>
      </c>
      <c r="B16" s="66" t="s">
        <v>629</v>
      </c>
      <c r="C16" s="66" t="s">
        <v>633</v>
      </c>
      <c r="D16" s="66"/>
      <c r="E16" s="63"/>
      <c r="F16" s="63" t="s">
        <v>638</v>
      </c>
      <c r="G16" s="64"/>
    </row>
    <row r="17" spans="1:7" ht="14.25" customHeight="1">
      <c r="A17" s="65" t="s">
        <v>656</v>
      </c>
      <c r="B17" s="66" t="s">
        <v>629</v>
      </c>
      <c r="C17" s="66" t="s">
        <v>633</v>
      </c>
      <c r="D17" s="66" t="s">
        <v>654</v>
      </c>
      <c r="E17" s="63"/>
      <c r="F17" s="63"/>
      <c r="G17" s="64"/>
    </row>
    <row r="18" spans="1:7" ht="14.25" customHeight="1">
      <c r="A18" s="65" t="s">
        <v>657</v>
      </c>
      <c r="B18" s="66" t="s">
        <v>629</v>
      </c>
      <c r="C18" s="66"/>
      <c r="D18" s="66"/>
      <c r="E18" s="70" t="s">
        <v>642</v>
      </c>
      <c r="F18" s="67" t="s">
        <v>658</v>
      </c>
      <c r="G18" s="64"/>
    </row>
    <row r="19" spans="1:7" ht="14.25" customHeight="1">
      <c r="A19" s="65" t="s">
        <v>592</v>
      </c>
      <c r="B19" s="66" t="s">
        <v>630</v>
      </c>
      <c r="C19" s="66"/>
      <c r="D19" s="66"/>
      <c r="E19" s="63"/>
      <c r="F19" s="63"/>
      <c r="G19" s="64"/>
    </row>
    <row r="20" spans="1:7" ht="14.25" customHeight="1">
      <c r="A20" s="65" t="s">
        <v>659</v>
      </c>
      <c r="B20" s="66" t="s">
        <v>630</v>
      </c>
      <c r="C20" s="66" t="s">
        <v>633</v>
      </c>
      <c r="D20" s="66"/>
      <c r="E20" s="67" t="s">
        <v>643</v>
      </c>
      <c r="F20" s="67" t="s">
        <v>643</v>
      </c>
      <c r="G20" s="64"/>
    </row>
    <row r="21" spans="1:7" ht="14.25" customHeight="1">
      <c r="A21" s="65" t="s">
        <v>660</v>
      </c>
      <c r="B21" s="66" t="s">
        <v>630</v>
      </c>
      <c r="C21" s="66" t="s">
        <v>633</v>
      </c>
      <c r="D21" s="66"/>
      <c r="E21" s="67" t="s">
        <v>643</v>
      </c>
      <c r="F21" s="67" t="s">
        <v>661</v>
      </c>
      <c r="G21" s="64"/>
    </row>
    <row r="22" spans="1:7" ht="14.25" customHeight="1">
      <c r="A22" s="65" t="s">
        <v>617</v>
      </c>
      <c r="B22" s="66" t="s">
        <v>629</v>
      </c>
      <c r="C22" s="66" t="s">
        <v>633</v>
      </c>
      <c r="D22" s="66" t="s">
        <v>654</v>
      </c>
      <c r="E22" s="71" t="s">
        <v>662</v>
      </c>
      <c r="F22" s="63"/>
      <c r="G22" s="64"/>
    </row>
    <row r="23" spans="1:7" ht="14.25" customHeight="1">
      <c r="A23" s="65" t="s">
        <v>164</v>
      </c>
      <c r="B23" s="66" t="s">
        <v>630</v>
      </c>
      <c r="C23" s="66" t="s">
        <v>663</v>
      </c>
      <c r="D23" s="66" t="s">
        <v>664</v>
      </c>
      <c r="E23" s="69" t="s">
        <v>665</v>
      </c>
      <c r="F23" s="69" t="s">
        <v>666</v>
      </c>
      <c r="G23" s="64"/>
    </row>
    <row r="24" spans="1:7" ht="14.25" customHeight="1">
      <c r="A24" s="65" t="s">
        <v>667</v>
      </c>
      <c r="B24" s="66" t="s">
        <v>668</v>
      </c>
      <c r="C24" s="66"/>
      <c r="D24" s="66"/>
      <c r="E24" s="63"/>
      <c r="F24" s="63"/>
      <c r="G24" s="64"/>
    </row>
    <row r="25" spans="1:7" ht="14.25" customHeight="1">
      <c r="A25" s="65" t="s">
        <v>610</v>
      </c>
      <c r="B25" s="66" t="s">
        <v>629</v>
      </c>
      <c r="C25" s="66"/>
      <c r="D25" s="66"/>
      <c r="E25" s="63"/>
      <c r="F25" s="63"/>
      <c r="G25" s="64"/>
    </row>
    <row r="26" spans="1:7" ht="14.25" customHeight="1">
      <c r="A26" s="65" t="s">
        <v>368</v>
      </c>
      <c r="B26" s="66" t="s">
        <v>629</v>
      </c>
      <c r="C26" s="66" t="s">
        <v>669</v>
      </c>
      <c r="D26" s="66" t="s">
        <v>664</v>
      </c>
      <c r="E26" s="63"/>
      <c r="F26" s="63"/>
      <c r="G26" s="64"/>
    </row>
    <row r="27" spans="1:7" ht="14.25" customHeight="1">
      <c r="A27" s="65" t="s">
        <v>670</v>
      </c>
      <c r="B27" s="66" t="s">
        <v>629</v>
      </c>
      <c r="C27" s="66" t="s">
        <v>633</v>
      </c>
      <c r="D27" s="66" t="s">
        <v>654</v>
      </c>
      <c r="E27" s="71" t="s">
        <v>662</v>
      </c>
      <c r="F27" s="63"/>
      <c r="G27" s="64"/>
    </row>
    <row r="28" spans="1:7" ht="14.25" customHeight="1">
      <c r="A28" s="65" t="s">
        <v>319</v>
      </c>
      <c r="B28" s="66" t="s">
        <v>629</v>
      </c>
      <c r="C28" s="66" t="s">
        <v>633</v>
      </c>
      <c r="D28" s="66" t="s">
        <v>634</v>
      </c>
      <c r="E28" s="67" t="s">
        <v>642</v>
      </c>
      <c r="F28" s="63"/>
      <c r="G28" s="64"/>
    </row>
    <row r="29" spans="1:7" ht="14.25" customHeight="1">
      <c r="A29" s="65" t="s">
        <v>616</v>
      </c>
      <c r="B29" s="66" t="s">
        <v>629</v>
      </c>
      <c r="C29" s="66" t="s">
        <v>633</v>
      </c>
      <c r="D29" s="66"/>
      <c r="E29" s="63"/>
      <c r="F29" s="63"/>
      <c r="G29" s="64"/>
    </row>
    <row r="30" spans="1:7" ht="14.25" customHeight="1">
      <c r="A30" s="65" t="s">
        <v>671</v>
      </c>
      <c r="B30" s="66" t="s">
        <v>630</v>
      </c>
      <c r="C30" s="66" t="s">
        <v>633</v>
      </c>
      <c r="D30" s="66" t="s">
        <v>634</v>
      </c>
      <c r="E30" s="63"/>
      <c r="F30" s="63"/>
      <c r="G30" s="64"/>
    </row>
    <row r="31" spans="1:7" ht="14.25" customHeight="1">
      <c r="A31" s="65" t="s">
        <v>36</v>
      </c>
      <c r="B31" s="66" t="s">
        <v>630</v>
      </c>
      <c r="C31" s="66"/>
      <c r="D31" s="66"/>
      <c r="E31" s="67" t="s">
        <v>645</v>
      </c>
      <c r="F31" s="67" t="s">
        <v>672</v>
      </c>
      <c r="G31" s="64"/>
    </row>
    <row r="32" spans="1:7" ht="14.25" customHeight="1">
      <c r="A32" s="65" t="s">
        <v>673</v>
      </c>
      <c r="B32" s="66" t="s">
        <v>630</v>
      </c>
      <c r="C32" s="66"/>
      <c r="D32" s="66"/>
      <c r="E32" s="67"/>
      <c r="F32" s="67"/>
      <c r="G32" s="64"/>
    </row>
    <row r="33" spans="1:7" ht="14.25" customHeight="1">
      <c r="A33" s="65" t="s">
        <v>674</v>
      </c>
      <c r="B33" s="66" t="s">
        <v>630</v>
      </c>
      <c r="C33" s="66" t="s">
        <v>633</v>
      </c>
      <c r="D33" s="66" t="s">
        <v>634</v>
      </c>
      <c r="E33" s="67" t="s">
        <v>675</v>
      </c>
      <c r="F33" s="67" t="s">
        <v>676</v>
      </c>
      <c r="G33" s="64"/>
    </row>
    <row r="34" spans="1:7" ht="14.25" customHeight="1">
      <c r="A34" s="65" t="s">
        <v>59</v>
      </c>
      <c r="B34" s="66" t="s">
        <v>629</v>
      </c>
      <c r="C34" s="66"/>
      <c r="D34" s="66"/>
      <c r="E34" s="63"/>
      <c r="F34" s="63"/>
      <c r="G34" s="64"/>
    </row>
    <row r="35" spans="1:7" ht="14.25" customHeight="1">
      <c r="A35" s="65" t="s">
        <v>363</v>
      </c>
      <c r="B35" s="66" t="s">
        <v>629</v>
      </c>
      <c r="C35" s="66" t="s">
        <v>633</v>
      </c>
      <c r="D35" s="66" t="s">
        <v>634</v>
      </c>
      <c r="E35" s="63"/>
      <c r="F35" s="63"/>
      <c r="G35" s="64"/>
    </row>
    <row r="36" spans="1:7" ht="14.25" customHeight="1">
      <c r="A36" s="65" t="s">
        <v>602</v>
      </c>
      <c r="B36" s="66" t="s">
        <v>629</v>
      </c>
      <c r="C36" s="66" t="s">
        <v>677</v>
      </c>
      <c r="D36" s="66"/>
      <c r="E36" s="67" t="s">
        <v>678</v>
      </c>
      <c r="F36" s="67" t="s">
        <v>679</v>
      </c>
      <c r="G36" s="64"/>
    </row>
    <row r="37" spans="1:7" ht="14.25" customHeight="1">
      <c r="A37" s="65" t="s">
        <v>300</v>
      </c>
      <c r="B37" s="66" t="s">
        <v>629</v>
      </c>
      <c r="C37" s="66"/>
      <c r="D37" s="66" t="s">
        <v>634</v>
      </c>
      <c r="E37" s="67" t="s">
        <v>680</v>
      </c>
      <c r="F37" s="67" t="s">
        <v>681</v>
      </c>
      <c r="G37" s="64"/>
    </row>
    <row r="38" spans="1:7" ht="14.25" customHeight="1">
      <c r="A38" s="65" t="s">
        <v>598</v>
      </c>
      <c r="B38" s="66" t="s">
        <v>629</v>
      </c>
      <c r="C38" s="66" t="s">
        <v>633</v>
      </c>
      <c r="D38" s="66" t="s">
        <v>634</v>
      </c>
      <c r="E38" s="63"/>
      <c r="F38" s="63"/>
      <c r="G38" s="64"/>
    </row>
    <row r="39" spans="1:7" ht="14.25" customHeight="1">
      <c r="A39" s="65" t="s">
        <v>86</v>
      </c>
      <c r="B39" s="66" t="s">
        <v>630</v>
      </c>
      <c r="C39" s="66"/>
      <c r="D39" s="66"/>
      <c r="E39" s="67" t="s">
        <v>638</v>
      </c>
      <c r="F39" s="67" t="s">
        <v>682</v>
      </c>
      <c r="G39" s="64"/>
    </row>
    <row r="40" spans="1:7" ht="14.25" customHeight="1">
      <c r="A40" s="65" t="s">
        <v>185</v>
      </c>
      <c r="B40" s="66" t="s">
        <v>630</v>
      </c>
      <c r="C40" s="66" t="s">
        <v>683</v>
      </c>
      <c r="D40" s="66" t="s">
        <v>684</v>
      </c>
      <c r="E40" s="63"/>
      <c r="F40" s="63"/>
      <c r="G40" s="64"/>
    </row>
    <row r="41" spans="1:7" ht="14.25" customHeight="1">
      <c r="A41" s="65" t="s">
        <v>600</v>
      </c>
      <c r="B41" s="66" t="s">
        <v>683</v>
      </c>
      <c r="C41" s="66" t="s">
        <v>683</v>
      </c>
      <c r="D41" s="66" t="s">
        <v>685</v>
      </c>
      <c r="E41" s="63"/>
      <c r="F41" s="63"/>
      <c r="G41" s="64"/>
    </row>
    <row r="42" spans="1:7" ht="14.25" customHeight="1">
      <c r="A42" s="72" t="s">
        <v>584</v>
      </c>
      <c r="B42" s="65" t="s">
        <v>630</v>
      </c>
      <c r="C42" s="72" t="s">
        <v>668</v>
      </c>
      <c r="D42" s="72" t="s">
        <v>684</v>
      </c>
      <c r="E42" s="73" t="s">
        <v>686</v>
      </c>
      <c r="F42" s="73" t="s">
        <v>687</v>
      </c>
      <c r="G42" s="64"/>
    </row>
    <row r="43" spans="1:7" ht="14.25" customHeight="1">
      <c r="A43" s="72" t="s">
        <v>606</v>
      </c>
      <c r="B43" s="65" t="s">
        <v>648</v>
      </c>
      <c r="C43" s="72"/>
      <c r="D43" s="72"/>
      <c r="E43" s="67" t="s">
        <v>688</v>
      </c>
      <c r="F43" s="67" t="s">
        <v>658</v>
      </c>
      <c r="G43" s="64"/>
    </row>
    <row r="44" spans="1:7" ht="14.25" customHeight="1">
      <c r="A44" s="72" t="s">
        <v>590</v>
      </c>
      <c r="B44" s="65"/>
      <c r="C44" s="62"/>
      <c r="D44" s="72"/>
      <c r="E44" s="67" t="s">
        <v>646</v>
      </c>
      <c r="F44" s="67" t="s">
        <v>632</v>
      </c>
      <c r="G44" s="64"/>
    </row>
    <row r="45" spans="1:7" ht="14.25" customHeight="1">
      <c r="A45" s="72" t="s">
        <v>448</v>
      </c>
      <c r="B45" s="65" t="s">
        <v>683</v>
      </c>
      <c r="C45" s="66" t="s">
        <v>683</v>
      </c>
      <c r="D45" s="72" t="s">
        <v>685</v>
      </c>
      <c r="E45" s="63"/>
      <c r="F45" s="63"/>
      <c r="G45" s="64"/>
    </row>
    <row r="46" spans="1:7" ht="14.25" customHeight="1">
      <c r="A46" s="72" t="s">
        <v>124</v>
      </c>
      <c r="B46" s="65" t="s">
        <v>630</v>
      </c>
      <c r="C46" s="66" t="s">
        <v>644</v>
      </c>
      <c r="D46" s="72" t="s">
        <v>684</v>
      </c>
      <c r="E46" s="67" t="s">
        <v>642</v>
      </c>
      <c r="F46" s="67" t="s">
        <v>689</v>
      </c>
      <c r="G46" s="64"/>
    </row>
    <row r="47" spans="1:7" ht="14.25" customHeight="1">
      <c r="A47" s="72" t="s">
        <v>690</v>
      </c>
      <c r="B47" s="65" t="s">
        <v>629</v>
      </c>
      <c r="C47" s="66" t="s">
        <v>677</v>
      </c>
      <c r="D47" s="72"/>
      <c r="E47" s="67" t="s">
        <v>645</v>
      </c>
      <c r="F47" s="67" t="s">
        <v>691</v>
      </c>
      <c r="G47" s="64"/>
    </row>
    <row r="48" spans="1:7" ht="14.25" customHeight="1">
      <c r="A48" s="72" t="s">
        <v>586</v>
      </c>
      <c r="B48" s="65" t="s">
        <v>677</v>
      </c>
      <c r="C48" s="66" t="s">
        <v>677</v>
      </c>
      <c r="D48" s="72"/>
      <c r="E48" s="63"/>
      <c r="F48" s="67" t="s">
        <v>692</v>
      </c>
      <c r="G48" s="64"/>
    </row>
    <row r="49" spans="1:7" ht="14.25" customHeight="1">
      <c r="A49" s="72" t="s">
        <v>581</v>
      </c>
      <c r="B49" s="65" t="s">
        <v>630</v>
      </c>
      <c r="C49" s="66" t="s">
        <v>668</v>
      </c>
      <c r="D49" s="72" t="s">
        <v>684</v>
      </c>
      <c r="E49" s="63"/>
      <c r="F49" s="63"/>
      <c r="G49" s="64"/>
    </row>
    <row r="50" spans="1:7" ht="14.25" customHeight="1">
      <c r="A50" s="72" t="s">
        <v>41</v>
      </c>
      <c r="B50" s="65" t="s">
        <v>629</v>
      </c>
      <c r="C50" s="66" t="s">
        <v>683</v>
      </c>
      <c r="D50" s="72" t="s">
        <v>693</v>
      </c>
      <c r="E50" s="63"/>
      <c r="F50" s="67" t="s">
        <v>646</v>
      </c>
      <c r="G50" s="64"/>
    </row>
    <row r="51" spans="1:7" ht="14.25" customHeight="1">
      <c r="A51" s="72" t="s">
        <v>585</v>
      </c>
      <c r="B51" s="72" t="s">
        <v>648</v>
      </c>
      <c r="C51" s="72" t="s">
        <v>644</v>
      </c>
      <c r="D51" s="72" t="s">
        <v>693</v>
      </c>
      <c r="E51" s="63"/>
      <c r="F51" s="63"/>
      <c r="G51" s="64"/>
    </row>
    <row r="52" spans="1:7" ht="14.25" customHeight="1">
      <c r="A52" s="72" t="s">
        <v>74</v>
      </c>
      <c r="B52" s="72" t="s">
        <v>630</v>
      </c>
      <c r="C52" s="72" t="s">
        <v>633</v>
      </c>
      <c r="D52" s="72" t="s">
        <v>634</v>
      </c>
      <c r="E52" s="67" t="s">
        <v>642</v>
      </c>
      <c r="F52" s="67" t="s">
        <v>689</v>
      </c>
      <c r="G52" s="64"/>
    </row>
    <row r="53" spans="1:7" ht="14.25" customHeight="1">
      <c r="A53" s="72" t="s">
        <v>46</v>
      </c>
      <c r="B53" s="72" t="s">
        <v>630</v>
      </c>
      <c r="C53" s="72" t="s">
        <v>633</v>
      </c>
      <c r="D53" s="72" t="s">
        <v>684</v>
      </c>
      <c r="E53" s="63"/>
      <c r="F53" s="63"/>
      <c r="G53" s="64"/>
    </row>
    <row r="54" spans="1:7" ht="14.25" customHeight="1">
      <c r="A54" s="72" t="s">
        <v>599</v>
      </c>
      <c r="B54" s="72" t="s">
        <v>629</v>
      </c>
      <c r="C54" s="72" t="s">
        <v>669</v>
      </c>
      <c r="D54" s="72" t="s">
        <v>664</v>
      </c>
      <c r="E54" s="63"/>
      <c r="F54" s="63"/>
      <c r="G54" s="64"/>
    </row>
    <row r="55" spans="1:7" ht="14.25" customHeight="1">
      <c r="A55" s="72" t="s">
        <v>583</v>
      </c>
      <c r="B55" s="72" t="s">
        <v>630</v>
      </c>
      <c r="C55" s="72" t="s">
        <v>633</v>
      </c>
      <c r="D55" s="72" t="s">
        <v>634</v>
      </c>
      <c r="E55" s="67" t="s">
        <v>642</v>
      </c>
      <c r="F55" s="63"/>
      <c r="G55" s="64"/>
    </row>
    <row r="56" spans="1:7" ht="14.25" customHeight="1">
      <c r="A56" s="72" t="s">
        <v>314</v>
      </c>
      <c r="B56" s="72" t="s">
        <v>630</v>
      </c>
      <c r="C56" s="72" t="s">
        <v>633</v>
      </c>
      <c r="D56" s="72"/>
      <c r="E56" s="74" t="s">
        <v>642</v>
      </c>
      <c r="F56" s="63"/>
      <c r="G56" s="64"/>
    </row>
    <row r="57" spans="1:7" ht="14.25" customHeight="1">
      <c r="A57" s="75"/>
      <c r="B57" s="75"/>
      <c r="C57" s="75"/>
      <c r="D57" s="75"/>
      <c r="E57" s="43"/>
      <c r="F57" s="43"/>
    </row>
    <row r="58" spans="1:7" ht="14.25" customHeight="1">
      <c r="A58" s="75"/>
      <c r="B58" s="75"/>
      <c r="C58" s="75"/>
      <c r="D58" s="75"/>
      <c r="E58" s="43"/>
      <c r="F58" s="43"/>
    </row>
    <row r="59" spans="1:7" ht="14.25" customHeight="1">
      <c r="A59" s="75"/>
      <c r="B59" s="75"/>
      <c r="C59" s="75"/>
      <c r="D59" s="75"/>
      <c r="E59" s="43"/>
      <c r="F59" s="43"/>
    </row>
    <row r="60" spans="1:7" ht="14.25" customHeight="1">
      <c r="A60" s="75"/>
      <c r="B60" s="75"/>
      <c r="C60" s="75"/>
      <c r="D60" s="75"/>
      <c r="E60" s="43"/>
      <c r="F60" s="43"/>
    </row>
    <row r="61" spans="1:7" ht="14.25" customHeight="1">
      <c r="A61" s="75"/>
      <c r="B61" s="75"/>
      <c r="C61" s="75"/>
      <c r="D61" s="75"/>
      <c r="E61" s="43"/>
      <c r="F61" s="43"/>
    </row>
    <row r="62" spans="1:7" ht="14.25" customHeight="1">
      <c r="A62" s="75"/>
      <c r="B62" s="75"/>
      <c r="C62" s="75"/>
      <c r="D62" s="75"/>
      <c r="E62" s="43"/>
      <c r="F62" s="43"/>
    </row>
    <row r="63" spans="1:7" ht="14.25" customHeight="1">
      <c r="A63" s="75"/>
      <c r="B63" s="75"/>
      <c r="C63" s="75"/>
      <c r="D63" s="75"/>
      <c r="E63" s="43"/>
      <c r="F63" s="43"/>
    </row>
    <row r="64" spans="1:7" ht="14.25" customHeight="1">
      <c r="A64" s="75"/>
      <c r="B64" s="75"/>
      <c r="C64" s="75"/>
      <c r="D64" s="75"/>
      <c r="E64" s="43"/>
      <c r="F64" s="43"/>
    </row>
    <row r="65" spans="1:6" ht="14.25" customHeight="1">
      <c r="A65" s="75"/>
      <c r="B65" s="75"/>
      <c r="C65" s="75"/>
      <c r="D65" s="75"/>
      <c r="E65" s="43"/>
      <c r="F65" s="43"/>
    </row>
    <row r="66" spans="1:6" ht="14.25" customHeight="1">
      <c r="A66" s="75"/>
      <c r="B66" s="75"/>
      <c r="C66" s="75"/>
      <c r="D66" s="75"/>
      <c r="E66" s="43"/>
      <c r="F66" s="43"/>
    </row>
    <row r="67" spans="1:6" ht="14.25" customHeight="1">
      <c r="A67" s="75"/>
      <c r="B67" s="75"/>
      <c r="C67" s="75"/>
      <c r="D67" s="75"/>
      <c r="E67" s="43"/>
      <c r="F67" s="43"/>
    </row>
    <row r="68" spans="1:6" ht="14.25" customHeight="1">
      <c r="A68" s="75"/>
      <c r="B68" s="75"/>
      <c r="C68" s="75"/>
      <c r="D68" s="75"/>
      <c r="E68" s="43"/>
      <c r="F68" s="43"/>
    </row>
    <row r="69" spans="1:6" ht="14.25" customHeight="1">
      <c r="A69" s="75"/>
      <c r="B69" s="75"/>
      <c r="C69" s="75"/>
      <c r="D69" s="75"/>
      <c r="E69" s="43"/>
      <c r="F69" s="43"/>
    </row>
    <row r="70" spans="1:6" ht="14.25" customHeight="1">
      <c r="A70" s="75"/>
      <c r="B70" s="75"/>
      <c r="C70" s="75"/>
      <c r="D70" s="75"/>
      <c r="E70" s="43"/>
      <c r="F70" s="43"/>
    </row>
    <row r="71" spans="1:6" ht="14.25" customHeight="1">
      <c r="A71" s="75"/>
      <c r="B71" s="75"/>
      <c r="C71" s="75"/>
      <c r="D71" s="75"/>
      <c r="E71" s="43"/>
      <c r="F71" s="43"/>
    </row>
    <row r="72" spans="1:6" ht="14.25" customHeight="1">
      <c r="A72" s="75"/>
      <c r="B72" s="75"/>
      <c r="C72" s="75"/>
      <c r="D72" s="75"/>
      <c r="E72" s="43"/>
      <c r="F72" s="43"/>
    </row>
    <row r="73" spans="1:6" ht="14.25" customHeight="1">
      <c r="A73" s="75"/>
      <c r="B73" s="75"/>
      <c r="C73" s="75"/>
      <c r="D73" s="75"/>
      <c r="E73" s="43"/>
      <c r="F73" s="43"/>
    </row>
    <row r="74" spans="1:6" ht="14.25" customHeight="1">
      <c r="A74" s="75"/>
      <c r="B74" s="75"/>
      <c r="C74" s="75"/>
      <c r="D74" s="75"/>
      <c r="E74" s="43"/>
      <c r="F74" s="43"/>
    </row>
    <row r="75" spans="1:6" ht="14.25" customHeight="1">
      <c r="A75" s="75"/>
      <c r="B75" s="75"/>
      <c r="C75" s="75"/>
      <c r="D75" s="75"/>
      <c r="E75" s="43"/>
      <c r="F75" s="43"/>
    </row>
    <row r="76" spans="1:6" ht="14.25" customHeight="1">
      <c r="A76" s="75"/>
      <c r="B76" s="75"/>
      <c r="C76" s="75"/>
      <c r="D76" s="75"/>
      <c r="E76" s="43"/>
      <c r="F76" s="43"/>
    </row>
    <row r="77" spans="1:6" ht="14.25" customHeight="1">
      <c r="A77" s="75"/>
      <c r="B77" s="75"/>
      <c r="C77" s="75"/>
      <c r="D77" s="75"/>
      <c r="E77" s="43"/>
      <c r="F77" s="43"/>
    </row>
    <row r="78" spans="1:6" ht="14.25" customHeight="1">
      <c r="A78" s="75"/>
      <c r="B78" s="75"/>
      <c r="C78" s="75"/>
      <c r="D78" s="75"/>
      <c r="E78" s="43"/>
      <c r="F78" s="43"/>
    </row>
    <row r="79" spans="1:6" ht="14.25" customHeight="1">
      <c r="A79" s="75"/>
      <c r="B79" s="75"/>
      <c r="C79" s="75"/>
      <c r="D79" s="75"/>
      <c r="E79" s="43"/>
      <c r="F79" s="43"/>
    </row>
    <row r="80" spans="1:6" ht="14.25" customHeight="1">
      <c r="A80" s="75"/>
      <c r="B80" s="75"/>
      <c r="C80" s="75"/>
      <c r="D80" s="75"/>
      <c r="E80" s="43"/>
      <c r="F80" s="43"/>
    </row>
    <row r="81" spans="1:6" ht="14.25" customHeight="1">
      <c r="A81" s="75"/>
      <c r="B81" s="75"/>
      <c r="C81" s="75"/>
      <c r="D81" s="75"/>
      <c r="E81" s="43"/>
      <c r="F81" s="43"/>
    </row>
    <row r="82" spans="1:6" ht="14.25" customHeight="1">
      <c r="A82" s="75"/>
      <c r="B82" s="75"/>
      <c r="C82" s="75"/>
      <c r="D82" s="75"/>
      <c r="E82" s="43"/>
      <c r="F82" s="43"/>
    </row>
    <row r="83" spans="1:6" ht="14.25" customHeight="1">
      <c r="A83" s="75"/>
      <c r="B83" s="75"/>
      <c r="C83" s="75"/>
      <c r="D83" s="75"/>
      <c r="E83" s="43"/>
      <c r="F83" s="43"/>
    </row>
    <row r="84" spans="1:6" ht="14.25" customHeight="1">
      <c r="A84" s="75"/>
      <c r="B84" s="75"/>
      <c r="C84" s="75"/>
      <c r="D84" s="75"/>
      <c r="E84" s="43"/>
      <c r="F84" s="43"/>
    </row>
    <row r="85" spans="1:6" ht="14.25" customHeight="1">
      <c r="A85" s="75"/>
      <c r="B85" s="75"/>
      <c r="C85" s="75"/>
      <c r="D85" s="75"/>
      <c r="E85" s="43"/>
      <c r="F85" s="43"/>
    </row>
    <row r="86" spans="1:6" ht="14.25" customHeight="1">
      <c r="A86" s="75"/>
      <c r="B86" s="75"/>
      <c r="C86" s="75"/>
      <c r="D86" s="75"/>
      <c r="E86" s="43"/>
      <c r="F86" s="43"/>
    </row>
    <row r="87" spans="1:6" ht="14.25" customHeight="1">
      <c r="A87" s="75"/>
      <c r="B87" s="75"/>
      <c r="C87" s="75"/>
      <c r="D87" s="75"/>
      <c r="E87" s="43"/>
      <c r="F87" s="43"/>
    </row>
    <row r="88" spans="1:6" ht="14.25" customHeight="1">
      <c r="A88" s="75"/>
      <c r="B88" s="75"/>
      <c r="C88" s="75"/>
      <c r="D88" s="75"/>
      <c r="E88" s="43"/>
      <c r="F88" s="43"/>
    </row>
    <row r="89" spans="1:6" ht="14.25" customHeight="1">
      <c r="A89" s="75"/>
      <c r="B89" s="75"/>
      <c r="C89" s="75"/>
      <c r="D89" s="75"/>
      <c r="E89" s="43"/>
      <c r="F89" s="43"/>
    </row>
    <row r="90" spans="1:6" ht="14.25" customHeight="1">
      <c r="A90" s="75"/>
      <c r="B90" s="75"/>
      <c r="C90" s="75"/>
      <c r="D90" s="75"/>
      <c r="E90" s="43"/>
      <c r="F90" s="43"/>
    </row>
    <row r="91" spans="1:6" ht="14.25" customHeight="1">
      <c r="A91" s="75"/>
      <c r="B91" s="75"/>
      <c r="C91" s="75"/>
      <c r="D91" s="75"/>
      <c r="E91" s="43"/>
      <c r="F91" s="43"/>
    </row>
    <row r="92" spans="1:6" ht="14.25" customHeight="1">
      <c r="A92" s="75"/>
      <c r="B92" s="75"/>
      <c r="C92" s="75"/>
      <c r="D92" s="75"/>
      <c r="E92" s="43"/>
      <c r="F92" s="43"/>
    </row>
    <row r="93" spans="1:6" ht="14.25" customHeight="1">
      <c r="A93" s="75"/>
      <c r="B93" s="75"/>
      <c r="C93" s="75"/>
      <c r="D93" s="75"/>
      <c r="E93" s="43"/>
      <c r="F93" s="43"/>
    </row>
    <row r="94" spans="1:6" ht="14.25" customHeight="1">
      <c r="A94" s="75"/>
      <c r="B94" s="75"/>
      <c r="C94" s="75"/>
      <c r="D94" s="75"/>
      <c r="E94" s="43"/>
      <c r="F94" s="43"/>
    </row>
    <row r="95" spans="1:6" ht="14.25" customHeight="1">
      <c r="A95" s="75"/>
      <c r="B95" s="75"/>
      <c r="C95" s="75"/>
      <c r="D95" s="75"/>
      <c r="E95" s="43"/>
      <c r="F95" s="43"/>
    </row>
    <row r="96" spans="1:6" ht="14.25" customHeight="1">
      <c r="A96" s="75"/>
      <c r="B96" s="75"/>
      <c r="C96" s="75"/>
      <c r="D96" s="75"/>
      <c r="E96" s="43"/>
      <c r="F96" s="43"/>
    </row>
    <row r="97" spans="1:6" ht="14.25" customHeight="1">
      <c r="A97" s="75"/>
      <c r="B97" s="75"/>
      <c r="C97" s="75"/>
      <c r="D97" s="75"/>
      <c r="E97" s="43"/>
      <c r="F97" s="43"/>
    </row>
    <row r="98" spans="1:6" ht="14.25" customHeight="1">
      <c r="A98" s="75"/>
      <c r="B98" s="75"/>
      <c r="C98" s="75"/>
      <c r="D98" s="75"/>
      <c r="E98" s="43"/>
      <c r="F98" s="43"/>
    </row>
    <row r="99" spans="1:6" ht="14.25" customHeight="1">
      <c r="A99" s="75"/>
      <c r="B99" s="75"/>
      <c r="C99" s="75"/>
      <c r="D99" s="75"/>
      <c r="E99" s="43"/>
      <c r="F99" s="43"/>
    </row>
    <row r="100" spans="1:6" ht="14.25" customHeight="1">
      <c r="A100" s="75"/>
      <c r="B100" s="75"/>
      <c r="C100" s="75"/>
      <c r="D100" s="75"/>
      <c r="E100" s="43"/>
      <c r="F100" s="43"/>
    </row>
    <row r="101" spans="1:6" ht="14.25" customHeight="1">
      <c r="A101" s="75"/>
      <c r="B101" s="75"/>
      <c r="C101" s="75"/>
      <c r="D101" s="75"/>
      <c r="E101" s="43"/>
      <c r="F101" s="43"/>
    </row>
    <row r="102" spans="1:6" ht="14.25" customHeight="1">
      <c r="A102" s="75"/>
      <c r="B102" s="75"/>
      <c r="C102" s="75"/>
      <c r="D102" s="75"/>
      <c r="E102" s="43"/>
      <c r="F102" s="43"/>
    </row>
    <row r="103" spans="1:6" ht="14.25" customHeight="1">
      <c r="A103" s="75"/>
      <c r="B103" s="75"/>
      <c r="C103" s="75"/>
      <c r="D103" s="75"/>
      <c r="E103" s="43"/>
      <c r="F103" s="43"/>
    </row>
    <row r="104" spans="1:6" ht="14.25" customHeight="1">
      <c r="A104" s="75"/>
      <c r="B104" s="75"/>
      <c r="C104" s="75"/>
      <c r="D104" s="75"/>
      <c r="E104" s="43"/>
      <c r="F104" s="43"/>
    </row>
    <row r="105" spans="1:6" ht="14.25" customHeight="1">
      <c r="A105" s="75"/>
      <c r="B105" s="75"/>
      <c r="C105" s="75"/>
      <c r="D105" s="75"/>
      <c r="E105" s="43"/>
      <c r="F105" s="43"/>
    </row>
    <row r="106" spans="1:6" ht="14.25" customHeight="1">
      <c r="A106" s="75"/>
      <c r="B106" s="75"/>
      <c r="C106" s="75"/>
      <c r="D106" s="75"/>
      <c r="E106" s="43"/>
      <c r="F106" s="43"/>
    </row>
    <row r="107" spans="1:6" ht="14.25" customHeight="1">
      <c r="A107" s="75"/>
      <c r="B107" s="75"/>
      <c r="C107" s="75"/>
      <c r="D107" s="75"/>
      <c r="E107" s="43"/>
      <c r="F107" s="43"/>
    </row>
    <row r="108" spans="1:6" ht="14.25" customHeight="1">
      <c r="A108" s="75"/>
      <c r="B108" s="75"/>
      <c r="C108" s="75"/>
      <c r="D108" s="75"/>
      <c r="E108" s="43"/>
      <c r="F108" s="43"/>
    </row>
    <row r="109" spans="1:6" ht="14.25" customHeight="1">
      <c r="A109" s="75"/>
      <c r="B109" s="75"/>
      <c r="C109" s="75"/>
      <c r="D109" s="75"/>
      <c r="E109" s="43"/>
      <c r="F109" s="43"/>
    </row>
    <row r="110" spans="1:6" ht="14.25" customHeight="1">
      <c r="A110" s="75"/>
      <c r="B110" s="75"/>
      <c r="C110" s="75"/>
      <c r="D110" s="75"/>
      <c r="E110" s="43"/>
      <c r="F110" s="43"/>
    </row>
    <row r="111" spans="1:6" ht="14.25" customHeight="1">
      <c r="A111" s="75"/>
      <c r="B111" s="75"/>
      <c r="C111" s="75"/>
      <c r="D111" s="75"/>
      <c r="E111" s="43"/>
      <c r="F111" s="43"/>
    </row>
    <row r="112" spans="1:6" ht="14.25" customHeight="1">
      <c r="A112" s="75"/>
      <c r="B112" s="75"/>
      <c r="C112" s="75"/>
      <c r="D112" s="75"/>
      <c r="E112" s="43"/>
      <c r="F112" s="43"/>
    </row>
    <row r="113" spans="1:6" ht="14.25" customHeight="1">
      <c r="A113" s="75"/>
      <c r="B113" s="75"/>
      <c r="C113" s="75"/>
      <c r="D113" s="75"/>
      <c r="E113" s="43"/>
      <c r="F113" s="43"/>
    </row>
    <row r="114" spans="1:6" ht="14.25" customHeight="1">
      <c r="A114" s="75"/>
      <c r="B114" s="75"/>
      <c r="C114" s="75"/>
      <c r="D114" s="75"/>
      <c r="E114" s="43"/>
      <c r="F114" s="43"/>
    </row>
    <row r="115" spans="1:6" ht="14.25" customHeight="1">
      <c r="A115" s="75"/>
      <c r="B115" s="75"/>
      <c r="C115" s="75"/>
      <c r="D115" s="75"/>
      <c r="E115" s="43"/>
      <c r="F115" s="43"/>
    </row>
    <row r="116" spans="1:6" ht="14.25" customHeight="1">
      <c r="A116" s="75"/>
      <c r="B116" s="75"/>
      <c r="C116" s="75"/>
      <c r="D116" s="75"/>
      <c r="E116" s="43"/>
      <c r="F116" s="43"/>
    </row>
    <row r="117" spans="1:6" ht="14.25" customHeight="1">
      <c r="A117" s="75"/>
      <c r="B117" s="75"/>
      <c r="C117" s="75"/>
      <c r="D117" s="75"/>
      <c r="E117" s="43"/>
      <c r="F117" s="43"/>
    </row>
    <row r="118" spans="1:6" ht="14.25" customHeight="1">
      <c r="A118" s="75"/>
      <c r="B118" s="75"/>
      <c r="C118" s="75"/>
      <c r="D118" s="75"/>
      <c r="E118" s="43"/>
      <c r="F118" s="43"/>
    </row>
    <row r="119" spans="1:6" ht="14.25" customHeight="1">
      <c r="A119" s="75"/>
      <c r="B119" s="75"/>
      <c r="C119" s="75"/>
      <c r="D119" s="75"/>
      <c r="E119" s="43"/>
      <c r="F119" s="43"/>
    </row>
    <row r="120" spans="1:6" ht="14.25" customHeight="1">
      <c r="A120" s="75"/>
      <c r="B120" s="75"/>
      <c r="C120" s="75"/>
      <c r="D120" s="75"/>
      <c r="E120" s="43"/>
      <c r="F120" s="43"/>
    </row>
    <row r="121" spans="1:6" ht="14.25" customHeight="1">
      <c r="A121" s="75"/>
      <c r="B121" s="75"/>
      <c r="C121" s="75"/>
      <c r="D121" s="75"/>
      <c r="E121" s="43"/>
      <c r="F121" s="43"/>
    </row>
    <row r="122" spans="1:6" ht="14.25" customHeight="1">
      <c r="A122" s="75"/>
      <c r="B122" s="75"/>
      <c r="C122" s="75"/>
      <c r="D122" s="75"/>
      <c r="E122" s="43"/>
      <c r="F122" s="43"/>
    </row>
    <row r="123" spans="1:6" ht="14.25" customHeight="1">
      <c r="A123" s="75"/>
      <c r="B123" s="75"/>
      <c r="C123" s="75"/>
      <c r="D123" s="75"/>
      <c r="E123" s="43"/>
      <c r="F123" s="43"/>
    </row>
    <row r="124" spans="1:6" ht="14.25" customHeight="1">
      <c r="A124" s="75"/>
      <c r="B124" s="75"/>
      <c r="C124" s="75"/>
      <c r="D124" s="75"/>
      <c r="E124" s="43"/>
      <c r="F124" s="43"/>
    </row>
    <row r="125" spans="1:6" ht="14.25" customHeight="1">
      <c r="A125" s="75"/>
      <c r="B125" s="75"/>
      <c r="C125" s="75"/>
      <c r="D125" s="75"/>
      <c r="E125" s="43"/>
      <c r="F125" s="43"/>
    </row>
    <row r="126" spans="1:6" ht="14.25" customHeight="1">
      <c r="A126" s="75"/>
      <c r="B126" s="75"/>
      <c r="C126" s="75"/>
      <c r="D126" s="75"/>
      <c r="E126" s="43"/>
      <c r="F126" s="43"/>
    </row>
    <row r="127" spans="1:6" ht="14.25" customHeight="1">
      <c r="A127" s="75"/>
      <c r="B127" s="75"/>
      <c r="C127" s="75"/>
      <c r="D127" s="75"/>
      <c r="E127" s="43"/>
      <c r="F127" s="43"/>
    </row>
    <row r="128" spans="1:6" ht="14.25" customHeight="1">
      <c r="A128" s="75"/>
      <c r="B128" s="75"/>
      <c r="C128" s="75"/>
      <c r="D128" s="75"/>
      <c r="E128" s="43"/>
      <c r="F128" s="43"/>
    </row>
    <row r="129" spans="1:6" ht="14.25" customHeight="1">
      <c r="A129" s="75"/>
      <c r="B129" s="75"/>
      <c r="C129" s="75"/>
      <c r="D129" s="75"/>
      <c r="E129" s="43"/>
      <c r="F129" s="43"/>
    </row>
    <row r="130" spans="1:6" ht="14.25" customHeight="1">
      <c r="A130" s="75"/>
      <c r="B130" s="75"/>
      <c r="C130" s="75"/>
      <c r="D130" s="75"/>
      <c r="E130" s="43"/>
      <c r="F130" s="43"/>
    </row>
    <row r="131" spans="1:6" ht="14.25" customHeight="1">
      <c r="A131" s="75"/>
      <c r="B131" s="75"/>
      <c r="C131" s="75"/>
      <c r="D131" s="75"/>
      <c r="E131" s="43"/>
      <c r="F131" s="43"/>
    </row>
    <row r="132" spans="1:6" ht="14.25" customHeight="1">
      <c r="A132" s="75"/>
      <c r="B132" s="75"/>
      <c r="C132" s="75"/>
      <c r="D132" s="75"/>
      <c r="E132" s="43"/>
      <c r="F132" s="43"/>
    </row>
    <row r="133" spans="1:6" ht="14.25" customHeight="1">
      <c r="A133" s="75"/>
      <c r="B133" s="75"/>
      <c r="C133" s="75"/>
      <c r="D133" s="75"/>
      <c r="E133" s="43"/>
      <c r="F133" s="43"/>
    </row>
    <row r="134" spans="1:6" ht="14.25" customHeight="1">
      <c r="A134" s="75"/>
      <c r="B134" s="75"/>
      <c r="C134" s="75"/>
      <c r="D134" s="75"/>
      <c r="E134" s="43"/>
      <c r="F134" s="43"/>
    </row>
    <row r="135" spans="1:6" ht="14.25" customHeight="1">
      <c r="A135" s="75"/>
      <c r="B135" s="75"/>
      <c r="C135" s="75"/>
      <c r="D135" s="75"/>
      <c r="E135" s="43"/>
      <c r="F135" s="43"/>
    </row>
    <row r="136" spans="1:6" ht="14.25" customHeight="1">
      <c r="A136" s="75"/>
      <c r="B136" s="75"/>
      <c r="C136" s="75"/>
      <c r="D136" s="75"/>
      <c r="E136" s="43"/>
      <c r="F136" s="43"/>
    </row>
    <row r="137" spans="1:6" ht="14.25" customHeight="1">
      <c r="A137" s="75"/>
      <c r="B137" s="75"/>
      <c r="C137" s="75"/>
      <c r="D137" s="75"/>
      <c r="E137" s="43"/>
      <c r="F137" s="43"/>
    </row>
    <row r="138" spans="1:6" ht="14.25" customHeight="1">
      <c r="A138" s="75"/>
      <c r="B138" s="75"/>
      <c r="C138" s="75"/>
      <c r="D138" s="75"/>
      <c r="E138" s="43"/>
      <c r="F138" s="43"/>
    </row>
    <row r="139" spans="1:6" ht="14.25" customHeight="1">
      <c r="A139" s="75"/>
      <c r="B139" s="75"/>
      <c r="C139" s="75"/>
      <c r="D139" s="75"/>
      <c r="E139" s="43"/>
      <c r="F139" s="43"/>
    </row>
    <row r="140" spans="1:6" ht="14.25" customHeight="1">
      <c r="A140" s="75"/>
      <c r="B140" s="75"/>
      <c r="C140" s="75"/>
      <c r="D140" s="75"/>
      <c r="E140" s="43"/>
      <c r="F140" s="43"/>
    </row>
    <row r="141" spans="1:6" ht="14.25" customHeight="1">
      <c r="A141" s="75"/>
      <c r="B141" s="75"/>
      <c r="C141" s="75"/>
      <c r="D141" s="75"/>
      <c r="E141" s="43"/>
      <c r="F141" s="43"/>
    </row>
    <row r="142" spans="1:6" ht="14.25" customHeight="1">
      <c r="A142" s="75"/>
      <c r="B142" s="75"/>
      <c r="C142" s="75"/>
      <c r="D142" s="75"/>
      <c r="E142" s="43"/>
      <c r="F142" s="43"/>
    </row>
    <row r="143" spans="1:6" ht="14.25" customHeight="1">
      <c r="A143" s="75"/>
      <c r="B143" s="75"/>
      <c r="C143" s="75"/>
      <c r="D143" s="75"/>
      <c r="E143" s="43"/>
      <c r="F143" s="43"/>
    </row>
    <row r="144" spans="1:6" ht="14.25" customHeight="1">
      <c r="A144" s="75"/>
      <c r="B144" s="75"/>
      <c r="C144" s="75"/>
      <c r="D144" s="75"/>
      <c r="E144" s="43"/>
      <c r="F144" s="43"/>
    </row>
    <row r="145" spans="1:6" ht="14.25" customHeight="1">
      <c r="A145" s="75"/>
      <c r="B145" s="75"/>
      <c r="C145" s="75"/>
      <c r="D145" s="75"/>
      <c r="E145" s="43"/>
      <c r="F145" s="43"/>
    </row>
    <row r="146" spans="1:6" ht="14.25" customHeight="1">
      <c r="A146" s="75"/>
      <c r="B146" s="75"/>
      <c r="C146" s="75"/>
      <c r="D146" s="75"/>
      <c r="E146" s="43"/>
      <c r="F146" s="43"/>
    </row>
    <row r="147" spans="1:6" ht="14.25" customHeight="1">
      <c r="A147" s="75"/>
      <c r="B147" s="75"/>
      <c r="C147" s="75"/>
      <c r="D147" s="75"/>
      <c r="E147" s="43"/>
      <c r="F147" s="43"/>
    </row>
    <row r="148" spans="1:6" ht="14.25" customHeight="1">
      <c r="A148" s="75"/>
      <c r="B148" s="75"/>
      <c r="C148" s="75"/>
      <c r="D148" s="75"/>
      <c r="E148" s="43"/>
      <c r="F148" s="43"/>
    </row>
    <row r="149" spans="1:6" ht="14.25" customHeight="1">
      <c r="A149" s="75"/>
      <c r="B149" s="75"/>
      <c r="C149" s="75"/>
      <c r="D149" s="75"/>
      <c r="E149" s="43"/>
      <c r="F149" s="43"/>
    </row>
    <row r="150" spans="1:6" ht="14.25" customHeight="1">
      <c r="A150" s="75"/>
      <c r="B150" s="75"/>
      <c r="C150" s="75"/>
      <c r="D150" s="75"/>
      <c r="E150" s="43"/>
      <c r="F150" s="43"/>
    </row>
    <row r="151" spans="1:6" ht="14.25" customHeight="1">
      <c r="A151" s="75"/>
      <c r="B151" s="75"/>
      <c r="C151" s="75"/>
      <c r="D151" s="75"/>
      <c r="E151" s="43"/>
      <c r="F151" s="43"/>
    </row>
    <row r="152" spans="1:6" ht="14.25" customHeight="1">
      <c r="A152" s="75"/>
      <c r="B152" s="75"/>
      <c r="C152" s="75"/>
      <c r="D152" s="75"/>
      <c r="E152" s="43"/>
      <c r="F152" s="43"/>
    </row>
    <row r="153" spans="1:6" ht="14.25" customHeight="1">
      <c r="A153" s="75"/>
      <c r="B153" s="75"/>
      <c r="C153" s="75"/>
      <c r="D153" s="75"/>
      <c r="E153" s="43"/>
      <c r="F153" s="43"/>
    </row>
    <row r="154" spans="1:6" ht="14.25" customHeight="1">
      <c r="A154" s="75"/>
      <c r="B154" s="75"/>
      <c r="C154" s="75"/>
      <c r="D154" s="75"/>
      <c r="E154" s="43"/>
      <c r="F154" s="43"/>
    </row>
    <row r="155" spans="1:6" ht="14.25" customHeight="1">
      <c r="A155" s="75"/>
      <c r="B155" s="75"/>
      <c r="C155" s="75"/>
      <c r="D155" s="75"/>
      <c r="E155" s="43"/>
      <c r="F155" s="43"/>
    </row>
    <row r="156" spans="1:6" ht="14.25" customHeight="1">
      <c r="A156" s="75"/>
      <c r="B156" s="75"/>
      <c r="C156" s="75"/>
      <c r="D156" s="75"/>
      <c r="E156" s="43"/>
      <c r="F156" s="43"/>
    </row>
    <row r="157" spans="1:6" ht="14.25" customHeight="1">
      <c r="A157" s="75"/>
      <c r="B157" s="75"/>
      <c r="C157" s="75"/>
      <c r="D157" s="75"/>
      <c r="E157" s="43"/>
      <c r="F157" s="43"/>
    </row>
    <row r="158" spans="1:6" ht="14.25" customHeight="1">
      <c r="A158" s="75"/>
      <c r="B158" s="75"/>
      <c r="C158" s="75"/>
      <c r="D158" s="75"/>
      <c r="E158" s="43"/>
      <c r="F158" s="43"/>
    </row>
    <row r="159" spans="1:6" ht="14.25" customHeight="1">
      <c r="A159" s="75"/>
      <c r="B159" s="75"/>
      <c r="C159" s="75"/>
      <c r="D159" s="75"/>
      <c r="E159" s="43"/>
      <c r="F159" s="43"/>
    </row>
    <row r="160" spans="1:6" ht="14.25" customHeight="1">
      <c r="A160" s="75"/>
      <c r="B160" s="75"/>
      <c r="C160" s="75"/>
      <c r="D160" s="75"/>
      <c r="E160" s="43"/>
      <c r="F160" s="43"/>
    </row>
    <row r="161" spans="1:6" ht="14.25" customHeight="1">
      <c r="A161" s="75"/>
      <c r="B161" s="75"/>
      <c r="C161" s="75"/>
      <c r="D161" s="75"/>
      <c r="E161" s="43"/>
      <c r="F161" s="43"/>
    </row>
    <row r="162" spans="1:6" ht="14.25" customHeight="1">
      <c r="A162" s="75"/>
      <c r="B162" s="75"/>
      <c r="C162" s="75"/>
      <c r="D162" s="75"/>
      <c r="E162" s="43"/>
      <c r="F162" s="43"/>
    </row>
    <row r="163" spans="1:6" ht="14.25" customHeight="1">
      <c r="A163" s="75"/>
      <c r="B163" s="75"/>
      <c r="C163" s="75"/>
      <c r="D163" s="75"/>
      <c r="E163" s="43"/>
      <c r="F163" s="43"/>
    </row>
    <row r="164" spans="1:6" ht="14.25" customHeight="1">
      <c r="A164" s="75"/>
      <c r="B164" s="75"/>
      <c r="C164" s="75"/>
      <c r="D164" s="75"/>
      <c r="E164" s="43"/>
      <c r="F164" s="43"/>
    </row>
    <row r="165" spans="1:6" ht="14.25" customHeight="1">
      <c r="A165" s="75"/>
      <c r="B165" s="75"/>
      <c r="C165" s="75"/>
      <c r="D165" s="75"/>
      <c r="E165" s="43"/>
      <c r="F165" s="43"/>
    </row>
    <row r="166" spans="1:6" ht="14.25" customHeight="1">
      <c r="A166" s="75"/>
      <c r="B166" s="75"/>
      <c r="C166" s="75"/>
      <c r="D166" s="75"/>
      <c r="E166" s="43"/>
      <c r="F166" s="43"/>
    </row>
    <row r="167" spans="1:6" ht="14.25" customHeight="1">
      <c r="A167" s="75"/>
      <c r="B167" s="75"/>
      <c r="C167" s="75"/>
      <c r="D167" s="75"/>
      <c r="E167" s="43"/>
      <c r="F167" s="43"/>
    </row>
    <row r="168" spans="1:6" ht="14.25" customHeight="1">
      <c r="A168" s="75"/>
      <c r="B168" s="75"/>
      <c r="C168" s="75"/>
      <c r="D168" s="75"/>
      <c r="E168" s="43"/>
      <c r="F168" s="43"/>
    </row>
    <row r="169" spans="1:6" ht="14.25" customHeight="1">
      <c r="A169" s="75"/>
      <c r="B169" s="75"/>
      <c r="C169" s="75"/>
      <c r="D169" s="75"/>
      <c r="E169" s="43"/>
      <c r="F169" s="43"/>
    </row>
    <row r="170" spans="1:6" ht="14.25" customHeight="1">
      <c r="A170" s="75"/>
      <c r="B170" s="75"/>
      <c r="C170" s="75"/>
      <c r="D170" s="75"/>
      <c r="E170" s="43"/>
      <c r="F170" s="43"/>
    </row>
    <row r="171" spans="1:6" ht="14.25" customHeight="1">
      <c r="A171" s="75"/>
      <c r="B171" s="75"/>
      <c r="C171" s="75"/>
      <c r="D171" s="75"/>
      <c r="E171" s="43"/>
      <c r="F171" s="43"/>
    </row>
    <row r="172" spans="1:6" ht="14.25" customHeight="1">
      <c r="A172" s="75"/>
      <c r="B172" s="75"/>
      <c r="C172" s="75"/>
      <c r="D172" s="75"/>
      <c r="E172" s="43"/>
      <c r="F172" s="43"/>
    </row>
    <row r="173" spans="1:6" ht="14.25" customHeight="1">
      <c r="A173" s="75"/>
      <c r="B173" s="75"/>
      <c r="C173" s="75"/>
      <c r="D173" s="75"/>
      <c r="E173" s="43"/>
      <c r="F173" s="43"/>
    </row>
    <row r="174" spans="1:6" ht="14.25" customHeight="1">
      <c r="A174" s="75"/>
      <c r="B174" s="75"/>
      <c r="C174" s="75"/>
      <c r="D174" s="75"/>
      <c r="E174" s="43"/>
      <c r="F174" s="43"/>
    </row>
    <row r="175" spans="1:6" ht="14.25" customHeight="1">
      <c r="A175" s="75"/>
      <c r="B175" s="75"/>
      <c r="C175" s="75"/>
      <c r="D175" s="75"/>
      <c r="E175" s="43"/>
      <c r="F175" s="43"/>
    </row>
    <row r="176" spans="1:6" ht="14.25" customHeight="1">
      <c r="A176" s="75"/>
      <c r="B176" s="75"/>
      <c r="C176" s="75"/>
      <c r="D176" s="75"/>
      <c r="E176" s="43"/>
      <c r="F176" s="43"/>
    </row>
    <row r="177" spans="1:6" ht="14.25" customHeight="1">
      <c r="A177" s="75"/>
      <c r="B177" s="75"/>
      <c r="C177" s="75"/>
      <c r="D177" s="75"/>
      <c r="E177" s="43"/>
      <c r="F177" s="43"/>
    </row>
    <row r="178" spans="1:6" ht="14.25" customHeight="1">
      <c r="A178" s="75"/>
      <c r="B178" s="75"/>
      <c r="C178" s="75"/>
      <c r="D178" s="75"/>
      <c r="E178" s="43"/>
      <c r="F178" s="43"/>
    </row>
    <row r="179" spans="1:6" ht="14.25" customHeight="1">
      <c r="A179" s="75"/>
      <c r="B179" s="75"/>
      <c r="C179" s="75"/>
      <c r="D179" s="75"/>
      <c r="E179" s="43"/>
      <c r="F179" s="43"/>
    </row>
    <row r="180" spans="1:6" ht="14.25" customHeight="1">
      <c r="A180" s="75"/>
      <c r="B180" s="75"/>
      <c r="C180" s="75"/>
      <c r="D180" s="75"/>
      <c r="E180" s="43"/>
      <c r="F180" s="43"/>
    </row>
    <row r="181" spans="1:6" ht="14.25" customHeight="1">
      <c r="A181" s="75"/>
      <c r="B181" s="75"/>
      <c r="C181" s="75"/>
      <c r="D181" s="75"/>
      <c r="E181" s="43"/>
      <c r="F181" s="43"/>
    </row>
    <row r="182" spans="1:6" ht="14.25" customHeight="1">
      <c r="A182" s="75"/>
      <c r="B182" s="75"/>
      <c r="C182" s="75"/>
      <c r="D182" s="75"/>
      <c r="E182" s="43"/>
      <c r="F182" s="43"/>
    </row>
    <row r="183" spans="1:6" ht="14.25" customHeight="1">
      <c r="A183" s="75"/>
      <c r="B183" s="75"/>
      <c r="C183" s="75"/>
      <c r="D183" s="75"/>
      <c r="E183" s="43"/>
      <c r="F183" s="43"/>
    </row>
    <row r="184" spans="1:6" ht="14.25" customHeight="1">
      <c r="A184" s="75"/>
      <c r="B184" s="75"/>
      <c r="C184" s="75"/>
      <c r="D184" s="75"/>
      <c r="E184" s="43"/>
      <c r="F184" s="43"/>
    </row>
    <row r="185" spans="1:6" ht="14.25" customHeight="1">
      <c r="A185" s="75"/>
      <c r="B185" s="75"/>
      <c r="C185" s="75"/>
      <c r="D185" s="75"/>
      <c r="E185" s="43"/>
      <c r="F185" s="43"/>
    </row>
    <row r="186" spans="1:6" ht="14.25" customHeight="1">
      <c r="A186" s="75"/>
      <c r="B186" s="75"/>
      <c r="C186" s="75"/>
      <c r="D186" s="75"/>
      <c r="E186" s="43"/>
      <c r="F186" s="43"/>
    </row>
    <row r="187" spans="1:6" ht="14.25" customHeight="1">
      <c r="A187" s="75"/>
      <c r="B187" s="75"/>
      <c r="C187" s="75"/>
      <c r="D187" s="75"/>
      <c r="E187" s="43"/>
      <c r="F187" s="43"/>
    </row>
    <row r="188" spans="1:6" ht="14.25" customHeight="1">
      <c r="A188" s="75"/>
      <c r="B188" s="75"/>
      <c r="C188" s="75"/>
      <c r="D188" s="75"/>
      <c r="E188" s="43"/>
      <c r="F188" s="43"/>
    </row>
    <row r="189" spans="1:6" ht="14.25" customHeight="1">
      <c r="A189" s="75"/>
      <c r="B189" s="75"/>
      <c r="C189" s="75"/>
      <c r="D189" s="75"/>
      <c r="E189" s="43"/>
      <c r="F189" s="43"/>
    </row>
    <row r="190" spans="1:6" ht="14.25" customHeight="1">
      <c r="A190" s="75"/>
      <c r="B190" s="75"/>
      <c r="C190" s="75"/>
      <c r="D190" s="75"/>
      <c r="E190" s="43"/>
      <c r="F190" s="43"/>
    </row>
    <row r="191" spans="1:6" ht="14.25" customHeight="1">
      <c r="A191" s="75"/>
      <c r="B191" s="75"/>
      <c r="C191" s="75"/>
      <c r="D191" s="75"/>
      <c r="E191" s="43"/>
      <c r="F191" s="43"/>
    </row>
    <row r="192" spans="1:6" ht="14.25" customHeight="1">
      <c r="A192" s="75"/>
      <c r="B192" s="75"/>
      <c r="C192" s="75"/>
      <c r="D192" s="75"/>
      <c r="E192" s="43"/>
      <c r="F192" s="43"/>
    </row>
    <row r="193" spans="1:6" ht="14.25" customHeight="1">
      <c r="A193" s="75"/>
      <c r="B193" s="75"/>
      <c r="C193" s="75"/>
      <c r="D193" s="75"/>
      <c r="E193" s="43"/>
      <c r="F193" s="43"/>
    </row>
    <row r="194" spans="1:6" ht="14.25" customHeight="1">
      <c r="A194" s="75"/>
      <c r="B194" s="75"/>
      <c r="C194" s="75"/>
      <c r="D194" s="75"/>
      <c r="E194" s="43"/>
      <c r="F194" s="43"/>
    </row>
    <row r="195" spans="1:6" ht="14.25" customHeight="1">
      <c r="A195" s="75"/>
      <c r="B195" s="75"/>
      <c r="C195" s="75"/>
      <c r="D195" s="75"/>
      <c r="E195" s="43"/>
      <c r="F195" s="43"/>
    </row>
    <row r="196" spans="1:6" ht="14.25" customHeight="1">
      <c r="A196" s="75"/>
      <c r="B196" s="75"/>
      <c r="C196" s="75"/>
      <c r="D196" s="75"/>
      <c r="E196" s="43"/>
      <c r="F196" s="43"/>
    </row>
    <row r="197" spans="1:6" ht="14.25" customHeight="1">
      <c r="A197" s="75"/>
      <c r="B197" s="75"/>
      <c r="C197" s="75"/>
      <c r="D197" s="75"/>
      <c r="E197" s="43"/>
      <c r="F197" s="43"/>
    </row>
    <row r="198" spans="1:6" ht="14.25" customHeight="1">
      <c r="A198" s="75"/>
      <c r="B198" s="75"/>
      <c r="C198" s="75"/>
      <c r="D198" s="75"/>
      <c r="E198" s="43"/>
      <c r="F198" s="43"/>
    </row>
    <row r="199" spans="1:6" ht="14.25" customHeight="1">
      <c r="A199" s="75"/>
      <c r="B199" s="75"/>
      <c r="C199" s="75"/>
      <c r="D199" s="75"/>
      <c r="E199" s="43"/>
      <c r="F199" s="43"/>
    </row>
    <row r="200" spans="1:6" ht="14.25" customHeight="1">
      <c r="A200" s="75"/>
      <c r="B200" s="75"/>
      <c r="C200" s="75"/>
      <c r="D200" s="75"/>
      <c r="E200" s="43"/>
      <c r="F200" s="43"/>
    </row>
    <row r="201" spans="1:6" ht="14.25" customHeight="1">
      <c r="A201" s="75"/>
      <c r="B201" s="75"/>
      <c r="C201" s="75"/>
      <c r="D201" s="75"/>
      <c r="E201" s="43"/>
      <c r="F201" s="43"/>
    </row>
    <row r="202" spans="1:6" ht="14.25" customHeight="1">
      <c r="A202" s="75"/>
      <c r="B202" s="75"/>
      <c r="C202" s="75"/>
      <c r="D202" s="75"/>
      <c r="E202" s="43"/>
      <c r="F202" s="43"/>
    </row>
    <row r="203" spans="1:6" ht="14.25" customHeight="1">
      <c r="A203" s="75"/>
      <c r="B203" s="75"/>
      <c r="C203" s="75"/>
      <c r="D203" s="75"/>
      <c r="E203" s="43"/>
      <c r="F203" s="43"/>
    </row>
    <row r="204" spans="1:6" ht="14.25" customHeight="1">
      <c r="A204" s="75"/>
      <c r="B204" s="75"/>
      <c r="C204" s="75"/>
      <c r="D204" s="75"/>
      <c r="E204" s="43"/>
      <c r="F204" s="43"/>
    </row>
    <row r="205" spans="1:6" ht="14.25" customHeight="1">
      <c r="A205" s="75"/>
      <c r="B205" s="75"/>
      <c r="C205" s="75"/>
      <c r="D205" s="75"/>
      <c r="E205" s="43"/>
      <c r="F205" s="43"/>
    </row>
    <row r="206" spans="1:6" ht="14.25" customHeight="1">
      <c r="A206" s="75"/>
      <c r="B206" s="75"/>
      <c r="C206" s="75"/>
      <c r="D206" s="75"/>
      <c r="E206" s="43"/>
      <c r="F206" s="43"/>
    </row>
    <row r="207" spans="1:6" ht="14.25" customHeight="1">
      <c r="A207" s="75"/>
      <c r="B207" s="75"/>
      <c r="C207" s="75"/>
      <c r="D207" s="75"/>
      <c r="E207" s="43"/>
      <c r="F207" s="43"/>
    </row>
    <row r="208" spans="1:6" ht="14.25" customHeight="1">
      <c r="A208" s="75"/>
      <c r="B208" s="75"/>
      <c r="C208" s="75"/>
      <c r="D208" s="75"/>
      <c r="E208" s="43"/>
      <c r="F208" s="43"/>
    </row>
    <row r="209" spans="1:6" ht="14.25" customHeight="1">
      <c r="A209" s="75"/>
      <c r="B209" s="75"/>
      <c r="C209" s="75"/>
      <c r="D209" s="75"/>
      <c r="E209" s="43"/>
      <c r="F209" s="43"/>
    </row>
    <row r="210" spans="1:6" ht="14.25" customHeight="1">
      <c r="A210" s="75"/>
      <c r="B210" s="75"/>
      <c r="C210" s="75"/>
      <c r="D210" s="75"/>
      <c r="E210" s="43"/>
      <c r="F210" s="43"/>
    </row>
    <row r="211" spans="1:6" ht="14.25" customHeight="1">
      <c r="A211" s="75"/>
      <c r="B211" s="75"/>
      <c r="C211" s="75"/>
      <c r="D211" s="75"/>
      <c r="E211" s="43"/>
      <c r="F211" s="43"/>
    </row>
    <row r="212" spans="1:6" ht="14.25" customHeight="1">
      <c r="A212" s="75"/>
      <c r="B212" s="75"/>
      <c r="C212" s="75"/>
      <c r="D212" s="75"/>
      <c r="E212" s="43"/>
      <c r="F212" s="43"/>
    </row>
    <row r="213" spans="1:6" ht="14.25" customHeight="1">
      <c r="A213" s="75"/>
      <c r="B213" s="75"/>
      <c r="C213" s="75"/>
      <c r="D213" s="75"/>
      <c r="E213" s="43"/>
      <c r="F213" s="43"/>
    </row>
    <row r="214" spans="1:6" ht="14.25" customHeight="1">
      <c r="A214" s="75"/>
      <c r="B214" s="75"/>
      <c r="C214" s="75"/>
      <c r="D214" s="75"/>
      <c r="E214" s="43"/>
      <c r="F214" s="43"/>
    </row>
    <row r="215" spans="1:6" ht="14.25" customHeight="1">
      <c r="A215" s="75"/>
      <c r="B215" s="75"/>
      <c r="C215" s="75"/>
      <c r="D215" s="75"/>
      <c r="E215" s="43"/>
      <c r="F215" s="43"/>
    </row>
    <row r="216" spans="1:6" ht="14.25" customHeight="1">
      <c r="A216" s="75"/>
      <c r="B216" s="75"/>
      <c r="C216" s="75"/>
      <c r="D216" s="75"/>
      <c r="E216" s="43"/>
      <c r="F216" s="43"/>
    </row>
    <row r="217" spans="1:6" ht="14.25" customHeight="1">
      <c r="A217" s="75"/>
      <c r="B217" s="75"/>
      <c r="C217" s="75"/>
      <c r="D217" s="75"/>
      <c r="E217" s="43"/>
      <c r="F217" s="43"/>
    </row>
    <row r="218" spans="1:6" ht="14.25" customHeight="1">
      <c r="A218" s="75"/>
      <c r="B218" s="75"/>
      <c r="C218" s="75"/>
      <c r="D218" s="75"/>
      <c r="E218" s="43"/>
      <c r="F218" s="43"/>
    </row>
    <row r="219" spans="1:6" ht="14.25" customHeight="1">
      <c r="A219" s="75"/>
      <c r="B219" s="75"/>
      <c r="C219" s="75"/>
      <c r="D219" s="75"/>
      <c r="E219" s="43"/>
      <c r="F219" s="43"/>
    </row>
    <row r="220" spans="1:6" ht="14.25" customHeight="1">
      <c r="A220" s="75"/>
      <c r="B220" s="75"/>
      <c r="C220" s="75"/>
      <c r="D220" s="75"/>
      <c r="E220" s="43"/>
      <c r="F220" s="43"/>
    </row>
    <row r="221" spans="1:6" ht="14.25" customHeight="1">
      <c r="A221" s="75"/>
      <c r="B221" s="75"/>
      <c r="C221" s="75"/>
      <c r="D221" s="75"/>
      <c r="E221" s="43"/>
      <c r="F221" s="43"/>
    </row>
    <row r="222" spans="1:6" ht="14.25" customHeight="1">
      <c r="A222" s="75"/>
      <c r="B222" s="75"/>
      <c r="C222" s="75"/>
      <c r="D222" s="75"/>
      <c r="E222" s="43"/>
      <c r="F222" s="43"/>
    </row>
    <row r="223" spans="1:6" ht="14.25" customHeight="1">
      <c r="A223" s="75"/>
      <c r="B223" s="75"/>
      <c r="C223" s="75"/>
      <c r="D223" s="75"/>
      <c r="E223" s="43"/>
      <c r="F223" s="43"/>
    </row>
    <row r="224" spans="1:6" ht="14.25" customHeight="1">
      <c r="A224" s="75"/>
      <c r="B224" s="75"/>
      <c r="C224" s="75"/>
      <c r="D224" s="75"/>
      <c r="E224" s="43"/>
      <c r="F224" s="43"/>
    </row>
    <row r="225" spans="1:6" ht="14.25" customHeight="1">
      <c r="A225" s="75"/>
      <c r="B225" s="75"/>
      <c r="C225" s="75"/>
      <c r="D225" s="75"/>
      <c r="E225" s="43"/>
      <c r="F225" s="43"/>
    </row>
    <row r="226" spans="1:6" ht="14.25" customHeight="1">
      <c r="A226" s="75"/>
      <c r="B226" s="75"/>
      <c r="C226" s="75"/>
      <c r="D226" s="75"/>
      <c r="E226" s="43"/>
      <c r="F226" s="43"/>
    </row>
    <row r="227" spans="1:6" ht="14.25" customHeight="1">
      <c r="A227" s="75"/>
      <c r="B227" s="75"/>
      <c r="C227" s="75"/>
      <c r="D227" s="75"/>
      <c r="E227" s="43"/>
      <c r="F227" s="43"/>
    </row>
    <row r="228" spans="1:6" ht="14.25" customHeight="1">
      <c r="A228" s="75"/>
      <c r="B228" s="75"/>
      <c r="C228" s="75"/>
      <c r="D228" s="75"/>
      <c r="E228" s="43"/>
      <c r="F228" s="43"/>
    </row>
    <row r="229" spans="1:6" ht="14.25" customHeight="1">
      <c r="A229" s="75"/>
      <c r="B229" s="75"/>
      <c r="C229" s="75"/>
      <c r="D229" s="75"/>
      <c r="E229" s="43"/>
      <c r="F229" s="43"/>
    </row>
    <row r="230" spans="1:6" ht="14.25" customHeight="1">
      <c r="A230" s="75"/>
      <c r="B230" s="75"/>
      <c r="C230" s="75"/>
      <c r="D230" s="75"/>
      <c r="E230" s="43"/>
      <c r="F230" s="43"/>
    </row>
    <row r="231" spans="1:6" ht="14.25" customHeight="1">
      <c r="A231" s="75"/>
      <c r="B231" s="75"/>
      <c r="C231" s="75"/>
      <c r="D231" s="75"/>
      <c r="E231" s="43"/>
      <c r="F231" s="43"/>
    </row>
    <row r="232" spans="1:6" ht="14.25" customHeight="1">
      <c r="A232" s="75"/>
      <c r="B232" s="75"/>
      <c r="C232" s="75"/>
      <c r="D232" s="75"/>
      <c r="E232" s="43"/>
      <c r="F232" s="43"/>
    </row>
    <row r="233" spans="1:6" ht="14.25" customHeight="1">
      <c r="A233" s="75"/>
      <c r="B233" s="75"/>
      <c r="C233" s="75"/>
      <c r="D233" s="75"/>
      <c r="E233" s="43"/>
      <c r="F233" s="43"/>
    </row>
    <row r="234" spans="1:6" ht="14.25" customHeight="1">
      <c r="A234" s="75"/>
      <c r="B234" s="75"/>
      <c r="C234" s="75"/>
      <c r="D234" s="75"/>
      <c r="E234" s="43"/>
      <c r="F234" s="43"/>
    </row>
    <row r="235" spans="1:6" ht="14.25" customHeight="1">
      <c r="A235" s="75"/>
      <c r="B235" s="75"/>
      <c r="C235" s="75"/>
      <c r="D235" s="75"/>
      <c r="E235" s="43"/>
      <c r="F235" s="43"/>
    </row>
    <row r="236" spans="1:6" ht="14.25" customHeight="1">
      <c r="A236" s="75"/>
      <c r="B236" s="75"/>
      <c r="C236" s="75"/>
      <c r="D236" s="75"/>
      <c r="E236" s="43"/>
      <c r="F236" s="43"/>
    </row>
    <row r="237" spans="1:6" ht="14.25" customHeight="1">
      <c r="A237" s="75"/>
      <c r="B237" s="75"/>
      <c r="C237" s="75"/>
      <c r="D237" s="75"/>
      <c r="E237" s="43"/>
      <c r="F237" s="43"/>
    </row>
    <row r="238" spans="1:6" ht="14.25" customHeight="1">
      <c r="A238" s="75"/>
      <c r="B238" s="75"/>
      <c r="C238" s="75"/>
      <c r="D238" s="75"/>
      <c r="E238" s="43"/>
      <c r="F238" s="43"/>
    </row>
    <row r="239" spans="1:6" ht="14.25" customHeight="1">
      <c r="A239" s="75"/>
      <c r="B239" s="75"/>
      <c r="C239" s="75"/>
      <c r="D239" s="75"/>
      <c r="E239" s="43"/>
      <c r="F239" s="43"/>
    </row>
    <row r="240" spans="1:6" ht="14.25" customHeight="1">
      <c r="A240" s="75"/>
      <c r="B240" s="75"/>
      <c r="C240" s="75"/>
      <c r="D240" s="75"/>
      <c r="E240" s="43"/>
      <c r="F240" s="43"/>
    </row>
    <row r="241" spans="1:6" ht="14.25" customHeight="1">
      <c r="A241" s="75"/>
      <c r="B241" s="75"/>
      <c r="C241" s="75"/>
      <c r="D241" s="75"/>
      <c r="E241" s="43"/>
      <c r="F241" s="43"/>
    </row>
    <row r="242" spans="1:6" ht="14.25" customHeight="1">
      <c r="A242" s="75"/>
      <c r="B242" s="75"/>
      <c r="C242" s="75"/>
      <c r="D242" s="75"/>
      <c r="E242" s="43"/>
      <c r="F242" s="43"/>
    </row>
    <row r="243" spans="1:6" ht="14.25" customHeight="1">
      <c r="A243" s="75"/>
      <c r="B243" s="75"/>
      <c r="C243" s="75"/>
      <c r="D243" s="75"/>
      <c r="E243" s="43"/>
      <c r="F243" s="43"/>
    </row>
    <row r="244" spans="1:6" ht="14.25" customHeight="1">
      <c r="A244" s="75"/>
      <c r="B244" s="75"/>
      <c r="C244" s="75"/>
      <c r="D244" s="75"/>
      <c r="E244" s="43"/>
      <c r="F244" s="43"/>
    </row>
    <row r="245" spans="1:6" ht="14.25" customHeight="1">
      <c r="A245" s="75"/>
      <c r="B245" s="75"/>
      <c r="C245" s="75"/>
      <c r="D245" s="75"/>
      <c r="E245" s="43"/>
      <c r="F245" s="43"/>
    </row>
    <row r="246" spans="1:6" ht="14.25" customHeight="1">
      <c r="A246" s="75"/>
      <c r="B246" s="75"/>
      <c r="C246" s="75"/>
      <c r="D246" s="75"/>
      <c r="E246" s="43"/>
      <c r="F246" s="43"/>
    </row>
    <row r="247" spans="1:6" ht="14.25" customHeight="1">
      <c r="A247" s="75"/>
      <c r="B247" s="75"/>
      <c r="C247" s="75"/>
      <c r="D247" s="75"/>
      <c r="E247" s="43"/>
      <c r="F247" s="43"/>
    </row>
    <row r="248" spans="1:6" ht="14.25" customHeight="1">
      <c r="A248" s="75"/>
      <c r="B248" s="75"/>
      <c r="C248" s="75"/>
      <c r="D248" s="75"/>
      <c r="E248" s="43"/>
      <c r="F248" s="43"/>
    </row>
    <row r="249" spans="1:6" ht="14.25" customHeight="1">
      <c r="A249" s="75"/>
      <c r="B249" s="75"/>
      <c r="C249" s="75"/>
      <c r="D249" s="75"/>
      <c r="E249" s="43"/>
      <c r="F249" s="43"/>
    </row>
    <row r="250" spans="1:6" ht="14.25" customHeight="1">
      <c r="A250" s="75"/>
      <c r="B250" s="75"/>
      <c r="C250" s="75"/>
      <c r="D250" s="75"/>
      <c r="E250" s="43"/>
      <c r="F250" s="43"/>
    </row>
    <row r="251" spans="1:6" ht="14.25" customHeight="1">
      <c r="A251" s="75"/>
      <c r="B251" s="75"/>
      <c r="C251" s="75"/>
      <c r="D251" s="75"/>
      <c r="E251" s="43"/>
      <c r="F251" s="43"/>
    </row>
    <row r="252" spans="1:6" ht="14.25" customHeight="1">
      <c r="A252" s="75"/>
      <c r="B252" s="75"/>
      <c r="C252" s="75"/>
      <c r="D252" s="75"/>
      <c r="E252" s="43"/>
      <c r="F252" s="43"/>
    </row>
    <row r="253" spans="1:6" ht="14.25" customHeight="1">
      <c r="A253" s="75"/>
      <c r="B253" s="75"/>
      <c r="C253" s="75"/>
      <c r="D253" s="75"/>
      <c r="E253" s="43"/>
      <c r="F253" s="43"/>
    </row>
    <row r="254" spans="1:6" ht="14.25" customHeight="1">
      <c r="A254" s="75"/>
      <c r="B254" s="75"/>
      <c r="C254" s="75"/>
      <c r="D254" s="75"/>
      <c r="E254" s="43"/>
      <c r="F254" s="43"/>
    </row>
    <row r="255" spans="1:6" ht="14.25" customHeight="1">
      <c r="A255" s="75"/>
      <c r="B255" s="75"/>
      <c r="C255" s="75"/>
      <c r="D255" s="75"/>
      <c r="E255" s="43"/>
      <c r="F255" s="43"/>
    </row>
    <row r="256" spans="1:6" ht="14.25" customHeight="1">
      <c r="A256" s="75"/>
      <c r="B256" s="75"/>
      <c r="C256" s="75"/>
      <c r="D256" s="75"/>
      <c r="E256" s="43"/>
      <c r="F256" s="43"/>
    </row>
    <row r="257" spans="1:6" ht="14.25" customHeight="1">
      <c r="A257" s="75"/>
      <c r="B257" s="75"/>
      <c r="C257" s="75"/>
      <c r="D257" s="75"/>
      <c r="E257" s="43"/>
      <c r="F257" s="43"/>
    </row>
    <row r="258" spans="1:6" ht="14.25" customHeight="1">
      <c r="A258" s="75"/>
      <c r="B258" s="75"/>
      <c r="C258" s="75"/>
      <c r="D258" s="75"/>
      <c r="E258" s="43"/>
      <c r="F258" s="43"/>
    </row>
    <row r="259" spans="1:6" ht="14.25" customHeight="1">
      <c r="A259" s="75"/>
      <c r="B259" s="75"/>
      <c r="C259" s="75"/>
      <c r="D259" s="75"/>
      <c r="E259" s="43"/>
      <c r="F259" s="43"/>
    </row>
    <row r="260" spans="1:6" ht="14.25" customHeight="1">
      <c r="A260" s="75"/>
      <c r="B260" s="75"/>
      <c r="C260" s="75"/>
      <c r="D260" s="75"/>
      <c r="E260" s="43"/>
      <c r="F260" s="43"/>
    </row>
    <row r="261" spans="1:6" ht="14.25" customHeight="1">
      <c r="A261" s="75"/>
      <c r="B261" s="75"/>
      <c r="C261" s="75"/>
      <c r="D261" s="75"/>
      <c r="E261" s="43"/>
      <c r="F261" s="43"/>
    </row>
    <row r="262" spans="1:6" ht="14.25" customHeight="1">
      <c r="A262" s="75"/>
      <c r="B262" s="75"/>
      <c r="C262" s="75"/>
      <c r="D262" s="75"/>
      <c r="E262" s="43"/>
      <c r="F262" s="43"/>
    </row>
    <row r="263" spans="1:6" ht="14.25" customHeight="1">
      <c r="A263" s="75"/>
      <c r="B263" s="75"/>
      <c r="C263" s="75"/>
      <c r="D263" s="75"/>
      <c r="E263" s="43"/>
      <c r="F263" s="43"/>
    </row>
    <row r="264" spans="1:6" ht="14.25" customHeight="1">
      <c r="A264" s="75"/>
      <c r="B264" s="75"/>
      <c r="C264" s="75"/>
      <c r="D264" s="75"/>
      <c r="E264" s="43"/>
      <c r="F264" s="43"/>
    </row>
    <row r="265" spans="1:6" ht="14.25" customHeight="1">
      <c r="A265" s="75"/>
      <c r="B265" s="75"/>
      <c r="C265" s="75"/>
      <c r="D265" s="75"/>
      <c r="E265" s="43"/>
      <c r="F265" s="43"/>
    </row>
    <row r="266" spans="1:6" ht="14.25" customHeight="1">
      <c r="A266" s="75"/>
      <c r="B266" s="75"/>
      <c r="C266" s="75"/>
      <c r="D266" s="75"/>
      <c r="E266" s="43"/>
      <c r="F266" s="43"/>
    </row>
    <row r="267" spans="1:6" ht="14.25" customHeight="1">
      <c r="A267" s="75"/>
      <c r="B267" s="75"/>
      <c r="C267" s="75"/>
      <c r="D267" s="75"/>
      <c r="E267" s="43"/>
      <c r="F267" s="43"/>
    </row>
    <row r="268" spans="1:6" ht="14.25" customHeight="1">
      <c r="A268" s="75"/>
      <c r="B268" s="75"/>
      <c r="C268" s="75"/>
      <c r="D268" s="75"/>
      <c r="E268" s="43"/>
      <c r="F268" s="43"/>
    </row>
    <row r="269" spans="1:6" ht="14.25" customHeight="1">
      <c r="A269" s="75"/>
      <c r="B269" s="75"/>
      <c r="C269" s="75"/>
      <c r="D269" s="75"/>
      <c r="E269" s="43"/>
      <c r="F269" s="43"/>
    </row>
    <row r="270" spans="1:6" ht="14.25" customHeight="1">
      <c r="A270" s="75"/>
      <c r="B270" s="75"/>
      <c r="C270" s="75"/>
      <c r="D270" s="75"/>
      <c r="E270" s="43"/>
      <c r="F270" s="43"/>
    </row>
    <row r="271" spans="1:6" ht="14.25" customHeight="1">
      <c r="A271" s="75"/>
      <c r="B271" s="75"/>
      <c r="C271" s="75"/>
      <c r="D271" s="75"/>
      <c r="E271" s="43"/>
      <c r="F271" s="43"/>
    </row>
    <row r="272" spans="1:6" ht="14.25" customHeight="1">
      <c r="A272" s="75"/>
      <c r="B272" s="75"/>
      <c r="C272" s="75"/>
      <c r="D272" s="75"/>
      <c r="E272" s="43"/>
      <c r="F272" s="43"/>
    </row>
    <row r="273" spans="1:6" ht="14.25" customHeight="1">
      <c r="A273" s="75"/>
      <c r="B273" s="75"/>
      <c r="C273" s="75"/>
      <c r="D273" s="75"/>
      <c r="E273" s="43"/>
      <c r="F273" s="43"/>
    </row>
    <row r="274" spans="1:6" ht="14.25" customHeight="1">
      <c r="A274" s="75"/>
      <c r="B274" s="75"/>
      <c r="C274" s="75"/>
      <c r="D274" s="75"/>
      <c r="E274" s="43"/>
      <c r="F274" s="43"/>
    </row>
    <row r="275" spans="1:6" ht="14.25" customHeight="1">
      <c r="A275" s="75"/>
      <c r="B275" s="75"/>
      <c r="C275" s="75"/>
      <c r="D275" s="75"/>
      <c r="E275" s="43"/>
      <c r="F275" s="43"/>
    </row>
    <row r="276" spans="1:6" ht="14.25" customHeight="1">
      <c r="A276" s="75"/>
      <c r="B276" s="75"/>
      <c r="C276" s="75"/>
      <c r="D276" s="75"/>
      <c r="E276" s="43"/>
      <c r="F276" s="43"/>
    </row>
    <row r="277" spans="1:6" ht="14.25" customHeight="1">
      <c r="A277" s="75"/>
      <c r="B277" s="75"/>
      <c r="C277" s="75"/>
      <c r="D277" s="75"/>
      <c r="E277" s="43"/>
      <c r="F277" s="43"/>
    </row>
    <row r="278" spans="1:6" ht="14.25" customHeight="1">
      <c r="A278" s="75"/>
      <c r="B278" s="75"/>
      <c r="C278" s="75"/>
      <c r="D278" s="75"/>
      <c r="E278" s="43"/>
      <c r="F278" s="43"/>
    </row>
    <row r="279" spans="1:6" ht="14.25" customHeight="1">
      <c r="A279" s="75"/>
      <c r="B279" s="75"/>
      <c r="C279" s="75"/>
      <c r="D279" s="75"/>
      <c r="E279" s="43"/>
      <c r="F279" s="43"/>
    </row>
    <row r="280" spans="1:6" ht="14.25" customHeight="1">
      <c r="A280" s="75"/>
      <c r="B280" s="75"/>
      <c r="C280" s="75"/>
      <c r="D280" s="75"/>
      <c r="E280" s="43"/>
      <c r="F280" s="43"/>
    </row>
    <row r="281" spans="1:6" ht="14.25" customHeight="1">
      <c r="A281" s="75"/>
      <c r="B281" s="75"/>
      <c r="C281" s="75"/>
      <c r="D281" s="75"/>
      <c r="E281" s="43"/>
      <c r="F281" s="43"/>
    </row>
    <row r="282" spans="1:6" ht="14.25" customHeight="1">
      <c r="A282" s="75"/>
      <c r="B282" s="75"/>
      <c r="C282" s="75"/>
      <c r="D282" s="75"/>
      <c r="E282" s="43"/>
      <c r="F282" s="43"/>
    </row>
    <row r="283" spans="1:6" ht="14.25" customHeight="1">
      <c r="A283" s="75"/>
      <c r="B283" s="75"/>
      <c r="C283" s="75"/>
      <c r="D283" s="75"/>
      <c r="E283" s="43"/>
      <c r="F283" s="43"/>
    </row>
    <row r="284" spans="1:6" ht="14.25" customHeight="1">
      <c r="A284" s="75"/>
      <c r="B284" s="75"/>
      <c r="C284" s="75"/>
      <c r="D284" s="75"/>
      <c r="E284" s="43"/>
      <c r="F284" s="43"/>
    </row>
    <row r="285" spans="1:6" ht="14.25" customHeight="1">
      <c r="A285" s="75"/>
      <c r="B285" s="75"/>
      <c r="C285" s="75"/>
      <c r="D285" s="75"/>
      <c r="E285" s="43"/>
      <c r="F285" s="43"/>
    </row>
    <row r="286" spans="1:6" ht="14.25" customHeight="1">
      <c r="A286" s="75"/>
      <c r="B286" s="75"/>
      <c r="C286" s="75"/>
      <c r="D286" s="75"/>
      <c r="E286" s="43"/>
      <c r="F286" s="43"/>
    </row>
    <row r="287" spans="1:6" ht="14.25" customHeight="1">
      <c r="A287" s="75"/>
      <c r="B287" s="75"/>
      <c r="C287" s="75"/>
      <c r="D287" s="75"/>
      <c r="E287" s="43"/>
      <c r="F287" s="43"/>
    </row>
    <row r="288" spans="1:6" ht="14.25" customHeight="1">
      <c r="A288" s="75"/>
      <c r="B288" s="75"/>
      <c r="C288" s="75"/>
      <c r="D288" s="75"/>
      <c r="E288" s="43"/>
      <c r="F288" s="43"/>
    </row>
    <row r="289" spans="1:6" ht="14.25" customHeight="1">
      <c r="A289" s="75"/>
      <c r="B289" s="75"/>
      <c r="C289" s="75"/>
      <c r="D289" s="75"/>
      <c r="E289" s="43"/>
      <c r="F289" s="43"/>
    </row>
    <row r="290" spans="1:6" ht="14.25" customHeight="1">
      <c r="A290" s="75"/>
      <c r="B290" s="75"/>
      <c r="C290" s="75"/>
      <c r="D290" s="75"/>
      <c r="E290" s="43"/>
      <c r="F290" s="43"/>
    </row>
    <row r="291" spans="1:6" ht="14.25" customHeight="1">
      <c r="A291" s="75"/>
      <c r="B291" s="75"/>
      <c r="C291" s="75"/>
      <c r="D291" s="75"/>
      <c r="E291" s="43"/>
      <c r="F291" s="43"/>
    </row>
    <row r="292" spans="1:6" ht="14.25" customHeight="1">
      <c r="A292" s="75"/>
      <c r="B292" s="75"/>
      <c r="C292" s="75"/>
      <c r="D292" s="75"/>
      <c r="E292" s="43"/>
      <c r="F292" s="43"/>
    </row>
    <row r="293" spans="1:6" ht="14.25" customHeight="1">
      <c r="A293" s="75"/>
      <c r="B293" s="75"/>
      <c r="C293" s="75"/>
      <c r="D293" s="75"/>
      <c r="E293" s="43"/>
      <c r="F293" s="43"/>
    </row>
    <row r="294" spans="1:6" ht="14.25" customHeight="1">
      <c r="A294" s="75"/>
      <c r="B294" s="75"/>
      <c r="C294" s="75"/>
      <c r="D294" s="75"/>
      <c r="E294" s="43"/>
      <c r="F294" s="43"/>
    </row>
    <row r="295" spans="1:6" ht="14.25" customHeight="1">
      <c r="A295" s="75"/>
      <c r="B295" s="75"/>
      <c r="C295" s="75"/>
      <c r="D295" s="75"/>
      <c r="E295" s="43"/>
      <c r="F295" s="43"/>
    </row>
    <row r="296" spans="1:6" ht="14.25" customHeight="1">
      <c r="A296" s="75"/>
      <c r="B296" s="75"/>
      <c r="C296" s="75"/>
      <c r="D296" s="75"/>
      <c r="E296" s="43"/>
      <c r="F296" s="43"/>
    </row>
    <row r="297" spans="1:6" ht="14.25" customHeight="1">
      <c r="A297" s="75"/>
      <c r="B297" s="75"/>
      <c r="C297" s="75"/>
      <c r="D297" s="75"/>
      <c r="E297" s="43"/>
      <c r="F297" s="43"/>
    </row>
    <row r="298" spans="1:6" ht="14.25" customHeight="1">
      <c r="A298" s="75"/>
      <c r="B298" s="75"/>
      <c r="C298" s="75"/>
      <c r="D298" s="75"/>
      <c r="E298" s="43"/>
      <c r="F298" s="43"/>
    </row>
    <row r="299" spans="1:6" ht="14.25" customHeight="1">
      <c r="A299" s="75"/>
      <c r="B299" s="75"/>
      <c r="C299" s="75"/>
      <c r="D299" s="75"/>
      <c r="E299" s="43"/>
      <c r="F299" s="43"/>
    </row>
    <row r="300" spans="1:6" ht="14.25" customHeight="1">
      <c r="A300" s="75"/>
      <c r="B300" s="75"/>
      <c r="C300" s="75"/>
      <c r="D300" s="75"/>
      <c r="E300" s="43"/>
      <c r="F300" s="43"/>
    </row>
    <row r="301" spans="1:6" ht="14.25" customHeight="1">
      <c r="A301" s="75"/>
      <c r="B301" s="75"/>
      <c r="C301" s="75"/>
      <c r="D301" s="75"/>
      <c r="E301" s="43"/>
      <c r="F301" s="43"/>
    </row>
    <row r="302" spans="1:6" ht="14.25" customHeight="1">
      <c r="A302" s="75"/>
      <c r="B302" s="75"/>
      <c r="C302" s="75"/>
      <c r="D302" s="75"/>
      <c r="E302" s="43"/>
      <c r="F302" s="43"/>
    </row>
    <row r="303" spans="1:6" ht="14.25" customHeight="1">
      <c r="A303" s="75"/>
      <c r="B303" s="75"/>
      <c r="C303" s="75"/>
      <c r="D303" s="75"/>
      <c r="E303" s="43"/>
      <c r="F303" s="43"/>
    </row>
    <row r="304" spans="1:6" ht="14.25" customHeight="1">
      <c r="A304" s="75"/>
      <c r="B304" s="75"/>
      <c r="C304" s="75"/>
      <c r="D304" s="75"/>
      <c r="E304" s="43"/>
      <c r="F304" s="43"/>
    </row>
    <row r="305" spans="1:6" ht="14.25" customHeight="1">
      <c r="A305" s="75"/>
      <c r="B305" s="75"/>
      <c r="C305" s="75"/>
      <c r="D305" s="75"/>
      <c r="E305" s="43"/>
      <c r="F305" s="43"/>
    </row>
    <row r="306" spans="1:6" ht="14.25" customHeight="1">
      <c r="A306" s="75"/>
      <c r="B306" s="75"/>
      <c r="C306" s="75"/>
      <c r="D306" s="75"/>
      <c r="E306" s="43"/>
      <c r="F306" s="43"/>
    </row>
    <row r="307" spans="1:6" ht="14.25" customHeight="1">
      <c r="A307" s="75"/>
      <c r="B307" s="75"/>
      <c r="C307" s="75"/>
      <c r="D307" s="75"/>
      <c r="E307" s="43"/>
      <c r="F307" s="43"/>
    </row>
    <row r="308" spans="1:6" ht="14.25" customHeight="1">
      <c r="A308" s="75"/>
      <c r="B308" s="75"/>
      <c r="C308" s="75"/>
      <c r="D308" s="75"/>
      <c r="E308" s="43"/>
      <c r="F308" s="43"/>
    </row>
    <row r="309" spans="1:6" ht="14.25" customHeight="1">
      <c r="A309" s="75"/>
      <c r="B309" s="75"/>
      <c r="C309" s="75"/>
      <c r="D309" s="75"/>
      <c r="E309" s="43"/>
      <c r="F309" s="43"/>
    </row>
    <row r="310" spans="1:6" ht="14.25" customHeight="1">
      <c r="A310" s="75"/>
      <c r="B310" s="75"/>
      <c r="C310" s="75"/>
      <c r="D310" s="75"/>
      <c r="E310" s="43"/>
      <c r="F310" s="43"/>
    </row>
    <row r="311" spans="1:6" ht="14.25" customHeight="1">
      <c r="A311" s="75"/>
      <c r="B311" s="75"/>
      <c r="C311" s="75"/>
      <c r="D311" s="75"/>
      <c r="E311" s="43"/>
      <c r="F311" s="43"/>
    </row>
    <row r="312" spans="1:6" ht="14.25" customHeight="1">
      <c r="A312" s="75"/>
      <c r="B312" s="75"/>
      <c r="C312" s="75"/>
      <c r="D312" s="75"/>
      <c r="E312" s="43"/>
      <c r="F312" s="43"/>
    </row>
    <row r="313" spans="1:6" ht="14.25" customHeight="1">
      <c r="A313" s="75"/>
      <c r="B313" s="75"/>
      <c r="C313" s="75"/>
      <c r="D313" s="75"/>
      <c r="E313" s="43"/>
      <c r="F313" s="43"/>
    </row>
    <row r="314" spans="1:6" ht="14.25" customHeight="1">
      <c r="A314" s="75"/>
      <c r="B314" s="75"/>
      <c r="C314" s="75"/>
      <c r="D314" s="75"/>
      <c r="E314" s="43"/>
      <c r="F314" s="43"/>
    </row>
    <row r="315" spans="1:6" ht="14.25" customHeight="1">
      <c r="A315" s="75"/>
      <c r="B315" s="75"/>
      <c r="C315" s="75"/>
      <c r="D315" s="75"/>
      <c r="E315" s="43"/>
      <c r="F315" s="43"/>
    </row>
    <row r="316" spans="1:6" ht="14.25" customHeight="1">
      <c r="A316" s="75"/>
      <c r="B316" s="75"/>
      <c r="C316" s="75"/>
      <c r="D316" s="75"/>
      <c r="E316" s="43"/>
      <c r="F316" s="43"/>
    </row>
    <row r="317" spans="1:6" ht="14.25" customHeight="1">
      <c r="A317" s="75"/>
      <c r="B317" s="75"/>
      <c r="C317" s="75"/>
      <c r="D317" s="75"/>
      <c r="E317" s="43"/>
      <c r="F317" s="43"/>
    </row>
    <row r="318" spans="1:6" ht="14.25" customHeight="1">
      <c r="A318" s="75"/>
      <c r="B318" s="75"/>
      <c r="C318" s="75"/>
      <c r="D318" s="75"/>
      <c r="E318" s="43"/>
      <c r="F318" s="43"/>
    </row>
    <row r="319" spans="1:6" ht="14.25" customHeight="1">
      <c r="A319" s="75"/>
      <c r="B319" s="75"/>
      <c r="C319" s="75"/>
      <c r="D319" s="75"/>
      <c r="E319" s="43"/>
      <c r="F319" s="43"/>
    </row>
    <row r="320" spans="1:6" ht="14.25" customHeight="1">
      <c r="A320" s="75"/>
      <c r="B320" s="75"/>
      <c r="C320" s="75"/>
      <c r="D320" s="75"/>
      <c r="E320" s="43"/>
      <c r="F320" s="43"/>
    </row>
    <row r="321" spans="1:6" ht="14.25" customHeight="1">
      <c r="A321" s="75"/>
      <c r="B321" s="75"/>
      <c r="C321" s="75"/>
      <c r="D321" s="75"/>
      <c r="E321" s="43"/>
      <c r="F321" s="43"/>
    </row>
    <row r="322" spans="1:6" ht="14.25" customHeight="1">
      <c r="A322" s="75"/>
      <c r="B322" s="75"/>
      <c r="C322" s="75"/>
      <c r="D322" s="75"/>
      <c r="E322" s="43"/>
      <c r="F322" s="43"/>
    </row>
    <row r="323" spans="1:6" ht="14.25" customHeight="1">
      <c r="A323" s="75"/>
      <c r="B323" s="75"/>
      <c r="C323" s="75"/>
      <c r="D323" s="75"/>
      <c r="E323" s="43"/>
      <c r="F323" s="43"/>
    </row>
    <row r="324" spans="1:6" ht="14.25" customHeight="1">
      <c r="A324" s="75"/>
      <c r="B324" s="75"/>
      <c r="C324" s="75"/>
      <c r="D324" s="75"/>
      <c r="E324" s="43"/>
      <c r="F324" s="43"/>
    </row>
    <row r="325" spans="1:6" ht="14.25" customHeight="1">
      <c r="A325" s="75"/>
      <c r="B325" s="75"/>
      <c r="C325" s="75"/>
      <c r="D325" s="75"/>
      <c r="E325" s="43"/>
      <c r="F325" s="43"/>
    </row>
    <row r="326" spans="1:6" ht="14.25" customHeight="1">
      <c r="A326" s="75"/>
      <c r="B326" s="75"/>
      <c r="C326" s="75"/>
      <c r="D326" s="75"/>
      <c r="E326" s="43"/>
      <c r="F326" s="43"/>
    </row>
    <row r="327" spans="1:6" ht="14.25" customHeight="1">
      <c r="A327" s="75"/>
      <c r="B327" s="75"/>
      <c r="C327" s="75"/>
      <c r="D327" s="75"/>
      <c r="E327" s="43"/>
      <c r="F327" s="43"/>
    </row>
    <row r="328" spans="1:6" ht="14.25" customHeight="1">
      <c r="A328" s="75"/>
      <c r="B328" s="75"/>
      <c r="C328" s="75"/>
      <c r="D328" s="75"/>
      <c r="E328" s="43"/>
      <c r="F328" s="43"/>
    </row>
    <row r="329" spans="1:6" ht="14.25" customHeight="1">
      <c r="A329" s="75"/>
      <c r="B329" s="75"/>
      <c r="C329" s="75"/>
      <c r="D329" s="75"/>
      <c r="E329" s="43"/>
      <c r="F329" s="43"/>
    </row>
    <row r="330" spans="1:6" ht="14.25" customHeight="1">
      <c r="A330" s="75"/>
      <c r="B330" s="75"/>
      <c r="C330" s="75"/>
      <c r="D330" s="75"/>
      <c r="E330" s="43"/>
      <c r="F330" s="43"/>
    </row>
    <row r="331" spans="1:6" ht="14.25" customHeight="1">
      <c r="A331" s="75"/>
      <c r="B331" s="75"/>
      <c r="C331" s="75"/>
      <c r="D331" s="75"/>
      <c r="E331" s="43"/>
      <c r="F331" s="43"/>
    </row>
    <row r="332" spans="1:6" ht="14.25" customHeight="1">
      <c r="A332" s="75"/>
      <c r="B332" s="75"/>
      <c r="C332" s="75"/>
      <c r="D332" s="75"/>
      <c r="E332" s="43"/>
      <c r="F332" s="43"/>
    </row>
    <row r="333" spans="1:6" ht="14.25" customHeight="1">
      <c r="A333" s="75"/>
      <c r="B333" s="75"/>
      <c r="C333" s="75"/>
      <c r="D333" s="75"/>
      <c r="E333" s="43"/>
      <c r="F333" s="43"/>
    </row>
    <row r="334" spans="1:6" ht="14.25" customHeight="1">
      <c r="A334" s="75"/>
      <c r="B334" s="75"/>
      <c r="C334" s="75"/>
      <c r="D334" s="75"/>
      <c r="E334" s="43"/>
      <c r="F334" s="43"/>
    </row>
    <row r="335" spans="1:6" ht="14.25" customHeight="1">
      <c r="A335" s="75"/>
      <c r="B335" s="75"/>
      <c r="C335" s="75"/>
      <c r="D335" s="75"/>
      <c r="E335" s="43"/>
      <c r="F335" s="43"/>
    </row>
    <row r="336" spans="1:6" ht="14.25" customHeight="1">
      <c r="A336" s="75"/>
      <c r="B336" s="75"/>
      <c r="C336" s="75"/>
      <c r="D336" s="75"/>
      <c r="E336" s="43"/>
      <c r="F336" s="43"/>
    </row>
    <row r="337" spans="1:6" ht="14.25" customHeight="1">
      <c r="A337" s="75"/>
      <c r="B337" s="75"/>
      <c r="C337" s="75"/>
      <c r="D337" s="75"/>
      <c r="E337" s="43"/>
      <c r="F337" s="43"/>
    </row>
    <row r="338" spans="1:6" ht="14.25" customHeight="1">
      <c r="A338" s="75"/>
      <c r="B338" s="75"/>
      <c r="C338" s="75"/>
      <c r="D338" s="75"/>
      <c r="E338" s="43"/>
      <c r="F338" s="43"/>
    </row>
    <row r="339" spans="1:6" ht="14.25" customHeight="1">
      <c r="A339" s="75"/>
      <c r="B339" s="75"/>
      <c r="C339" s="75"/>
      <c r="D339" s="75"/>
      <c r="E339" s="43"/>
      <c r="F339" s="43"/>
    </row>
    <row r="340" spans="1:6" ht="14.25" customHeight="1">
      <c r="A340" s="75"/>
      <c r="B340" s="75"/>
      <c r="C340" s="75"/>
      <c r="D340" s="75"/>
      <c r="E340" s="43"/>
      <c r="F340" s="43"/>
    </row>
    <row r="341" spans="1:6" ht="14.25" customHeight="1">
      <c r="A341" s="75"/>
      <c r="B341" s="75"/>
      <c r="C341" s="75"/>
      <c r="D341" s="75"/>
      <c r="E341" s="43"/>
      <c r="F341" s="43"/>
    </row>
    <row r="342" spans="1:6" ht="14.25" customHeight="1">
      <c r="A342" s="75"/>
      <c r="B342" s="75"/>
      <c r="C342" s="75"/>
      <c r="D342" s="75"/>
      <c r="E342" s="43"/>
      <c r="F342" s="43"/>
    </row>
    <row r="343" spans="1:6" ht="14.25" customHeight="1">
      <c r="A343" s="75"/>
      <c r="B343" s="75"/>
      <c r="C343" s="75"/>
      <c r="D343" s="75"/>
      <c r="E343" s="43"/>
      <c r="F343" s="43"/>
    </row>
    <row r="344" spans="1:6" ht="14.25" customHeight="1">
      <c r="A344" s="75"/>
      <c r="B344" s="75"/>
      <c r="C344" s="75"/>
      <c r="D344" s="75"/>
      <c r="E344" s="43"/>
      <c r="F344" s="43"/>
    </row>
    <row r="345" spans="1:6" ht="14.25" customHeight="1">
      <c r="A345" s="75"/>
      <c r="B345" s="75"/>
      <c r="C345" s="75"/>
      <c r="D345" s="75"/>
      <c r="E345" s="43"/>
      <c r="F345" s="43"/>
    </row>
    <row r="346" spans="1:6" ht="14.25" customHeight="1">
      <c r="A346" s="75"/>
      <c r="B346" s="75"/>
      <c r="C346" s="75"/>
      <c r="D346" s="75"/>
      <c r="E346" s="43"/>
      <c r="F346" s="43"/>
    </row>
    <row r="347" spans="1:6" ht="14.25" customHeight="1">
      <c r="A347" s="75"/>
      <c r="B347" s="75"/>
      <c r="C347" s="75"/>
      <c r="D347" s="75"/>
      <c r="E347" s="43"/>
      <c r="F347" s="43"/>
    </row>
    <row r="348" spans="1:6" ht="14.25" customHeight="1">
      <c r="A348" s="75"/>
      <c r="B348" s="75"/>
      <c r="C348" s="75"/>
      <c r="D348" s="75"/>
      <c r="E348" s="43"/>
      <c r="F348" s="43"/>
    </row>
    <row r="349" spans="1:6" ht="14.25" customHeight="1">
      <c r="A349" s="75"/>
      <c r="B349" s="75"/>
      <c r="C349" s="75"/>
      <c r="D349" s="75"/>
      <c r="E349" s="43"/>
      <c r="F349" s="43"/>
    </row>
    <row r="350" spans="1:6" ht="14.25" customHeight="1">
      <c r="A350" s="75"/>
      <c r="B350" s="75"/>
      <c r="C350" s="75"/>
      <c r="D350" s="75"/>
      <c r="E350" s="43"/>
      <c r="F350" s="43"/>
    </row>
    <row r="351" spans="1:6" ht="14.25" customHeight="1">
      <c r="A351" s="75"/>
      <c r="B351" s="75"/>
      <c r="C351" s="75"/>
      <c r="D351" s="75"/>
      <c r="E351" s="43"/>
      <c r="F351" s="43"/>
    </row>
    <row r="352" spans="1:6" ht="14.25" customHeight="1">
      <c r="A352" s="75"/>
      <c r="B352" s="75"/>
      <c r="C352" s="75"/>
      <c r="D352" s="75"/>
      <c r="E352" s="43"/>
      <c r="F352" s="43"/>
    </row>
    <row r="353" spans="1:6" ht="14.25" customHeight="1">
      <c r="A353" s="75"/>
      <c r="B353" s="75"/>
      <c r="C353" s="75"/>
      <c r="D353" s="75"/>
      <c r="E353" s="43"/>
      <c r="F353" s="43"/>
    </row>
    <row r="354" spans="1:6" ht="14.25" customHeight="1">
      <c r="A354" s="75"/>
      <c r="B354" s="75"/>
      <c r="C354" s="75"/>
      <c r="D354" s="75"/>
      <c r="E354" s="43"/>
      <c r="F354" s="43"/>
    </row>
    <row r="355" spans="1:6" ht="14.25" customHeight="1">
      <c r="A355" s="75"/>
      <c r="B355" s="75"/>
      <c r="C355" s="75"/>
      <c r="D355" s="75"/>
      <c r="E355" s="43"/>
      <c r="F355" s="43"/>
    </row>
    <row r="356" spans="1:6" ht="14.25" customHeight="1">
      <c r="A356" s="75"/>
      <c r="B356" s="75"/>
      <c r="C356" s="75"/>
      <c r="D356" s="75"/>
      <c r="E356" s="43"/>
      <c r="F356" s="43"/>
    </row>
    <row r="357" spans="1:6" ht="14.25" customHeight="1">
      <c r="A357" s="75"/>
      <c r="B357" s="75"/>
      <c r="C357" s="75"/>
      <c r="D357" s="75"/>
      <c r="E357" s="43"/>
      <c r="F357" s="43"/>
    </row>
    <row r="358" spans="1:6" ht="14.25" customHeight="1">
      <c r="A358" s="75"/>
      <c r="B358" s="75"/>
      <c r="C358" s="75"/>
      <c r="D358" s="75"/>
      <c r="E358" s="43"/>
      <c r="F358" s="43"/>
    </row>
    <row r="359" spans="1:6" ht="14.25" customHeight="1">
      <c r="A359" s="75"/>
      <c r="B359" s="75"/>
      <c r="C359" s="75"/>
      <c r="D359" s="75"/>
      <c r="E359" s="43"/>
      <c r="F359" s="43"/>
    </row>
    <row r="360" spans="1:6" ht="14.25" customHeight="1">
      <c r="A360" s="75"/>
      <c r="B360" s="75"/>
      <c r="C360" s="75"/>
      <c r="D360" s="75"/>
      <c r="E360" s="43"/>
      <c r="F360" s="43"/>
    </row>
    <row r="361" spans="1:6" ht="14.25" customHeight="1">
      <c r="A361" s="75"/>
      <c r="B361" s="75"/>
      <c r="C361" s="75"/>
      <c r="D361" s="75"/>
      <c r="E361" s="43"/>
      <c r="F361" s="43"/>
    </row>
    <row r="362" spans="1:6" ht="14.25" customHeight="1">
      <c r="A362" s="75"/>
      <c r="B362" s="75"/>
      <c r="C362" s="75"/>
      <c r="D362" s="75"/>
      <c r="E362" s="43"/>
      <c r="F362" s="43"/>
    </row>
    <row r="363" spans="1:6" ht="14.25" customHeight="1">
      <c r="A363" s="75"/>
      <c r="B363" s="75"/>
      <c r="C363" s="75"/>
      <c r="D363" s="75"/>
      <c r="E363" s="43"/>
      <c r="F363" s="43"/>
    </row>
    <row r="364" spans="1:6" ht="14.25" customHeight="1">
      <c r="A364" s="75"/>
      <c r="B364" s="75"/>
      <c r="C364" s="75"/>
      <c r="D364" s="75"/>
      <c r="E364" s="43"/>
      <c r="F364" s="43"/>
    </row>
    <row r="365" spans="1:6" ht="14.25" customHeight="1">
      <c r="A365" s="75"/>
      <c r="B365" s="75"/>
      <c r="C365" s="75"/>
      <c r="D365" s="75"/>
      <c r="E365" s="43"/>
      <c r="F365" s="43"/>
    </row>
    <row r="366" spans="1:6" ht="14.25" customHeight="1">
      <c r="A366" s="75"/>
      <c r="B366" s="75"/>
      <c r="C366" s="75"/>
      <c r="D366" s="75"/>
      <c r="E366" s="43"/>
      <c r="F366" s="43"/>
    </row>
    <row r="367" spans="1:6" ht="14.25" customHeight="1">
      <c r="A367" s="75"/>
      <c r="B367" s="75"/>
      <c r="C367" s="75"/>
      <c r="D367" s="75"/>
      <c r="E367" s="43"/>
      <c r="F367" s="43"/>
    </row>
    <row r="368" spans="1:6" ht="14.25" customHeight="1">
      <c r="A368" s="75"/>
      <c r="B368" s="75"/>
      <c r="C368" s="75"/>
      <c r="D368" s="75"/>
      <c r="E368" s="43"/>
      <c r="F368" s="43"/>
    </row>
    <row r="369" spans="1:6" ht="14.25" customHeight="1">
      <c r="A369" s="75"/>
      <c r="B369" s="75"/>
      <c r="C369" s="75"/>
      <c r="D369" s="75"/>
      <c r="E369" s="43"/>
      <c r="F369" s="43"/>
    </row>
    <row r="370" spans="1:6" ht="14.25" customHeight="1">
      <c r="A370" s="75"/>
      <c r="B370" s="75"/>
      <c r="C370" s="75"/>
      <c r="D370" s="75"/>
      <c r="E370" s="43"/>
      <c r="F370" s="43"/>
    </row>
    <row r="371" spans="1:6" ht="14.25" customHeight="1">
      <c r="A371" s="75"/>
      <c r="B371" s="75"/>
      <c r="C371" s="75"/>
      <c r="D371" s="75"/>
      <c r="E371" s="43"/>
      <c r="F371" s="43"/>
    </row>
    <row r="372" spans="1:6" ht="14.25" customHeight="1">
      <c r="A372" s="75"/>
      <c r="B372" s="75"/>
      <c r="C372" s="75"/>
      <c r="D372" s="75"/>
      <c r="E372" s="43"/>
      <c r="F372" s="43"/>
    </row>
    <row r="373" spans="1:6" ht="14.25" customHeight="1">
      <c r="A373" s="75"/>
      <c r="B373" s="75"/>
      <c r="C373" s="75"/>
      <c r="D373" s="75"/>
      <c r="E373" s="43"/>
      <c r="F373" s="43"/>
    </row>
    <row r="374" spans="1:6" ht="14.25" customHeight="1">
      <c r="A374" s="75"/>
      <c r="B374" s="75"/>
      <c r="C374" s="75"/>
      <c r="D374" s="75"/>
      <c r="E374" s="43"/>
      <c r="F374" s="43"/>
    </row>
    <row r="375" spans="1:6" ht="14.25" customHeight="1">
      <c r="A375" s="75"/>
      <c r="B375" s="75"/>
      <c r="C375" s="75"/>
      <c r="D375" s="75"/>
      <c r="E375" s="43"/>
      <c r="F375" s="43"/>
    </row>
    <row r="376" spans="1:6" ht="14.25" customHeight="1">
      <c r="A376" s="75"/>
      <c r="B376" s="75"/>
      <c r="C376" s="75"/>
      <c r="D376" s="75"/>
      <c r="E376" s="43"/>
      <c r="F376" s="43"/>
    </row>
    <row r="377" spans="1:6" ht="14.25" customHeight="1">
      <c r="A377" s="75"/>
      <c r="B377" s="75"/>
      <c r="C377" s="75"/>
      <c r="D377" s="75"/>
      <c r="E377" s="43"/>
      <c r="F377" s="43"/>
    </row>
    <row r="378" spans="1:6" ht="14.25" customHeight="1">
      <c r="A378" s="75"/>
      <c r="B378" s="75"/>
      <c r="C378" s="75"/>
      <c r="D378" s="75"/>
      <c r="E378" s="43"/>
      <c r="F378" s="43"/>
    </row>
    <row r="379" spans="1:6" ht="14.25" customHeight="1">
      <c r="A379" s="75"/>
      <c r="B379" s="75"/>
      <c r="C379" s="75"/>
      <c r="D379" s="75"/>
      <c r="E379" s="43"/>
      <c r="F379" s="43"/>
    </row>
    <row r="380" spans="1:6" ht="14.25" customHeight="1">
      <c r="A380" s="75"/>
      <c r="B380" s="75"/>
      <c r="C380" s="75"/>
      <c r="D380" s="75"/>
      <c r="E380" s="43"/>
      <c r="F380" s="43"/>
    </row>
    <row r="381" spans="1:6" ht="14.25" customHeight="1">
      <c r="A381" s="75"/>
      <c r="B381" s="75"/>
      <c r="C381" s="75"/>
      <c r="D381" s="75"/>
      <c r="E381" s="43"/>
      <c r="F381" s="43"/>
    </row>
    <row r="382" spans="1:6" ht="14.25" customHeight="1">
      <c r="A382" s="75"/>
      <c r="B382" s="75"/>
      <c r="C382" s="75"/>
      <c r="D382" s="75"/>
      <c r="E382" s="43"/>
      <c r="F382" s="43"/>
    </row>
    <row r="383" spans="1:6" ht="14.25" customHeight="1">
      <c r="A383" s="75"/>
      <c r="B383" s="75"/>
      <c r="C383" s="75"/>
      <c r="D383" s="75"/>
      <c r="E383" s="43"/>
      <c r="F383" s="43"/>
    </row>
    <row r="384" spans="1:6" ht="14.25" customHeight="1">
      <c r="A384" s="75"/>
      <c r="B384" s="75"/>
      <c r="C384" s="75"/>
      <c r="D384" s="75"/>
      <c r="E384" s="43"/>
      <c r="F384" s="43"/>
    </row>
    <row r="385" spans="1:6" ht="14.25" customHeight="1">
      <c r="A385" s="75"/>
      <c r="B385" s="75"/>
      <c r="C385" s="75"/>
      <c r="D385" s="75"/>
      <c r="E385" s="43"/>
      <c r="F385" s="43"/>
    </row>
    <row r="386" spans="1:6" ht="14.25" customHeight="1">
      <c r="A386" s="75"/>
      <c r="B386" s="75"/>
      <c r="C386" s="75"/>
      <c r="D386" s="75"/>
      <c r="E386" s="43"/>
      <c r="F386" s="43"/>
    </row>
    <row r="387" spans="1:6" ht="14.25" customHeight="1">
      <c r="A387" s="75"/>
      <c r="B387" s="75"/>
      <c r="C387" s="75"/>
      <c r="D387" s="75"/>
      <c r="E387" s="43"/>
      <c r="F387" s="43"/>
    </row>
    <row r="388" spans="1:6" ht="14.25" customHeight="1">
      <c r="A388" s="75"/>
      <c r="B388" s="75"/>
      <c r="C388" s="75"/>
      <c r="D388" s="75"/>
      <c r="E388" s="43"/>
      <c r="F388" s="43"/>
    </row>
    <row r="389" spans="1:6" ht="14.25" customHeight="1">
      <c r="A389" s="75"/>
      <c r="B389" s="75"/>
      <c r="C389" s="75"/>
      <c r="D389" s="75"/>
      <c r="E389" s="43"/>
      <c r="F389" s="43"/>
    </row>
    <row r="390" spans="1:6" ht="14.25" customHeight="1">
      <c r="A390" s="75"/>
      <c r="B390" s="75"/>
      <c r="C390" s="75"/>
      <c r="D390" s="75"/>
      <c r="E390" s="43"/>
      <c r="F390" s="43"/>
    </row>
    <row r="391" spans="1:6" ht="14.25" customHeight="1">
      <c r="A391" s="75"/>
      <c r="B391" s="75"/>
      <c r="C391" s="75"/>
      <c r="D391" s="75"/>
      <c r="E391" s="43"/>
      <c r="F391" s="43"/>
    </row>
    <row r="392" spans="1:6" ht="14.25" customHeight="1">
      <c r="A392" s="75"/>
      <c r="B392" s="75"/>
      <c r="C392" s="75"/>
      <c r="D392" s="75"/>
      <c r="E392" s="43"/>
      <c r="F392" s="43"/>
    </row>
    <row r="393" spans="1:6" ht="14.25" customHeight="1">
      <c r="A393" s="75"/>
      <c r="B393" s="75"/>
      <c r="C393" s="75"/>
      <c r="D393" s="75"/>
      <c r="E393" s="43"/>
      <c r="F393" s="43"/>
    </row>
    <row r="394" spans="1:6" ht="14.25" customHeight="1">
      <c r="A394" s="75"/>
      <c r="B394" s="75"/>
      <c r="C394" s="75"/>
      <c r="D394" s="75"/>
      <c r="E394" s="43"/>
      <c r="F394" s="43"/>
    </row>
    <row r="395" spans="1:6" ht="14.25" customHeight="1">
      <c r="A395" s="75"/>
      <c r="B395" s="75"/>
      <c r="C395" s="75"/>
      <c r="D395" s="75"/>
      <c r="E395" s="43"/>
      <c r="F395" s="43"/>
    </row>
    <row r="396" spans="1:6" ht="14.25" customHeight="1">
      <c r="A396" s="75"/>
      <c r="B396" s="75"/>
      <c r="C396" s="75"/>
      <c r="D396" s="75"/>
      <c r="E396" s="43"/>
      <c r="F396" s="43"/>
    </row>
    <row r="397" spans="1:6" ht="14.25" customHeight="1">
      <c r="A397" s="75"/>
      <c r="B397" s="75"/>
      <c r="C397" s="75"/>
      <c r="D397" s="75"/>
      <c r="E397" s="43"/>
      <c r="F397" s="43"/>
    </row>
    <row r="398" spans="1:6" ht="14.25" customHeight="1">
      <c r="A398" s="75"/>
      <c r="B398" s="75"/>
      <c r="C398" s="75"/>
      <c r="D398" s="75"/>
      <c r="E398" s="43"/>
      <c r="F398" s="43"/>
    </row>
    <row r="399" spans="1:6" ht="14.25" customHeight="1">
      <c r="A399" s="75"/>
      <c r="B399" s="75"/>
      <c r="C399" s="75"/>
      <c r="D399" s="75"/>
      <c r="E399" s="43"/>
      <c r="F399" s="43"/>
    </row>
    <row r="400" spans="1:6" ht="14.25" customHeight="1">
      <c r="A400" s="75"/>
      <c r="B400" s="75"/>
      <c r="C400" s="75"/>
      <c r="D400" s="75"/>
      <c r="E400" s="43"/>
      <c r="F400" s="43"/>
    </row>
    <row r="401" spans="1:6" ht="14.25" customHeight="1">
      <c r="A401" s="75"/>
      <c r="B401" s="75"/>
      <c r="C401" s="75"/>
      <c r="D401" s="75"/>
      <c r="E401" s="43"/>
      <c r="F401" s="43"/>
    </row>
    <row r="402" spans="1:6" ht="14.25" customHeight="1">
      <c r="A402" s="75"/>
      <c r="B402" s="75"/>
      <c r="C402" s="75"/>
      <c r="D402" s="75"/>
      <c r="E402" s="43"/>
      <c r="F402" s="43"/>
    </row>
    <row r="403" spans="1:6" ht="14.25" customHeight="1">
      <c r="A403" s="75"/>
      <c r="B403" s="75"/>
      <c r="C403" s="75"/>
      <c r="D403" s="75"/>
      <c r="E403" s="43"/>
      <c r="F403" s="43"/>
    </row>
    <row r="404" spans="1:6" ht="14.25" customHeight="1">
      <c r="A404" s="75"/>
      <c r="B404" s="75"/>
      <c r="C404" s="75"/>
      <c r="D404" s="75"/>
      <c r="E404" s="43"/>
      <c r="F404" s="43"/>
    </row>
    <row r="405" spans="1:6" ht="14.25" customHeight="1">
      <c r="A405" s="75"/>
      <c r="B405" s="75"/>
      <c r="C405" s="75"/>
      <c r="D405" s="75"/>
      <c r="E405" s="43"/>
      <c r="F405" s="43"/>
    </row>
    <row r="406" spans="1:6" ht="14.25" customHeight="1">
      <c r="A406" s="75"/>
      <c r="B406" s="75"/>
      <c r="C406" s="75"/>
      <c r="D406" s="75"/>
      <c r="E406" s="43"/>
      <c r="F406" s="43"/>
    </row>
    <row r="407" spans="1:6" ht="14.25" customHeight="1">
      <c r="A407" s="75"/>
      <c r="B407" s="75"/>
      <c r="C407" s="75"/>
      <c r="D407" s="75"/>
      <c r="E407" s="43"/>
      <c r="F407" s="43"/>
    </row>
    <row r="408" spans="1:6" ht="14.25" customHeight="1">
      <c r="A408" s="75"/>
      <c r="B408" s="75"/>
      <c r="C408" s="75"/>
      <c r="D408" s="75"/>
      <c r="E408" s="43"/>
      <c r="F408" s="43"/>
    </row>
    <row r="409" spans="1:6" ht="14.25" customHeight="1">
      <c r="A409" s="75"/>
      <c r="B409" s="75"/>
      <c r="C409" s="75"/>
      <c r="D409" s="75"/>
      <c r="E409" s="43"/>
      <c r="F409" s="43"/>
    </row>
    <row r="410" spans="1:6" ht="14.25" customHeight="1">
      <c r="A410" s="75"/>
      <c r="B410" s="75"/>
      <c r="C410" s="75"/>
      <c r="D410" s="75"/>
      <c r="E410" s="43"/>
      <c r="F410" s="43"/>
    </row>
    <row r="411" spans="1:6" ht="14.25" customHeight="1">
      <c r="A411" s="75"/>
      <c r="B411" s="75"/>
      <c r="C411" s="75"/>
      <c r="D411" s="75"/>
      <c r="E411" s="43"/>
      <c r="F411" s="43"/>
    </row>
    <row r="412" spans="1:6" ht="14.25" customHeight="1">
      <c r="A412" s="75"/>
      <c r="B412" s="75"/>
      <c r="C412" s="75"/>
      <c r="D412" s="75"/>
      <c r="E412" s="43"/>
      <c r="F412" s="43"/>
    </row>
    <row r="413" spans="1:6" ht="14.25" customHeight="1">
      <c r="A413" s="75"/>
      <c r="B413" s="75"/>
      <c r="C413" s="75"/>
      <c r="D413" s="75"/>
      <c r="E413" s="43"/>
      <c r="F413" s="43"/>
    </row>
    <row r="414" spans="1:6" ht="14.25" customHeight="1">
      <c r="A414" s="75"/>
      <c r="B414" s="75"/>
      <c r="C414" s="75"/>
      <c r="D414" s="75"/>
      <c r="E414" s="43"/>
      <c r="F414" s="43"/>
    </row>
    <row r="415" spans="1:6" ht="14.25" customHeight="1">
      <c r="A415" s="75"/>
      <c r="B415" s="75"/>
      <c r="C415" s="75"/>
      <c r="D415" s="75"/>
      <c r="E415" s="43"/>
      <c r="F415" s="43"/>
    </row>
    <row r="416" spans="1:6" ht="14.25" customHeight="1">
      <c r="A416" s="75"/>
      <c r="B416" s="75"/>
      <c r="C416" s="75"/>
      <c r="D416" s="75"/>
      <c r="E416" s="43"/>
      <c r="F416" s="43"/>
    </row>
    <row r="417" spans="1:6" ht="14.25" customHeight="1">
      <c r="A417" s="75"/>
      <c r="B417" s="75"/>
      <c r="C417" s="75"/>
      <c r="D417" s="75"/>
      <c r="E417" s="43"/>
      <c r="F417" s="43"/>
    </row>
    <row r="418" spans="1:6" ht="14.25" customHeight="1">
      <c r="A418" s="75"/>
      <c r="B418" s="75"/>
      <c r="C418" s="75"/>
      <c r="D418" s="75"/>
      <c r="E418" s="43"/>
      <c r="F418" s="43"/>
    </row>
    <row r="419" spans="1:6" ht="14.25" customHeight="1">
      <c r="A419" s="75"/>
      <c r="B419" s="75"/>
      <c r="C419" s="75"/>
      <c r="D419" s="75"/>
      <c r="E419" s="43"/>
      <c r="F419" s="43"/>
    </row>
    <row r="420" spans="1:6" ht="14.25" customHeight="1">
      <c r="A420" s="75"/>
      <c r="B420" s="75"/>
      <c r="C420" s="75"/>
      <c r="D420" s="75"/>
      <c r="E420" s="43"/>
      <c r="F420" s="43"/>
    </row>
    <row r="421" spans="1:6" ht="14.25" customHeight="1">
      <c r="A421" s="75"/>
      <c r="B421" s="75"/>
      <c r="C421" s="75"/>
      <c r="D421" s="75"/>
      <c r="E421" s="43"/>
      <c r="F421" s="43"/>
    </row>
    <row r="422" spans="1:6" ht="14.25" customHeight="1">
      <c r="A422" s="75"/>
      <c r="B422" s="75"/>
      <c r="C422" s="75"/>
      <c r="D422" s="75"/>
      <c r="E422" s="43"/>
      <c r="F422" s="43"/>
    </row>
    <row r="423" spans="1:6" ht="14.25" customHeight="1">
      <c r="A423" s="75"/>
      <c r="B423" s="75"/>
      <c r="C423" s="75"/>
      <c r="D423" s="75"/>
      <c r="E423" s="43"/>
      <c r="F423" s="43"/>
    </row>
    <row r="424" spans="1:6" ht="14.25" customHeight="1">
      <c r="A424" s="75"/>
      <c r="B424" s="75"/>
      <c r="C424" s="75"/>
      <c r="D424" s="75"/>
      <c r="E424" s="43"/>
      <c r="F424" s="43"/>
    </row>
    <row r="425" spans="1:6" ht="14.25" customHeight="1">
      <c r="A425" s="75"/>
      <c r="B425" s="75"/>
      <c r="C425" s="75"/>
      <c r="D425" s="75"/>
      <c r="E425" s="43"/>
      <c r="F425" s="43"/>
    </row>
    <row r="426" spans="1:6" ht="14.25" customHeight="1">
      <c r="A426" s="75"/>
      <c r="B426" s="75"/>
      <c r="C426" s="75"/>
      <c r="D426" s="75"/>
      <c r="E426" s="43"/>
      <c r="F426" s="43"/>
    </row>
    <row r="427" spans="1:6" ht="14.25" customHeight="1">
      <c r="A427" s="75"/>
      <c r="B427" s="75"/>
      <c r="C427" s="75"/>
      <c r="D427" s="75"/>
      <c r="E427" s="43"/>
      <c r="F427" s="43"/>
    </row>
    <row r="428" spans="1:6" ht="14.25" customHeight="1">
      <c r="A428" s="75"/>
      <c r="B428" s="75"/>
      <c r="C428" s="75"/>
      <c r="D428" s="75"/>
      <c r="E428" s="43"/>
      <c r="F428" s="43"/>
    </row>
    <row r="429" spans="1:6" ht="14.25" customHeight="1">
      <c r="A429" s="75"/>
      <c r="B429" s="75"/>
      <c r="C429" s="75"/>
      <c r="D429" s="75"/>
      <c r="E429" s="43"/>
      <c r="F429" s="43"/>
    </row>
    <row r="430" spans="1:6" ht="14.25" customHeight="1">
      <c r="A430" s="75"/>
      <c r="B430" s="75"/>
      <c r="C430" s="75"/>
      <c r="D430" s="75"/>
      <c r="E430" s="43"/>
      <c r="F430" s="43"/>
    </row>
    <row r="431" spans="1:6" ht="14.25" customHeight="1">
      <c r="A431" s="75"/>
      <c r="B431" s="75"/>
      <c r="C431" s="75"/>
      <c r="D431" s="75"/>
      <c r="E431" s="43"/>
      <c r="F431" s="43"/>
    </row>
    <row r="432" spans="1:6" ht="14.25" customHeight="1">
      <c r="A432" s="75"/>
      <c r="B432" s="75"/>
      <c r="C432" s="75"/>
      <c r="D432" s="75"/>
      <c r="E432" s="43"/>
      <c r="F432" s="43"/>
    </row>
    <row r="433" spans="1:6" ht="14.25" customHeight="1">
      <c r="A433" s="75"/>
      <c r="B433" s="75"/>
      <c r="C433" s="75"/>
      <c r="D433" s="75"/>
      <c r="E433" s="43"/>
      <c r="F433" s="43"/>
    </row>
    <row r="434" spans="1:6" ht="14.25" customHeight="1">
      <c r="A434" s="75"/>
      <c r="B434" s="75"/>
      <c r="C434" s="75"/>
      <c r="D434" s="75"/>
      <c r="E434" s="43"/>
      <c r="F434" s="43"/>
    </row>
    <row r="435" spans="1:6" ht="14.25" customHeight="1">
      <c r="A435" s="75"/>
      <c r="B435" s="75"/>
      <c r="C435" s="75"/>
      <c r="D435" s="75"/>
      <c r="E435" s="43"/>
      <c r="F435" s="43"/>
    </row>
    <row r="436" spans="1:6" ht="14.25" customHeight="1">
      <c r="A436" s="75"/>
      <c r="B436" s="75"/>
      <c r="C436" s="75"/>
      <c r="D436" s="75"/>
      <c r="E436" s="43"/>
      <c r="F436" s="43"/>
    </row>
    <row r="437" spans="1:6" ht="14.25" customHeight="1">
      <c r="A437" s="75"/>
      <c r="B437" s="75"/>
      <c r="C437" s="75"/>
      <c r="D437" s="75"/>
      <c r="E437" s="43"/>
      <c r="F437" s="43"/>
    </row>
    <row r="438" spans="1:6" ht="14.25" customHeight="1">
      <c r="A438" s="75"/>
      <c r="B438" s="75"/>
      <c r="C438" s="75"/>
      <c r="D438" s="75"/>
      <c r="E438" s="43"/>
      <c r="F438" s="43"/>
    </row>
    <row r="439" spans="1:6" ht="14.25" customHeight="1">
      <c r="A439" s="75"/>
      <c r="B439" s="75"/>
      <c r="C439" s="75"/>
      <c r="D439" s="75"/>
      <c r="E439" s="43"/>
      <c r="F439" s="43"/>
    </row>
    <row r="440" spans="1:6" ht="14.25" customHeight="1">
      <c r="A440" s="75"/>
      <c r="B440" s="75"/>
      <c r="C440" s="75"/>
      <c r="D440" s="75"/>
      <c r="E440" s="43"/>
      <c r="F440" s="43"/>
    </row>
    <row r="441" spans="1:6" ht="14.25" customHeight="1">
      <c r="A441" s="75"/>
      <c r="B441" s="75"/>
      <c r="C441" s="75"/>
      <c r="D441" s="75"/>
      <c r="E441" s="43"/>
      <c r="F441" s="43"/>
    </row>
    <row r="442" spans="1:6" ht="14.25" customHeight="1">
      <c r="A442" s="75"/>
      <c r="B442" s="75"/>
      <c r="C442" s="75"/>
      <c r="D442" s="75"/>
      <c r="E442" s="43"/>
      <c r="F442" s="43"/>
    </row>
    <row r="443" spans="1:6" ht="14.25" customHeight="1">
      <c r="A443" s="75"/>
      <c r="B443" s="75"/>
      <c r="C443" s="75"/>
      <c r="D443" s="75"/>
      <c r="E443" s="43"/>
      <c r="F443" s="43"/>
    </row>
    <row r="444" spans="1:6" ht="14.25" customHeight="1">
      <c r="A444" s="75"/>
      <c r="B444" s="75"/>
      <c r="C444" s="75"/>
      <c r="D444" s="75"/>
      <c r="E444" s="43"/>
      <c r="F444" s="43"/>
    </row>
    <row r="445" spans="1:6" ht="14.25" customHeight="1">
      <c r="A445" s="75"/>
      <c r="B445" s="75"/>
      <c r="C445" s="75"/>
      <c r="D445" s="75"/>
      <c r="E445" s="43"/>
      <c r="F445" s="43"/>
    </row>
    <row r="446" spans="1:6" ht="14.25" customHeight="1">
      <c r="A446" s="75"/>
      <c r="B446" s="75"/>
      <c r="C446" s="75"/>
      <c r="D446" s="75"/>
      <c r="E446" s="43"/>
      <c r="F446" s="43"/>
    </row>
    <row r="447" spans="1:6" ht="14.25" customHeight="1">
      <c r="A447" s="75"/>
      <c r="B447" s="75"/>
      <c r="C447" s="75"/>
      <c r="D447" s="75"/>
      <c r="E447" s="43"/>
      <c r="F447" s="43"/>
    </row>
    <row r="448" spans="1:6" ht="14.25" customHeight="1">
      <c r="A448" s="75"/>
      <c r="B448" s="75"/>
      <c r="C448" s="75"/>
      <c r="D448" s="75"/>
      <c r="E448" s="43"/>
      <c r="F448" s="43"/>
    </row>
    <row r="449" spans="1:6" ht="14.25" customHeight="1">
      <c r="A449" s="75"/>
      <c r="B449" s="75"/>
      <c r="C449" s="75"/>
      <c r="D449" s="75"/>
      <c r="E449" s="43"/>
      <c r="F449" s="43"/>
    </row>
    <row r="450" spans="1:6" ht="14.25" customHeight="1">
      <c r="A450" s="75"/>
      <c r="B450" s="75"/>
      <c r="C450" s="75"/>
      <c r="D450" s="75"/>
      <c r="E450" s="43"/>
      <c r="F450" s="43"/>
    </row>
    <row r="451" spans="1:6" ht="14.25" customHeight="1">
      <c r="A451" s="75"/>
      <c r="B451" s="75"/>
      <c r="C451" s="75"/>
      <c r="D451" s="75"/>
      <c r="E451" s="43"/>
      <c r="F451" s="43"/>
    </row>
    <row r="452" spans="1:6" ht="14.25" customHeight="1">
      <c r="A452" s="75"/>
      <c r="B452" s="75"/>
      <c r="C452" s="75"/>
      <c r="D452" s="75"/>
      <c r="E452" s="43"/>
      <c r="F452" s="43"/>
    </row>
    <row r="453" spans="1:6" ht="14.25" customHeight="1">
      <c r="A453" s="75"/>
      <c r="B453" s="75"/>
      <c r="C453" s="75"/>
      <c r="D453" s="75"/>
      <c r="E453" s="43"/>
      <c r="F453" s="43"/>
    </row>
    <row r="454" spans="1:6" ht="14.25" customHeight="1">
      <c r="A454" s="75"/>
      <c r="B454" s="75"/>
      <c r="C454" s="75"/>
      <c r="D454" s="75"/>
      <c r="E454" s="43"/>
      <c r="F454" s="43"/>
    </row>
    <row r="455" spans="1:6" ht="14.25" customHeight="1">
      <c r="A455" s="75"/>
      <c r="B455" s="75"/>
      <c r="C455" s="75"/>
      <c r="D455" s="75"/>
      <c r="E455" s="43"/>
      <c r="F455" s="43"/>
    </row>
    <row r="456" spans="1:6" ht="14.25" customHeight="1">
      <c r="A456" s="75"/>
      <c r="B456" s="75"/>
      <c r="C456" s="75"/>
      <c r="D456" s="75"/>
      <c r="E456" s="43"/>
      <c r="F456" s="43"/>
    </row>
    <row r="457" spans="1:6" ht="14.25" customHeight="1">
      <c r="A457" s="75"/>
      <c r="B457" s="75"/>
      <c r="C457" s="75"/>
      <c r="D457" s="75"/>
      <c r="E457" s="43"/>
      <c r="F457" s="43"/>
    </row>
    <row r="458" spans="1:6" ht="14.25" customHeight="1">
      <c r="A458" s="75"/>
      <c r="B458" s="75"/>
      <c r="C458" s="75"/>
      <c r="D458" s="75"/>
      <c r="E458" s="43"/>
      <c r="F458" s="43"/>
    </row>
    <row r="459" spans="1:6" ht="14.25" customHeight="1">
      <c r="A459" s="75"/>
      <c r="B459" s="75"/>
      <c r="C459" s="75"/>
      <c r="D459" s="75"/>
      <c r="E459" s="43"/>
      <c r="F459" s="43"/>
    </row>
    <row r="460" spans="1:6" ht="14.25" customHeight="1">
      <c r="A460" s="75"/>
      <c r="B460" s="75"/>
      <c r="C460" s="75"/>
      <c r="D460" s="75"/>
      <c r="E460" s="43"/>
      <c r="F460" s="43"/>
    </row>
    <row r="461" spans="1:6" ht="14.25" customHeight="1">
      <c r="A461" s="75"/>
      <c r="B461" s="75"/>
      <c r="C461" s="75"/>
      <c r="D461" s="75"/>
      <c r="E461" s="43"/>
      <c r="F461" s="43"/>
    </row>
    <row r="462" spans="1:6" ht="14.25" customHeight="1">
      <c r="A462" s="75"/>
      <c r="B462" s="75"/>
      <c r="C462" s="75"/>
      <c r="D462" s="75"/>
      <c r="E462" s="43"/>
      <c r="F462" s="43"/>
    </row>
    <row r="463" spans="1:6" ht="14.25" customHeight="1">
      <c r="A463" s="75"/>
      <c r="B463" s="75"/>
      <c r="C463" s="75"/>
      <c r="D463" s="75"/>
      <c r="E463" s="43"/>
      <c r="F463" s="43"/>
    </row>
    <row r="464" spans="1:6" ht="14.25" customHeight="1">
      <c r="A464" s="75"/>
      <c r="B464" s="75"/>
      <c r="C464" s="75"/>
      <c r="D464" s="75"/>
      <c r="E464" s="43"/>
      <c r="F464" s="43"/>
    </row>
    <row r="465" spans="1:6" ht="14.25" customHeight="1">
      <c r="A465" s="75"/>
      <c r="B465" s="75"/>
      <c r="C465" s="75"/>
      <c r="D465" s="75"/>
      <c r="E465" s="43"/>
      <c r="F465" s="43"/>
    </row>
    <row r="466" spans="1:6" ht="14.25" customHeight="1">
      <c r="A466" s="75"/>
      <c r="B466" s="75"/>
      <c r="C466" s="75"/>
      <c r="D466" s="75"/>
      <c r="E466" s="43"/>
      <c r="F466" s="43"/>
    </row>
    <row r="467" spans="1:6" ht="14.25" customHeight="1">
      <c r="A467" s="75"/>
      <c r="B467" s="75"/>
      <c r="C467" s="75"/>
      <c r="D467" s="75"/>
      <c r="E467" s="43"/>
      <c r="F467" s="43"/>
    </row>
    <row r="468" spans="1:6" ht="14.25" customHeight="1">
      <c r="A468" s="75"/>
      <c r="B468" s="75"/>
      <c r="C468" s="75"/>
      <c r="D468" s="75"/>
      <c r="E468" s="43"/>
      <c r="F468" s="43"/>
    </row>
    <row r="469" spans="1:6" ht="14.25" customHeight="1">
      <c r="A469" s="75"/>
      <c r="B469" s="75"/>
      <c r="C469" s="75"/>
      <c r="D469" s="75"/>
      <c r="E469" s="43"/>
      <c r="F469" s="43"/>
    </row>
    <row r="470" spans="1:6" ht="14.25" customHeight="1">
      <c r="A470" s="75"/>
      <c r="B470" s="75"/>
      <c r="C470" s="75"/>
      <c r="D470" s="75"/>
      <c r="E470" s="43"/>
      <c r="F470" s="43"/>
    </row>
    <row r="471" spans="1:6" ht="14.25" customHeight="1">
      <c r="A471" s="75"/>
      <c r="B471" s="75"/>
      <c r="C471" s="75"/>
      <c r="D471" s="75"/>
      <c r="E471" s="43"/>
      <c r="F471" s="43"/>
    </row>
    <row r="472" spans="1:6" ht="14.25" customHeight="1">
      <c r="A472" s="75"/>
      <c r="B472" s="75"/>
      <c r="C472" s="75"/>
      <c r="D472" s="75"/>
      <c r="E472" s="43"/>
      <c r="F472" s="43"/>
    </row>
    <row r="473" spans="1:6" ht="14.25" customHeight="1">
      <c r="A473" s="75"/>
      <c r="B473" s="75"/>
      <c r="C473" s="75"/>
      <c r="D473" s="75"/>
      <c r="E473" s="43"/>
      <c r="F473" s="43"/>
    </row>
    <row r="474" spans="1:6" ht="14.25" customHeight="1">
      <c r="A474" s="75"/>
      <c r="B474" s="75"/>
      <c r="C474" s="75"/>
      <c r="D474" s="75"/>
      <c r="E474" s="43"/>
      <c r="F474" s="43"/>
    </row>
    <row r="475" spans="1:6" ht="14.25" customHeight="1">
      <c r="A475" s="75"/>
      <c r="B475" s="75"/>
      <c r="C475" s="75"/>
      <c r="D475" s="75"/>
      <c r="E475" s="43"/>
      <c r="F475" s="43"/>
    </row>
    <row r="476" spans="1:6" ht="14.25" customHeight="1">
      <c r="A476" s="75"/>
      <c r="B476" s="75"/>
      <c r="C476" s="75"/>
      <c r="D476" s="75"/>
      <c r="E476" s="43"/>
      <c r="F476" s="43"/>
    </row>
    <row r="477" spans="1:6" ht="14.25" customHeight="1">
      <c r="A477" s="75"/>
      <c r="B477" s="75"/>
      <c r="C477" s="75"/>
      <c r="D477" s="75"/>
      <c r="E477" s="43"/>
      <c r="F477" s="43"/>
    </row>
    <row r="478" spans="1:6" ht="14.25" customHeight="1">
      <c r="A478" s="75"/>
      <c r="B478" s="75"/>
      <c r="C478" s="75"/>
      <c r="D478" s="75"/>
      <c r="E478" s="43"/>
      <c r="F478" s="43"/>
    </row>
    <row r="479" spans="1:6" ht="14.25" customHeight="1">
      <c r="A479" s="75"/>
      <c r="B479" s="75"/>
      <c r="C479" s="75"/>
      <c r="D479" s="75"/>
      <c r="E479" s="43"/>
      <c r="F479" s="43"/>
    </row>
    <row r="480" spans="1:6" ht="14.25" customHeight="1">
      <c r="A480" s="75"/>
      <c r="B480" s="75"/>
      <c r="C480" s="75"/>
      <c r="D480" s="75"/>
      <c r="E480" s="43"/>
      <c r="F480" s="43"/>
    </row>
    <row r="481" spans="1:6" ht="14.25" customHeight="1">
      <c r="A481" s="75"/>
      <c r="B481" s="75"/>
      <c r="C481" s="75"/>
      <c r="D481" s="75"/>
      <c r="E481" s="43"/>
      <c r="F481" s="43"/>
    </row>
    <row r="482" spans="1:6" ht="14.25" customHeight="1">
      <c r="A482" s="75"/>
      <c r="B482" s="75"/>
      <c r="C482" s="75"/>
      <c r="D482" s="75"/>
      <c r="E482" s="43"/>
      <c r="F482" s="43"/>
    </row>
    <row r="483" spans="1:6" ht="14.25" customHeight="1">
      <c r="A483" s="75"/>
      <c r="B483" s="75"/>
      <c r="C483" s="75"/>
      <c r="D483" s="75"/>
      <c r="E483" s="43"/>
      <c r="F483" s="43"/>
    </row>
    <row r="484" spans="1:6" ht="14.25" customHeight="1">
      <c r="A484" s="75"/>
      <c r="B484" s="75"/>
      <c r="C484" s="75"/>
      <c r="D484" s="75"/>
      <c r="E484" s="43"/>
      <c r="F484" s="43"/>
    </row>
    <row r="485" spans="1:6" ht="14.25" customHeight="1">
      <c r="A485" s="75"/>
      <c r="B485" s="75"/>
      <c r="C485" s="75"/>
      <c r="D485" s="75"/>
      <c r="E485" s="43"/>
      <c r="F485" s="43"/>
    </row>
    <row r="486" spans="1:6" ht="14.25" customHeight="1">
      <c r="A486" s="75"/>
      <c r="B486" s="75"/>
      <c r="C486" s="75"/>
      <c r="D486" s="75"/>
      <c r="E486" s="43"/>
      <c r="F486" s="43"/>
    </row>
    <row r="487" spans="1:6" ht="14.25" customHeight="1">
      <c r="A487" s="75"/>
      <c r="B487" s="75"/>
      <c r="C487" s="75"/>
      <c r="D487" s="75"/>
      <c r="E487" s="43"/>
      <c r="F487" s="43"/>
    </row>
    <row r="488" spans="1:6" ht="14.25" customHeight="1">
      <c r="A488" s="75"/>
      <c r="B488" s="75"/>
      <c r="C488" s="75"/>
      <c r="D488" s="75"/>
      <c r="E488" s="43"/>
      <c r="F488" s="43"/>
    </row>
    <row r="489" spans="1:6" ht="14.25" customHeight="1">
      <c r="A489" s="75"/>
      <c r="B489" s="75"/>
      <c r="C489" s="75"/>
      <c r="D489" s="75"/>
      <c r="E489" s="43"/>
      <c r="F489" s="43"/>
    </row>
    <row r="490" spans="1:6" ht="14.25" customHeight="1">
      <c r="A490" s="75"/>
      <c r="B490" s="75"/>
      <c r="C490" s="75"/>
      <c r="D490" s="75"/>
      <c r="E490" s="43"/>
      <c r="F490" s="43"/>
    </row>
    <row r="491" spans="1:6" ht="14.25" customHeight="1">
      <c r="A491" s="75"/>
      <c r="B491" s="75"/>
      <c r="C491" s="75"/>
      <c r="D491" s="75"/>
      <c r="E491" s="43"/>
      <c r="F491" s="43"/>
    </row>
    <row r="492" spans="1:6" ht="14.25" customHeight="1">
      <c r="A492" s="75"/>
      <c r="B492" s="75"/>
      <c r="C492" s="75"/>
      <c r="D492" s="75"/>
      <c r="E492" s="43"/>
      <c r="F492" s="43"/>
    </row>
    <row r="493" spans="1:6" ht="14.25" customHeight="1">
      <c r="A493" s="75"/>
      <c r="B493" s="75"/>
      <c r="C493" s="75"/>
      <c r="D493" s="75"/>
      <c r="E493" s="43"/>
      <c r="F493" s="43"/>
    </row>
    <row r="494" spans="1:6" ht="14.25" customHeight="1">
      <c r="A494" s="75"/>
      <c r="B494" s="75"/>
      <c r="C494" s="75"/>
      <c r="D494" s="75"/>
      <c r="E494" s="43"/>
      <c r="F494" s="43"/>
    </row>
    <row r="495" spans="1:6" ht="14.25" customHeight="1">
      <c r="A495" s="75"/>
      <c r="B495" s="75"/>
      <c r="C495" s="75"/>
      <c r="D495" s="75"/>
      <c r="E495" s="43"/>
      <c r="F495" s="43"/>
    </row>
    <row r="496" spans="1:6" ht="14.25" customHeight="1">
      <c r="A496" s="75"/>
      <c r="B496" s="75"/>
      <c r="C496" s="75"/>
      <c r="D496" s="75"/>
      <c r="E496" s="43"/>
      <c r="F496" s="43"/>
    </row>
    <row r="497" spans="1:6" ht="14.25" customHeight="1">
      <c r="A497" s="75"/>
      <c r="B497" s="75"/>
      <c r="C497" s="75"/>
      <c r="D497" s="75"/>
      <c r="E497" s="43"/>
      <c r="F497" s="43"/>
    </row>
    <row r="498" spans="1:6" ht="14.25" customHeight="1">
      <c r="A498" s="75"/>
      <c r="B498" s="75"/>
      <c r="C498" s="75"/>
      <c r="D498" s="75"/>
      <c r="E498" s="43"/>
      <c r="F498" s="43"/>
    </row>
    <row r="499" spans="1:6" ht="14.25" customHeight="1">
      <c r="A499" s="75"/>
      <c r="B499" s="75"/>
      <c r="C499" s="75"/>
      <c r="D499" s="75"/>
      <c r="E499" s="43"/>
      <c r="F499" s="43"/>
    </row>
    <row r="500" spans="1:6" ht="14.25" customHeight="1">
      <c r="A500" s="75"/>
      <c r="B500" s="75"/>
      <c r="C500" s="75"/>
      <c r="D500" s="75"/>
      <c r="E500" s="43"/>
      <c r="F500" s="43"/>
    </row>
    <row r="501" spans="1:6" ht="14.25" customHeight="1">
      <c r="A501" s="75"/>
      <c r="B501" s="75"/>
      <c r="C501" s="75"/>
      <c r="D501" s="75"/>
      <c r="E501" s="43"/>
      <c r="F501" s="43"/>
    </row>
    <row r="502" spans="1:6" ht="14.25" customHeight="1">
      <c r="A502" s="75"/>
      <c r="B502" s="75"/>
      <c r="C502" s="75"/>
      <c r="D502" s="75"/>
      <c r="E502" s="43"/>
      <c r="F502" s="43"/>
    </row>
    <row r="503" spans="1:6" ht="14.25" customHeight="1">
      <c r="A503" s="75"/>
      <c r="B503" s="75"/>
      <c r="C503" s="75"/>
      <c r="D503" s="75"/>
      <c r="E503" s="43"/>
      <c r="F503" s="43"/>
    </row>
    <row r="504" spans="1:6" ht="14.25" customHeight="1">
      <c r="A504" s="75"/>
      <c r="B504" s="75"/>
      <c r="C504" s="75"/>
      <c r="D504" s="75"/>
      <c r="E504" s="43"/>
      <c r="F504" s="43"/>
    </row>
    <row r="505" spans="1:6" ht="14.25" customHeight="1">
      <c r="A505" s="75"/>
      <c r="B505" s="75"/>
      <c r="C505" s="75"/>
      <c r="D505" s="75"/>
      <c r="E505" s="43"/>
      <c r="F505" s="43"/>
    </row>
    <row r="506" spans="1:6" ht="14.25" customHeight="1">
      <c r="A506" s="75"/>
      <c r="B506" s="75"/>
      <c r="C506" s="75"/>
      <c r="D506" s="75"/>
      <c r="E506" s="43"/>
      <c r="F506" s="43"/>
    </row>
    <row r="507" spans="1:6" ht="14.25" customHeight="1">
      <c r="A507" s="75"/>
      <c r="B507" s="75"/>
      <c r="C507" s="75"/>
      <c r="D507" s="75"/>
      <c r="E507" s="43"/>
      <c r="F507" s="43"/>
    </row>
    <row r="508" spans="1:6" ht="14.25" customHeight="1">
      <c r="A508" s="75"/>
      <c r="B508" s="75"/>
      <c r="C508" s="75"/>
      <c r="D508" s="75"/>
      <c r="E508" s="43"/>
      <c r="F508" s="43"/>
    </row>
    <row r="509" spans="1:6" ht="14.25" customHeight="1">
      <c r="A509" s="75"/>
      <c r="B509" s="75"/>
      <c r="C509" s="75"/>
      <c r="D509" s="75"/>
      <c r="E509" s="43"/>
      <c r="F509" s="43"/>
    </row>
    <row r="510" spans="1:6" ht="14.25" customHeight="1">
      <c r="A510" s="75"/>
      <c r="B510" s="75"/>
      <c r="C510" s="75"/>
      <c r="D510" s="75"/>
      <c r="E510" s="43"/>
      <c r="F510" s="43"/>
    </row>
    <row r="511" spans="1:6" ht="14.25" customHeight="1">
      <c r="A511" s="75"/>
      <c r="B511" s="75"/>
      <c r="C511" s="75"/>
      <c r="D511" s="75"/>
      <c r="E511" s="43"/>
      <c r="F511" s="43"/>
    </row>
    <row r="512" spans="1:6" ht="14.25" customHeight="1">
      <c r="A512" s="75"/>
      <c r="B512" s="75"/>
      <c r="C512" s="75"/>
      <c r="D512" s="75"/>
      <c r="E512" s="43"/>
      <c r="F512" s="43"/>
    </row>
    <row r="513" spans="1:6" ht="14.25" customHeight="1">
      <c r="A513" s="75"/>
      <c r="B513" s="75"/>
      <c r="C513" s="75"/>
      <c r="D513" s="75"/>
      <c r="E513" s="43"/>
      <c r="F513" s="43"/>
    </row>
    <row r="514" spans="1:6" ht="14.25" customHeight="1">
      <c r="A514" s="75"/>
      <c r="B514" s="75"/>
      <c r="C514" s="75"/>
      <c r="D514" s="75"/>
      <c r="E514" s="43"/>
      <c r="F514" s="43"/>
    </row>
    <row r="515" spans="1:6" ht="14.25" customHeight="1">
      <c r="A515" s="75"/>
      <c r="B515" s="75"/>
      <c r="C515" s="75"/>
      <c r="D515" s="75"/>
      <c r="E515" s="43"/>
      <c r="F515" s="43"/>
    </row>
    <row r="516" spans="1:6" ht="14.25" customHeight="1">
      <c r="A516" s="75"/>
      <c r="B516" s="75"/>
      <c r="C516" s="75"/>
      <c r="D516" s="75"/>
      <c r="E516" s="43"/>
      <c r="F516" s="43"/>
    </row>
    <row r="517" spans="1:6" ht="14.25" customHeight="1">
      <c r="A517" s="75"/>
      <c r="B517" s="75"/>
      <c r="C517" s="75"/>
      <c r="D517" s="75"/>
      <c r="E517" s="43"/>
      <c r="F517" s="43"/>
    </row>
    <row r="518" spans="1:6" ht="14.25" customHeight="1">
      <c r="A518" s="75"/>
      <c r="B518" s="75"/>
      <c r="C518" s="75"/>
      <c r="D518" s="75"/>
      <c r="E518" s="43"/>
      <c r="F518" s="43"/>
    </row>
    <row r="519" spans="1:6" ht="14.25" customHeight="1">
      <c r="A519" s="75"/>
      <c r="B519" s="75"/>
      <c r="C519" s="75"/>
      <c r="D519" s="75"/>
      <c r="E519" s="43"/>
      <c r="F519" s="43"/>
    </row>
    <row r="520" spans="1:6" ht="14.25" customHeight="1">
      <c r="A520" s="75"/>
      <c r="B520" s="75"/>
      <c r="C520" s="75"/>
      <c r="D520" s="75"/>
      <c r="E520" s="43"/>
      <c r="F520" s="43"/>
    </row>
    <row r="521" spans="1:6" ht="14.25" customHeight="1">
      <c r="A521" s="75"/>
      <c r="B521" s="75"/>
      <c r="C521" s="75"/>
      <c r="D521" s="75"/>
      <c r="E521" s="43"/>
      <c r="F521" s="43"/>
    </row>
    <row r="522" spans="1:6" ht="14.25" customHeight="1">
      <c r="A522" s="75"/>
      <c r="B522" s="75"/>
      <c r="C522" s="75"/>
      <c r="D522" s="75"/>
      <c r="E522" s="43"/>
      <c r="F522" s="43"/>
    </row>
    <row r="523" spans="1:6" ht="14.25" customHeight="1">
      <c r="A523" s="75"/>
      <c r="B523" s="75"/>
      <c r="C523" s="75"/>
      <c r="D523" s="75"/>
      <c r="E523" s="43"/>
      <c r="F523" s="43"/>
    </row>
    <row r="524" spans="1:6" ht="14.25" customHeight="1">
      <c r="A524" s="75"/>
      <c r="B524" s="75"/>
      <c r="C524" s="75"/>
      <c r="D524" s="75"/>
      <c r="E524" s="43"/>
      <c r="F524" s="43"/>
    </row>
    <row r="525" spans="1:6" ht="14.25" customHeight="1">
      <c r="A525" s="75"/>
      <c r="B525" s="75"/>
      <c r="C525" s="75"/>
      <c r="D525" s="75"/>
      <c r="E525" s="43"/>
      <c r="F525" s="43"/>
    </row>
    <row r="526" spans="1:6" ht="14.25" customHeight="1">
      <c r="A526" s="75"/>
      <c r="B526" s="75"/>
      <c r="C526" s="75"/>
      <c r="D526" s="75"/>
      <c r="E526" s="43"/>
      <c r="F526" s="43"/>
    </row>
    <row r="527" spans="1:6" ht="14.25" customHeight="1">
      <c r="A527" s="75"/>
      <c r="B527" s="75"/>
      <c r="C527" s="75"/>
      <c r="D527" s="75"/>
      <c r="E527" s="43"/>
      <c r="F527" s="43"/>
    </row>
    <row r="528" spans="1:6" ht="14.25" customHeight="1">
      <c r="A528" s="75"/>
      <c r="B528" s="75"/>
      <c r="C528" s="75"/>
      <c r="D528" s="75"/>
      <c r="E528" s="43"/>
      <c r="F528" s="43"/>
    </row>
    <row r="529" spans="1:6" ht="14.25" customHeight="1">
      <c r="A529" s="75"/>
      <c r="B529" s="75"/>
      <c r="C529" s="75"/>
      <c r="D529" s="75"/>
      <c r="E529" s="43"/>
      <c r="F529" s="43"/>
    </row>
    <row r="530" spans="1:6" ht="14.25" customHeight="1">
      <c r="A530" s="75"/>
      <c r="B530" s="75"/>
      <c r="C530" s="75"/>
      <c r="D530" s="75"/>
      <c r="E530" s="43"/>
      <c r="F530" s="43"/>
    </row>
    <row r="531" spans="1:6" ht="14.25" customHeight="1">
      <c r="A531" s="75"/>
      <c r="B531" s="75"/>
      <c r="C531" s="75"/>
      <c r="D531" s="75"/>
      <c r="E531" s="43"/>
      <c r="F531" s="43"/>
    </row>
    <row r="532" spans="1:6" ht="14.25" customHeight="1">
      <c r="A532" s="75"/>
      <c r="B532" s="75"/>
      <c r="C532" s="75"/>
      <c r="D532" s="75"/>
      <c r="E532" s="43"/>
      <c r="F532" s="43"/>
    </row>
    <row r="533" spans="1:6" ht="14.25" customHeight="1">
      <c r="A533" s="75"/>
      <c r="B533" s="75"/>
      <c r="C533" s="75"/>
      <c r="D533" s="75"/>
      <c r="E533" s="43"/>
      <c r="F533" s="43"/>
    </row>
    <row r="534" spans="1:6" ht="14.25" customHeight="1">
      <c r="A534" s="75"/>
      <c r="B534" s="75"/>
      <c r="C534" s="75"/>
      <c r="D534" s="75"/>
      <c r="E534" s="43"/>
      <c r="F534" s="43"/>
    </row>
    <row r="535" spans="1:6" ht="14.25" customHeight="1">
      <c r="A535" s="75"/>
      <c r="B535" s="75"/>
      <c r="C535" s="75"/>
      <c r="D535" s="75"/>
      <c r="E535" s="43"/>
      <c r="F535" s="43"/>
    </row>
    <row r="536" spans="1:6" ht="14.25" customHeight="1">
      <c r="A536" s="75"/>
      <c r="B536" s="75"/>
      <c r="C536" s="75"/>
      <c r="D536" s="75"/>
      <c r="E536" s="43"/>
      <c r="F536" s="43"/>
    </row>
    <row r="537" spans="1:6" ht="14.25" customHeight="1">
      <c r="A537" s="75"/>
      <c r="B537" s="75"/>
      <c r="C537" s="75"/>
      <c r="D537" s="75"/>
      <c r="E537" s="43"/>
      <c r="F537" s="43"/>
    </row>
    <row r="538" spans="1:6" ht="14.25" customHeight="1">
      <c r="A538" s="75"/>
      <c r="B538" s="75"/>
      <c r="C538" s="75"/>
      <c r="D538" s="75"/>
      <c r="E538" s="43"/>
      <c r="F538" s="43"/>
    </row>
    <row r="539" spans="1:6" ht="14.25" customHeight="1">
      <c r="A539" s="75"/>
      <c r="B539" s="75"/>
      <c r="C539" s="75"/>
      <c r="D539" s="75"/>
      <c r="E539" s="43"/>
      <c r="F539" s="43"/>
    </row>
    <row r="540" spans="1:6" ht="14.25" customHeight="1">
      <c r="A540" s="75"/>
      <c r="B540" s="75"/>
      <c r="C540" s="75"/>
      <c r="D540" s="75"/>
      <c r="E540" s="43"/>
      <c r="F540" s="43"/>
    </row>
    <row r="541" spans="1:6" ht="14.25" customHeight="1">
      <c r="A541" s="75"/>
      <c r="B541" s="75"/>
      <c r="C541" s="75"/>
      <c r="D541" s="75"/>
      <c r="E541" s="43"/>
      <c r="F541" s="43"/>
    </row>
    <row r="542" spans="1:6" ht="14.25" customHeight="1">
      <c r="A542" s="75"/>
      <c r="B542" s="75"/>
      <c r="C542" s="75"/>
      <c r="D542" s="75"/>
      <c r="E542" s="43"/>
      <c r="F542" s="43"/>
    </row>
    <row r="543" spans="1:6" ht="14.25" customHeight="1">
      <c r="A543" s="75"/>
      <c r="B543" s="75"/>
      <c r="C543" s="75"/>
      <c r="D543" s="75"/>
      <c r="E543" s="43"/>
      <c r="F543" s="43"/>
    </row>
    <row r="544" spans="1:6" ht="14.25" customHeight="1">
      <c r="A544" s="75"/>
      <c r="B544" s="75"/>
      <c r="C544" s="75"/>
      <c r="D544" s="75"/>
      <c r="E544" s="43"/>
      <c r="F544" s="43"/>
    </row>
    <row r="545" spans="1:6" ht="14.25" customHeight="1">
      <c r="A545" s="75"/>
      <c r="B545" s="75"/>
      <c r="C545" s="75"/>
      <c r="D545" s="75"/>
      <c r="E545" s="43"/>
      <c r="F545" s="43"/>
    </row>
    <row r="546" spans="1:6" ht="14.25" customHeight="1">
      <c r="A546" s="75"/>
      <c r="B546" s="75"/>
      <c r="C546" s="75"/>
      <c r="D546" s="75"/>
      <c r="E546" s="43"/>
      <c r="F546" s="43"/>
    </row>
    <row r="547" spans="1:6" ht="14.25" customHeight="1">
      <c r="A547" s="75"/>
      <c r="B547" s="75"/>
      <c r="C547" s="75"/>
      <c r="D547" s="75"/>
      <c r="E547" s="43"/>
      <c r="F547" s="43"/>
    </row>
    <row r="548" spans="1:6" ht="14.25" customHeight="1">
      <c r="A548" s="75"/>
      <c r="B548" s="75"/>
      <c r="C548" s="75"/>
      <c r="D548" s="75"/>
      <c r="E548" s="43"/>
      <c r="F548" s="43"/>
    </row>
    <row r="549" spans="1:6" ht="14.25" customHeight="1">
      <c r="A549" s="75"/>
      <c r="B549" s="75"/>
      <c r="C549" s="75"/>
      <c r="D549" s="75"/>
      <c r="E549" s="43"/>
      <c r="F549" s="43"/>
    </row>
    <row r="550" spans="1:6" ht="14.25" customHeight="1">
      <c r="A550" s="75"/>
      <c r="B550" s="75"/>
      <c r="C550" s="75"/>
      <c r="D550" s="75"/>
      <c r="E550" s="43"/>
      <c r="F550" s="43"/>
    </row>
    <row r="551" spans="1:6" ht="14.25" customHeight="1">
      <c r="A551" s="75"/>
      <c r="B551" s="75"/>
      <c r="C551" s="75"/>
      <c r="D551" s="75"/>
      <c r="E551" s="43"/>
      <c r="F551" s="43"/>
    </row>
    <row r="552" spans="1:6" ht="14.25" customHeight="1">
      <c r="A552" s="75"/>
      <c r="B552" s="75"/>
      <c r="C552" s="75"/>
      <c r="D552" s="75"/>
      <c r="E552" s="43"/>
      <c r="F552" s="43"/>
    </row>
    <row r="553" spans="1:6" ht="14.25" customHeight="1">
      <c r="A553" s="75"/>
      <c r="B553" s="75"/>
      <c r="C553" s="75"/>
      <c r="D553" s="75"/>
      <c r="E553" s="43"/>
      <c r="F553" s="43"/>
    </row>
    <row r="554" spans="1:6" ht="14.25" customHeight="1">
      <c r="A554" s="75"/>
      <c r="B554" s="75"/>
      <c r="C554" s="75"/>
      <c r="D554" s="75"/>
      <c r="E554" s="43"/>
      <c r="F554" s="43"/>
    </row>
    <row r="555" spans="1:6" ht="14.25" customHeight="1">
      <c r="A555" s="75"/>
      <c r="B555" s="75"/>
      <c r="C555" s="75"/>
      <c r="D555" s="75"/>
      <c r="E555" s="43"/>
      <c r="F555" s="43"/>
    </row>
    <row r="556" spans="1:6" ht="14.25" customHeight="1">
      <c r="A556" s="75"/>
      <c r="B556" s="75"/>
      <c r="C556" s="75"/>
      <c r="D556" s="75"/>
      <c r="E556" s="43"/>
      <c r="F556" s="43"/>
    </row>
    <row r="557" spans="1:6" ht="14.25" customHeight="1">
      <c r="A557" s="75"/>
      <c r="B557" s="75"/>
      <c r="C557" s="75"/>
      <c r="D557" s="75"/>
      <c r="E557" s="43"/>
      <c r="F557" s="43"/>
    </row>
    <row r="558" spans="1:6" ht="14.25" customHeight="1">
      <c r="A558" s="75"/>
      <c r="B558" s="75"/>
      <c r="C558" s="75"/>
      <c r="D558" s="75"/>
      <c r="E558" s="43"/>
      <c r="F558" s="43"/>
    </row>
    <row r="559" spans="1:6" ht="14.25" customHeight="1">
      <c r="A559" s="75"/>
      <c r="B559" s="75"/>
      <c r="C559" s="75"/>
      <c r="D559" s="75"/>
      <c r="E559" s="43"/>
      <c r="F559" s="43"/>
    </row>
    <row r="560" spans="1:6" ht="14.25" customHeight="1">
      <c r="A560" s="75"/>
      <c r="B560" s="75"/>
      <c r="C560" s="75"/>
      <c r="D560" s="75"/>
      <c r="E560" s="43"/>
      <c r="F560" s="43"/>
    </row>
    <row r="561" spans="1:6" ht="14.25" customHeight="1">
      <c r="A561" s="75"/>
      <c r="B561" s="75"/>
      <c r="C561" s="75"/>
      <c r="D561" s="75"/>
      <c r="E561" s="43"/>
      <c r="F561" s="43"/>
    </row>
    <row r="562" spans="1:6" ht="14.25" customHeight="1">
      <c r="A562" s="75"/>
      <c r="B562" s="75"/>
      <c r="C562" s="75"/>
      <c r="D562" s="75"/>
      <c r="E562" s="43"/>
      <c r="F562" s="43"/>
    </row>
    <row r="563" spans="1:6" ht="14.25" customHeight="1">
      <c r="A563" s="75"/>
      <c r="B563" s="75"/>
      <c r="C563" s="75"/>
      <c r="D563" s="75"/>
      <c r="E563" s="43"/>
      <c r="F563" s="43"/>
    </row>
    <row r="564" spans="1:6" ht="14.25" customHeight="1">
      <c r="A564" s="75"/>
      <c r="B564" s="75"/>
      <c r="C564" s="75"/>
      <c r="D564" s="75"/>
      <c r="E564" s="43"/>
      <c r="F564" s="43"/>
    </row>
    <row r="565" spans="1:6" ht="14.25" customHeight="1">
      <c r="A565" s="75"/>
      <c r="B565" s="75"/>
      <c r="C565" s="75"/>
      <c r="D565" s="75"/>
      <c r="E565" s="43"/>
      <c r="F565" s="43"/>
    </row>
    <row r="566" spans="1:6" ht="14.25" customHeight="1">
      <c r="A566" s="75"/>
      <c r="B566" s="75"/>
      <c r="C566" s="75"/>
      <c r="D566" s="75"/>
      <c r="E566" s="43"/>
      <c r="F566" s="43"/>
    </row>
    <row r="567" spans="1:6" ht="14.25" customHeight="1">
      <c r="A567" s="75"/>
      <c r="B567" s="75"/>
      <c r="C567" s="75"/>
      <c r="D567" s="75"/>
      <c r="E567" s="43"/>
      <c r="F567" s="43"/>
    </row>
    <row r="568" spans="1:6" ht="14.25" customHeight="1">
      <c r="A568" s="75"/>
      <c r="B568" s="75"/>
      <c r="C568" s="75"/>
      <c r="D568" s="75"/>
      <c r="E568" s="43"/>
      <c r="F568" s="43"/>
    </row>
    <row r="569" spans="1:6" ht="14.25" customHeight="1">
      <c r="A569" s="75"/>
      <c r="B569" s="75"/>
      <c r="C569" s="75"/>
      <c r="D569" s="75"/>
      <c r="E569" s="43"/>
      <c r="F569" s="43"/>
    </row>
    <row r="570" spans="1:6" ht="14.25" customHeight="1">
      <c r="A570" s="75"/>
      <c r="B570" s="75"/>
      <c r="C570" s="75"/>
      <c r="D570" s="75"/>
      <c r="E570" s="43"/>
      <c r="F570" s="43"/>
    </row>
    <row r="571" spans="1:6" ht="14.25" customHeight="1">
      <c r="A571" s="75"/>
      <c r="B571" s="75"/>
      <c r="C571" s="75"/>
      <c r="D571" s="75"/>
      <c r="E571" s="43"/>
      <c r="F571" s="43"/>
    </row>
    <row r="572" spans="1:6" ht="14.25" customHeight="1">
      <c r="A572" s="75"/>
      <c r="B572" s="75"/>
      <c r="C572" s="75"/>
      <c r="D572" s="75"/>
      <c r="E572" s="43"/>
      <c r="F572" s="43"/>
    </row>
    <row r="573" spans="1:6" ht="14.25" customHeight="1">
      <c r="A573" s="75"/>
      <c r="B573" s="75"/>
      <c r="C573" s="75"/>
      <c r="D573" s="75"/>
      <c r="E573" s="43"/>
      <c r="F573" s="43"/>
    </row>
    <row r="574" spans="1:6" ht="14.25" customHeight="1">
      <c r="A574" s="75"/>
      <c r="B574" s="75"/>
      <c r="C574" s="75"/>
      <c r="D574" s="75"/>
      <c r="E574" s="43"/>
      <c r="F574" s="43"/>
    </row>
    <row r="575" spans="1:6" ht="14.25" customHeight="1">
      <c r="A575" s="75"/>
      <c r="B575" s="75"/>
      <c r="C575" s="75"/>
      <c r="D575" s="75"/>
      <c r="E575" s="43"/>
      <c r="F575" s="43"/>
    </row>
    <row r="576" spans="1:6" ht="14.25" customHeight="1">
      <c r="A576" s="75"/>
      <c r="B576" s="75"/>
      <c r="C576" s="75"/>
      <c r="D576" s="75"/>
      <c r="E576" s="43"/>
      <c r="F576" s="43"/>
    </row>
    <row r="577" spans="1:6" ht="14.25" customHeight="1">
      <c r="A577" s="75"/>
      <c r="B577" s="75"/>
      <c r="C577" s="75"/>
      <c r="D577" s="75"/>
      <c r="E577" s="43"/>
      <c r="F577" s="43"/>
    </row>
    <row r="578" spans="1:6" ht="14.25" customHeight="1">
      <c r="A578" s="75"/>
      <c r="B578" s="75"/>
      <c r="C578" s="75"/>
      <c r="D578" s="75"/>
      <c r="E578" s="43"/>
      <c r="F578" s="43"/>
    </row>
    <row r="579" spans="1:6" ht="14.25" customHeight="1">
      <c r="A579" s="75"/>
      <c r="B579" s="75"/>
      <c r="C579" s="75"/>
      <c r="D579" s="75"/>
      <c r="E579" s="43"/>
      <c r="F579" s="43"/>
    </row>
    <row r="580" spans="1:6" ht="14.25" customHeight="1">
      <c r="A580" s="75"/>
      <c r="B580" s="75"/>
      <c r="C580" s="75"/>
      <c r="D580" s="75"/>
      <c r="E580" s="43"/>
      <c r="F580" s="43"/>
    </row>
    <row r="581" spans="1:6" ht="14.25" customHeight="1">
      <c r="A581" s="75"/>
      <c r="B581" s="75"/>
      <c r="C581" s="75"/>
      <c r="D581" s="75"/>
      <c r="E581" s="43"/>
      <c r="F581" s="43"/>
    </row>
    <row r="582" spans="1:6" ht="14.25" customHeight="1">
      <c r="A582" s="75"/>
      <c r="B582" s="75"/>
      <c r="C582" s="75"/>
      <c r="D582" s="75"/>
      <c r="E582" s="43"/>
      <c r="F582" s="43"/>
    </row>
    <row r="583" spans="1:6" ht="14.25" customHeight="1">
      <c r="A583" s="75"/>
      <c r="B583" s="75"/>
      <c r="C583" s="75"/>
      <c r="D583" s="75"/>
      <c r="E583" s="43"/>
      <c r="F583" s="43"/>
    </row>
    <row r="584" spans="1:6" ht="14.25" customHeight="1">
      <c r="A584" s="75"/>
      <c r="B584" s="75"/>
      <c r="C584" s="75"/>
      <c r="D584" s="75"/>
      <c r="E584" s="43"/>
      <c r="F584" s="43"/>
    </row>
    <row r="585" spans="1:6" ht="14.25" customHeight="1">
      <c r="A585" s="75"/>
      <c r="B585" s="75"/>
      <c r="C585" s="75"/>
      <c r="D585" s="75"/>
      <c r="E585" s="43"/>
      <c r="F585" s="43"/>
    </row>
    <row r="586" spans="1:6" ht="14.25" customHeight="1">
      <c r="A586" s="75"/>
      <c r="B586" s="75"/>
      <c r="C586" s="75"/>
      <c r="D586" s="75"/>
      <c r="E586" s="43"/>
      <c r="F586" s="43"/>
    </row>
    <row r="587" spans="1:6" ht="14.25" customHeight="1">
      <c r="A587" s="75"/>
      <c r="B587" s="75"/>
      <c r="C587" s="75"/>
      <c r="D587" s="75"/>
      <c r="E587" s="43"/>
      <c r="F587" s="43"/>
    </row>
    <row r="588" spans="1:6" ht="14.25" customHeight="1">
      <c r="A588" s="75"/>
      <c r="B588" s="75"/>
      <c r="C588" s="75"/>
      <c r="D588" s="75"/>
      <c r="E588" s="43"/>
      <c r="F588" s="43"/>
    </row>
    <row r="589" spans="1:6" ht="14.25" customHeight="1">
      <c r="A589" s="75"/>
      <c r="B589" s="75"/>
      <c r="C589" s="75"/>
      <c r="D589" s="75"/>
      <c r="E589" s="43"/>
      <c r="F589" s="43"/>
    </row>
    <row r="590" spans="1:6" ht="14.25" customHeight="1">
      <c r="A590" s="75"/>
      <c r="B590" s="75"/>
      <c r="C590" s="75"/>
      <c r="D590" s="75"/>
      <c r="E590" s="43"/>
      <c r="F590" s="43"/>
    </row>
    <row r="591" spans="1:6" ht="14.25" customHeight="1">
      <c r="A591" s="75"/>
      <c r="B591" s="75"/>
      <c r="C591" s="75"/>
      <c r="D591" s="75"/>
      <c r="E591" s="43"/>
      <c r="F591" s="43"/>
    </row>
    <row r="592" spans="1:6" ht="14.25" customHeight="1">
      <c r="A592" s="75"/>
      <c r="B592" s="75"/>
      <c r="C592" s="75"/>
      <c r="D592" s="75"/>
      <c r="E592" s="43"/>
      <c r="F592" s="43"/>
    </row>
    <row r="593" spans="1:6" ht="14.25" customHeight="1">
      <c r="A593" s="75"/>
      <c r="B593" s="75"/>
      <c r="C593" s="75"/>
      <c r="D593" s="75"/>
      <c r="E593" s="43"/>
      <c r="F593" s="43"/>
    </row>
    <row r="594" spans="1:6" ht="14.25" customHeight="1">
      <c r="A594" s="75"/>
      <c r="B594" s="75"/>
      <c r="C594" s="75"/>
      <c r="D594" s="75"/>
      <c r="E594" s="43"/>
      <c r="F594" s="43"/>
    </row>
    <row r="595" spans="1:6" ht="14.25" customHeight="1">
      <c r="A595" s="75"/>
      <c r="B595" s="75"/>
      <c r="C595" s="75"/>
      <c r="D595" s="75"/>
      <c r="E595" s="43"/>
      <c r="F595" s="43"/>
    </row>
    <row r="596" spans="1:6" ht="14.25" customHeight="1">
      <c r="A596" s="75"/>
      <c r="B596" s="75"/>
      <c r="C596" s="75"/>
      <c r="D596" s="75"/>
      <c r="E596" s="43"/>
      <c r="F596" s="43"/>
    </row>
    <row r="597" spans="1:6" ht="14.25" customHeight="1">
      <c r="A597" s="75"/>
      <c r="B597" s="75"/>
      <c r="C597" s="75"/>
      <c r="D597" s="75"/>
      <c r="E597" s="43"/>
      <c r="F597" s="43"/>
    </row>
    <row r="598" spans="1:6" ht="14.25" customHeight="1">
      <c r="A598" s="75"/>
      <c r="B598" s="75"/>
      <c r="C598" s="75"/>
      <c r="D598" s="75"/>
      <c r="E598" s="43"/>
      <c r="F598" s="43"/>
    </row>
    <row r="599" spans="1:6" ht="14.25" customHeight="1">
      <c r="A599" s="75"/>
      <c r="B599" s="75"/>
      <c r="C599" s="75"/>
      <c r="D599" s="75"/>
      <c r="E599" s="43"/>
      <c r="F599" s="43"/>
    </row>
    <row r="600" spans="1:6" ht="14.25" customHeight="1">
      <c r="A600" s="75"/>
      <c r="B600" s="75"/>
      <c r="C600" s="75"/>
      <c r="D600" s="75"/>
      <c r="E600" s="43"/>
      <c r="F600" s="43"/>
    </row>
    <row r="601" spans="1:6" ht="14.25" customHeight="1">
      <c r="A601" s="75"/>
      <c r="B601" s="75"/>
      <c r="C601" s="75"/>
      <c r="D601" s="75"/>
      <c r="E601" s="43"/>
      <c r="F601" s="43"/>
    </row>
    <row r="602" spans="1:6" ht="14.25" customHeight="1">
      <c r="A602" s="75"/>
      <c r="B602" s="75"/>
      <c r="C602" s="75"/>
      <c r="D602" s="75"/>
      <c r="E602" s="43"/>
      <c r="F602" s="43"/>
    </row>
    <row r="603" spans="1:6" ht="14.25" customHeight="1">
      <c r="A603" s="75"/>
      <c r="B603" s="75"/>
      <c r="C603" s="75"/>
      <c r="D603" s="75"/>
      <c r="E603" s="43"/>
      <c r="F603" s="43"/>
    </row>
    <row r="604" spans="1:6" ht="14.25" customHeight="1">
      <c r="A604" s="75"/>
      <c r="B604" s="75"/>
      <c r="C604" s="75"/>
      <c r="D604" s="75"/>
      <c r="E604" s="43"/>
      <c r="F604" s="43"/>
    </row>
    <row r="605" spans="1:6" ht="14.25" customHeight="1">
      <c r="A605" s="75"/>
      <c r="B605" s="75"/>
      <c r="C605" s="75"/>
      <c r="D605" s="75"/>
      <c r="E605" s="43"/>
      <c r="F605" s="43"/>
    </row>
    <row r="606" spans="1:6" ht="14.25" customHeight="1">
      <c r="A606" s="75"/>
      <c r="B606" s="75"/>
      <c r="C606" s="75"/>
      <c r="D606" s="75"/>
      <c r="E606" s="43"/>
      <c r="F606" s="43"/>
    </row>
    <row r="607" spans="1:6" ht="14.25" customHeight="1">
      <c r="A607" s="75"/>
      <c r="B607" s="75"/>
      <c r="C607" s="75"/>
      <c r="D607" s="75"/>
      <c r="E607" s="43"/>
      <c r="F607" s="43"/>
    </row>
    <row r="608" spans="1:6" ht="14.25" customHeight="1">
      <c r="A608" s="75"/>
      <c r="B608" s="75"/>
      <c r="C608" s="75"/>
      <c r="D608" s="75"/>
      <c r="E608" s="43"/>
      <c r="F608" s="43"/>
    </row>
    <row r="609" spans="1:6" ht="14.25" customHeight="1">
      <c r="A609" s="75"/>
      <c r="B609" s="75"/>
      <c r="C609" s="75"/>
      <c r="D609" s="75"/>
      <c r="E609" s="43"/>
      <c r="F609" s="43"/>
    </row>
    <row r="610" spans="1:6" ht="14.25" customHeight="1">
      <c r="A610" s="75"/>
      <c r="B610" s="75"/>
      <c r="C610" s="75"/>
      <c r="D610" s="75"/>
      <c r="E610" s="43"/>
      <c r="F610" s="43"/>
    </row>
    <row r="611" spans="1:6" ht="14.25" customHeight="1">
      <c r="A611" s="75"/>
      <c r="B611" s="75"/>
      <c r="C611" s="75"/>
      <c r="D611" s="75"/>
      <c r="E611" s="43"/>
      <c r="F611" s="43"/>
    </row>
    <row r="612" spans="1:6" ht="14.25" customHeight="1">
      <c r="A612" s="75"/>
      <c r="B612" s="75"/>
      <c r="C612" s="75"/>
      <c r="D612" s="75"/>
      <c r="E612" s="43"/>
      <c r="F612" s="43"/>
    </row>
    <row r="613" spans="1:6" ht="14.25" customHeight="1">
      <c r="A613" s="75"/>
      <c r="B613" s="75"/>
      <c r="C613" s="75"/>
      <c r="D613" s="75"/>
      <c r="E613" s="43"/>
      <c r="F613" s="43"/>
    </row>
    <row r="614" spans="1:6" ht="14.25" customHeight="1">
      <c r="A614" s="75"/>
      <c r="B614" s="75"/>
      <c r="C614" s="75"/>
      <c r="D614" s="75"/>
      <c r="E614" s="43"/>
      <c r="F614" s="43"/>
    </row>
    <row r="615" spans="1:6" ht="14.25" customHeight="1">
      <c r="A615" s="75"/>
      <c r="B615" s="75"/>
      <c r="C615" s="75"/>
      <c r="D615" s="75"/>
      <c r="E615" s="43"/>
      <c r="F615" s="43"/>
    </row>
    <row r="616" spans="1:6" ht="14.25" customHeight="1">
      <c r="A616" s="75"/>
      <c r="B616" s="75"/>
      <c r="C616" s="75"/>
      <c r="D616" s="75"/>
      <c r="E616" s="43"/>
      <c r="F616" s="43"/>
    </row>
    <row r="617" spans="1:6" ht="14.25" customHeight="1">
      <c r="A617" s="75"/>
      <c r="B617" s="75"/>
      <c r="C617" s="75"/>
      <c r="D617" s="75"/>
      <c r="E617" s="43"/>
      <c r="F617" s="43"/>
    </row>
    <row r="618" spans="1:6" ht="14.25" customHeight="1">
      <c r="A618" s="75"/>
      <c r="B618" s="75"/>
      <c r="C618" s="75"/>
      <c r="D618" s="75"/>
      <c r="E618" s="43"/>
      <c r="F618" s="43"/>
    </row>
    <row r="619" spans="1:6" ht="14.25" customHeight="1">
      <c r="A619" s="75"/>
      <c r="B619" s="75"/>
      <c r="C619" s="75"/>
      <c r="D619" s="75"/>
      <c r="E619" s="43"/>
      <c r="F619" s="43"/>
    </row>
    <row r="620" spans="1:6" ht="14.25" customHeight="1">
      <c r="A620" s="75"/>
      <c r="B620" s="75"/>
      <c r="C620" s="75"/>
      <c r="D620" s="75"/>
      <c r="E620" s="43"/>
      <c r="F620" s="43"/>
    </row>
    <row r="621" spans="1:6" ht="14.25" customHeight="1">
      <c r="A621" s="75"/>
      <c r="B621" s="75"/>
      <c r="C621" s="75"/>
      <c r="D621" s="75"/>
      <c r="E621" s="43"/>
      <c r="F621" s="43"/>
    </row>
    <row r="622" spans="1:6" ht="14.25" customHeight="1">
      <c r="A622" s="75"/>
      <c r="B622" s="75"/>
      <c r="C622" s="75"/>
      <c r="D622" s="75"/>
      <c r="E622" s="43"/>
      <c r="F622" s="43"/>
    </row>
    <row r="623" spans="1:6" ht="14.25" customHeight="1">
      <c r="A623" s="75"/>
      <c r="B623" s="75"/>
      <c r="C623" s="75"/>
      <c r="D623" s="75"/>
      <c r="E623" s="43"/>
      <c r="F623" s="43"/>
    </row>
    <row r="624" spans="1:6" ht="14.25" customHeight="1">
      <c r="A624" s="75"/>
      <c r="B624" s="75"/>
      <c r="C624" s="75"/>
      <c r="D624" s="75"/>
      <c r="E624" s="43"/>
      <c r="F624" s="43"/>
    </row>
    <row r="625" spans="1:6" ht="14.25" customHeight="1">
      <c r="A625" s="75"/>
      <c r="B625" s="75"/>
      <c r="C625" s="75"/>
      <c r="D625" s="75"/>
      <c r="E625" s="43"/>
      <c r="F625" s="43"/>
    </row>
    <row r="626" spans="1:6" ht="14.25" customHeight="1">
      <c r="A626" s="75"/>
      <c r="B626" s="75"/>
      <c r="C626" s="75"/>
      <c r="D626" s="75"/>
      <c r="E626" s="43"/>
      <c r="F626" s="43"/>
    </row>
    <row r="627" spans="1:6" ht="14.25" customHeight="1">
      <c r="A627" s="75"/>
      <c r="B627" s="75"/>
      <c r="C627" s="75"/>
      <c r="D627" s="75"/>
      <c r="E627" s="43"/>
      <c r="F627" s="43"/>
    </row>
    <row r="628" spans="1:6" ht="14.25" customHeight="1">
      <c r="A628" s="75"/>
      <c r="B628" s="75"/>
      <c r="C628" s="75"/>
      <c r="D628" s="75"/>
      <c r="E628" s="43"/>
      <c r="F628" s="43"/>
    </row>
    <row r="629" spans="1:6" ht="14.25" customHeight="1">
      <c r="A629" s="75"/>
      <c r="B629" s="75"/>
      <c r="C629" s="75"/>
      <c r="D629" s="75"/>
      <c r="E629" s="43"/>
      <c r="F629" s="43"/>
    </row>
    <row r="630" spans="1:6" ht="14.25" customHeight="1">
      <c r="A630" s="75"/>
      <c r="B630" s="75"/>
      <c r="C630" s="75"/>
      <c r="D630" s="75"/>
      <c r="E630" s="43"/>
      <c r="F630" s="43"/>
    </row>
    <row r="631" spans="1:6" ht="14.25" customHeight="1">
      <c r="A631" s="75"/>
      <c r="B631" s="75"/>
      <c r="C631" s="75"/>
      <c r="D631" s="75"/>
      <c r="E631" s="43"/>
      <c r="F631" s="43"/>
    </row>
    <row r="632" spans="1:6" ht="14.25" customHeight="1">
      <c r="A632" s="75"/>
      <c r="B632" s="75"/>
      <c r="C632" s="75"/>
      <c r="D632" s="75"/>
      <c r="E632" s="43"/>
      <c r="F632" s="43"/>
    </row>
    <row r="633" spans="1:6" ht="14.25" customHeight="1">
      <c r="A633" s="75"/>
      <c r="B633" s="75"/>
      <c r="C633" s="75"/>
      <c r="D633" s="75"/>
      <c r="E633" s="43"/>
      <c r="F633" s="43"/>
    </row>
    <row r="634" spans="1:6" ht="14.25" customHeight="1">
      <c r="A634" s="75"/>
      <c r="B634" s="75"/>
      <c r="C634" s="75"/>
      <c r="D634" s="75"/>
      <c r="E634" s="43"/>
      <c r="F634" s="43"/>
    </row>
    <row r="635" spans="1:6" ht="14.25" customHeight="1">
      <c r="A635" s="75"/>
      <c r="B635" s="75"/>
      <c r="C635" s="75"/>
      <c r="D635" s="75"/>
      <c r="E635" s="43"/>
      <c r="F635" s="43"/>
    </row>
    <row r="636" spans="1:6" ht="14.25" customHeight="1">
      <c r="A636" s="75"/>
      <c r="B636" s="75"/>
      <c r="C636" s="75"/>
      <c r="D636" s="75"/>
      <c r="E636" s="43"/>
      <c r="F636" s="43"/>
    </row>
    <row r="637" spans="1:6" ht="14.25" customHeight="1">
      <c r="A637" s="75"/>
      <c r="B637" s="75"/>
      <c r="C637" s="75"/>
      <c r="D637" s="75"/>
      <c r="E637" s="43"/>
      <c r="F637" s="43"/>
    </row>
    <row r="638" spans="1:6" ht="14.25" customHeight="1">
      <c r="A638" s="75"/>
      <c r="B638" s="75"/>
      <c r="C638" s="75"/>
      <c r="D638" s="75"/>
      <c r="E638" s="43"/>
      <c r="F638" s="43"/>
    </row>
    <row r="639" spans="1:6" ht="14.25" customHeight="1">
      <c r="A639" s="75"/>
      <c r="B639" s="75"/>
      <c r="C639" s="75"/>
      <c r="D639" s="75"/>
      <c r="E639" s="43"/>
      <c r="F639" s="43"/>
    </row>
    <row r="640" spans="1:6" ht="14.25" customHeight="1">
      <c r="A640" s="75"/>
      <c r="B640" s="75"/>
      <c r="C640" s="75"/>
      <c r="D640" s="75"/>
      <c r="E640" s="43"/>
      <c r="F640" s="43"/>
    </row>
    <row r="641" spans="1:6" ht="14.25" customHeight="1">
      <c r="A641" s="75"/>
      <c r="B641" s="75"/>
      <c r="C641" s="75"/>
      <c r="D641" s="75"/>
      <c r="E641" s="43"/>
      <c r="F641" s="43"/>
    </row>
    <row r="642" spans="1:6" ht="14.25" customHeight="1">
      <c r="A642" s="75"/>
      <c r="B642" s="75"/>
      <c r="C642" s="75"/>
      <c r="D642" s="75"/>
      <c r="E642" s="43"/>
      <c r="F642" s="43"/>
    </row>
    <row r="643" spans="1:6" ht="14.25" customHeight="1">
      <c r="A643" s="75"/>
      <c r="B643" s="75"/>
      <c r="C643" s="75"/>
      <c r="D643" s="75"/>
      <c r="E643" s="43"/>
      <c r="F643" s="43"/>
    </row>
    <row r="644" spans="1:6" ht="14.25" customHeight="1">
      <c r="A644" s="75"/>
      <c r="B644" s="75"/>
      <c r="C644" s="75"/>
      <c r="D644" s="75"/>
      <c r="E644" s="43"/>
      <c r="F644" s="43"/>
    </row>
    <row r="645" spans="1:6" ht="14.25" customHeight="1">
      <c r="A645" s="75"/>
      <c r="B645" s="75"/>
      <c r="C645" s="75"/>
      <c r="D645" s="75"/>
      <c r="E645" s="43"/>
      <c r="F645" s="43"/>
    </row>
    <row r="646" spans="1:6" ht="14.25" customHeight="1">
      <c r="A646" s="75"/>
      <c r="B646" s="75"/>
      <c r="C646" s="75"/>
      <c r="D646" s="75"/>
      <c r="E646" s="43"/>
      <c r="F646" s="43"/>
    </row>
    <row r="647" spans="1:6" ht="14.25" customHeight="1">
      <c r="A647" s="75"/>
      <c r="B647" s="75"/>
      <c r="C647" s="75"/>
      <c r="D647" s="75"/>
      <c r="E647" s="43"/>
      <c r="F647" s="43"/>
    </row>
    <row r="648" spans="1:6" ht="14.25" customHeight="1">
      <c r="A648" s="75"/>
      <c r="B648" s="75"/>
      <c r="C648" s="75"/>
      <c r="D648" s="75"/>
      <c r="E648" s="43"/>
      <c r="F648" s="43"/>
    </row>
    <row r="649" spans="1:6" ht="14.25" customHeight="1">
      <c r="A649" s="75"/>
      <c r="B649" s="75"/>
      <c r="C649" s="75"/>
      <c r="D649" s="75"/>
      <c r="E649" s="43"/>
      <c r="F649" s="43"/>
    </row>
    <row r="650" spans="1:6" ht="14.25" customHeight="1">
      <c r="A650" s="75"/>
      <c r="B650" s="75"/>
      <c r="C650" s="75"/>
      <c r="D650" s="75"/>
      <c r="E650" s="43"/>
      <c r="F650" s="43"/>
    </row>
    <row r="651" spans="1:6" ht="14.25" customHeight="1">
      <c r="A651" s="75"/>
      <c r="B651" s="75"/>
      <c r="C651" s="75"/>
      <c r="D651" s="75"/>
      <c r="E651" s="43"/>
      <c r="F651" s="43"/>
    </row>
    <row r="652" spans="1:6" ht="14.25" customHeight="1">
      <c r="A652" s="75"/>
      <c r="B652" s="75"/>
      <c r="C652" s="75"/>
      <c r="D652" s="75"/>
      <c r="E652" s="43"/>
      <c r="F652" s="43"/>
    </row>
    <row r="653" spans="1:6" ht="14.25" customHeight="1">
      <c r="A653" s="75"/>
      <c r="B653" s="75"/>
      <c r="C653" s="75"/>
      <c r="D653" s="75"/>
      <c r="E653" s="43"/>
      <c r="F653" s="43"/>
    </row>
    <row r="654" spans="1:6" ht="14.25" customHeight="1">
      <c r="A654" s="75"/>
      <c r="B654" s="75"/>
      <c r="C654" s="75"/>
      <c r="D654" s="75"/>
      <c r="E654" s="43"/>
      <c r="F654" s="43"/>
    </row>
    <row r="655" spans="1:6" ht="14.25" customHeight="1">
      <c r="A655" s="75"/>
      <c r="B655" s="75"/>
      <c r="C655" s="75"/>
      <c r="D655" s="75"/>
      <c r="E655" s="43"/>
      <c r="F655" s="43"/>
    </row>
    <row r="656" spans="1:6" ht="14.25" customHeight="1">
      <c r="A656" s="75"/>
      <c r="B656" s="75"/>
      <c r="C656" s="75"/>
      <c r="D656" s="75"/>
      <c r="E656" s="43"/>
      <c r="F656" s="43"/>
    </row>
    <row r="657" spans="1:6" ht="14.25" customHeight="1">
      <c r="A657" s="75"/>
      <c r="B657" s="75"/>
      <c r="C657" s="75"/>
      <c r="D657" s="75"/>
      <c r="E657" s="43"/>
      <c r="F657" s="43"/>
    </row>
    <row r="658" spans="1:6" ht="14.25" customHeight="1">
      <c r="A658" s="75"/>
      <c r="B658" s="75"/>
      <c r="C658" s="75"/>
      <c r="D658" s="75"/>
      <c r="E658" s="43"/>
      <c r="F658" s="43"/>
    </row>
    <row r="659" spans="1:6" ht="14.25" customHeight="1">
      <c r="A659" s="75"/>
      <c r="B659" s="75"/>
      <c r="C659" s="75"/>
      <c r="D659" s="75"/>
      <c r="E659" s="43"/>
      <c r="F659" s="43"/>
    </row>
    <row r="660" spans="1:6" ht="14.25" customHeight="1">
      <c r="A660" s="75"/>
      <c r="B660" s="75"/>
      <c r="C660" s="75"/>
      <c r="D660" s="75"/>
      <c r="E660" s="43"/>
      <c r="F660" s="43"/>
    </row>
    <row r="661" spans="1:6" ht="14.25" customHeight="1">
      <c r="A661" s="75"/>
      <c r="B661" s="75"/>
      <c r="C661" s="75"/>
      <c r="D661" s="75"/>
      <c r="E661" s="43"/>
      <c r="F661" s="43"/>
    </row>
    <row r="662" spans="1:6" ht="14.25" customHeight="1">
      <c r="A662" s="75"/>
      <c r="B662" s="75"/>
      <c r="C662" s="75"/>
      <c r="D662" s="75"/>
      <c r="E662" s="43"/>
      <c r="F662" s="43"/>
    </row>
    <row r="663" spans="1:6" ht="14.25" customHeight="1">
      <c r="A663" s="75"/>
      <c r="B663" s="75"/>
      <c r="C663" s="75"/>
      <c r="D663" s="75"/>
      <c r="E663" s="43"/>
      <c r="F663" s="43"/>
    </row>
    <row r="664" spans="1:6" ht="14.25" customHeight="1">
      <c r="A664" s="75"/>
      <c r="B664" s="75"/>
      <c r="C664" s="75"/>
      <c r="D664" s="75"/>
      <c r="E664" s="43"/>
      <c r="F664" s="43"/>
    </row>
    <row r="665" spans="1:6" ht="14.25" customHeight="1">
      <c r="A665" s="75"/>
      <c r="B665" s="75"/>
      <c r="C665" s="75"/>
      <c r="D665" s="75"/>
      <c r="E665" s="43"/>
      <c r="F665" s="43"/>
    </row>
    <row r="666" spans="1:6" ht="14.25" customHeight="1">
      <c r="A666" s="75"/>
      <c r="B666" s="75"/>
      <c r="C666" s="75"/>
      <c r="D666" s="75"/>
      <c r="E666" s="43"/>
      <c r="F666" s="43"/>
    </row>
    <row r="667" spans="1:6" ht="14.25" customHeight="1">
      <c r="A667" s="75"/>
      <c r="B667" s="75"/>
      <c r="C667" s="75"/>
      <c r="D667" s="75"/>
      <c r="E667" s="43"/>
      <c r="F667" s="43"/>
    </row>
    <row r="668" spans="1:6" ht="14.25" customHeight="1">
      <c r="A668" s="75"/>
      <c r="B668" s="75"/>
      <c r="C668" s="75"/>
      <c r="D668" s="75"/>
      <c r="E668" s="43"/>
      <c r="F668" s="43"/>
    </row>
    <row r="669" spans="1:6" ht="14.25" customHeight="1">
      <c r="A669" s="75"/>
      <c r="B669" s="75"/>
      <c r="C669" s="75"/>
      <c r="D669" s="75"/>
      <c r="E669" s="43"/>
      <c r="F669" s="43"/>
    </row>
    <row r="670" spans="1:6" ht="14.25" customHeight="1">
      <c r="A670" s="75"/>
      <c r="B670" s="75"/>
      <c r="C670" s="75"/>
      <c r="D670" s="75"/>
      <c r="E670" s="43"/>
      <c r="F670" s="43"/>
    </row>
    <row r="671" spans="1:6" ht="14.25" customHeight="1">
      <c r="A671" s="75"/>
      <c r="B671" s="75"/>
      <c r="C671" s="75"/>
      <c r="D671" s="75"/>
      <c r="E671" s="43"/>
      <c r="F671" s="43"/>
    </row>
    <row r="672" spans="1:6" ht="14.25" customHeight="1">
      <c r="A672" s="75"/>
      <c r="B672" s="75"/>
      <c r="C672" s="75"/>
      <c r="D672" s="75"/>
      <c r="E672" s="43"/>
      <c r="F672" s="43"/>
    </row>
    <row r="673" spans="1:6" ht="14.25" customHeight="1">
      <c r="A673" s="75"/>
      <c r="B673" s="75"/>
      <c r="C673" s="75"/>
      <c r="D673" s="75"/>
      <c r="E673" s="43"/>
      <c r="F673" s="43"/>
    </row>
    <row r="674" spans="1:6" ht="14.25" customHeight="1">
      <c r="A674" s="75"/>
      <c r="B674" s="75"/>
      <c r="C674" s="75"/>
      <c r="D674" s="75"/>
      <c r="E674" s="43"/>
      <c r="F674" s="43"/>
    </row>
    <row r="675" spans="1:6" ht="14.25" customHeight="1">
      <c r="A675" s="75"/>
      <c r="B675" s="75"/>
      <c r="C675" s="75"/>
      <c r="D675" s="75"/>
      <c r="E675" s="43"/>
      <c r="F675" s="43"/>
    </row>
    <row r="676" spans="1:6" ht="14.25" customHeight="1">
      <c r="A676" s="75"/>
      <c r="B676" s="75"/>
      <c r="C676" s="75"/>
      <c r="D676" s="75"/>
      <c r="E676" s="43"/>
      <c r="F676" s="43"/>
    </row>
    <row r="677" spans="1:6" ht="14.25" customHeight="1">
      <c r="A677" s="75"/>
      <c r="B677" s="75"/>
      <c r="C677" s="75"/>
      <c r="D677" s="75"/>
      <c r="E677" s="43"/>
      <c r="F677" s="43"/>
    </row>
    <row r="678" spans="1:6" ht="14.25" customHeight="1">
      <c r="A678" s="75"/>
      <c r="B678" s="75"/>
      <c r="C678" s="75"/>
      <c r="D678" s="75"/>
      <c r="E678" s="43"/>
      <c r="F678" s="43"/>
    </row>
    <row r="679" spans="1:6" ht="14.25" customHeight="1">
      <c r="A679" s="75"/>
      <c r="B679" s="75"/>
      <c r="C679" s="75"/>
      <c r="D679" s="75"/>
      <c r="E679" s="43"/>
      <c r="F679" s="43"/>
    </row>
    <row r="680" spans="1:6" ht="14.25" customHeight="1">
      <c r="A680" s="75"/>
      <c r="B680" s="75"/>
      <c r="C680" s="75"/>
      <c r="D680" s="75"/>
      <c r="E680" s="43"/>
      <c r="F680" s="43"/>
    </row>
    <row r="681" spans="1:6" ht="14.25" customHeight="1">
      <c r="A681" s="75"/>
      <c r="B681" s="75"/>
      <c r="C681" s="75"/>
      <c r="D681" s="75"/>
      <c r="E681" s="43"/>
      <c r="F681" s="43"/>
    </row>
    <row r="682" spans="1:6" ht="14.25" customHeight="1">
      <c r="A682" s="75"/>
      <c r="B682" s="75"/>
      <c r="C682" s="75"/>
      <c r="D682" s="75"/>
      <c r="E682" s="43"/>
      <c r="F682" s="43"/>
    </row>
    <row r="683" spans="1:6" ht="14.25" customHeight="1">
      <c r="A683" s="75"/>
      <c r="B683" s="75"/>
      <c r="C683" s="75"/>
      <c r="D683" s="75"/>
      <c r="E683" s="43"/>
      <c r="F683" s="43"/>
    </row>
    <row r="684" spans="1:6" ht="14.25" customHeight="1">
      <c r="A684" s="75"/>
      <c r="B684" s="75"/>
      <c r="C684" s="75"/>
      <c r="D684" s="75"/>
      <c r="E684" s="43"/>
      <c r="F684" s="43"/>
    </row>
    <row r="685" spans="1:6" ht="14.25" customHeight="1">
      <c r="A685" s="75"/>
      <c r="B685" s="75"/>
      <c r="C685" s="75"/>
      <c r="D685" s="75"/>
      <c r="E685" s="43"/>
      <c r="F685" s="43"/>
    </row>
    <row r="686" spans="1:6" ht="14.25" customHeight="1">
      <c r="A686" s="75"/>
      <c r="B686" s="75"/>
      <c r="C686" s="75"/>
      <c r="D686" s="75"/>
      <c r="E686" s="43"/>
      <c r="F686" s="43"/>
    </row>
    <row r="687" spans="1:6" ht="14.25" customHeight="1">
      <c r="A687" s="75"/>
      <c r="B687" s="75"/>
      <c r="C687" s="75"/>
      <c r="D687" s="75"/>
      <c r="E687" s="43"/>
      <c r="F687" s="43"/>
    </row>
    <row r="688" spans="1:6" ht="14.25" customHeight="1">
      <c r="A688" s="75"/>
      <c r="B688" s="75"/>
      <c r="C688" s="75"/>
      <c r="D688" s="75"/>
      <c r="E688" s="43"/>
      <c r="F688" s="43"/>
    </row>
    <row r="689" spans="1:6" ht="14.25" customHeight="1">
      <c r="A689" s="75"/>
      <c r="B689" s="75"/>
      <c r="C689" s="75"/>
      <c r="D689" s="75"/>
      <c r="E689" s="43"/>
      <c r="F689" s="43"/>
    </row>
    <row r="690" spans="1:6" ht="14.25" customHeight="1">
      <c r="A690" s="75"/>
      <c r="B690" s="75"/>
      <c r="C690" s="75"/>
      <c r="D690" s="75"/>
      <c r="E690" s="43"/>
      <c r="F690" s="43"/>
    </row>
    <row r="691" spans="1:6" ht="14.25" customHeight="1">
      <c r="A691" s="75"/>
      <c r="B691" s="75"/>
      <c r="C691" s="75"/>
      <c r="D691" s="75"/>
      <c r="E691" s="43"/>
      <c r="F691" s="43"/>
    </row>
    <row r="692" spans="1:6" ht="14.25" customHeight="1">
      <c r="A692" s="75"/>
      <c r="B692" s="75"/>
      <c r="C692" s="75"/>
      <c r="D692" s="75"/>
      <c r="E692" s="43"/>
      <c r="F692" s="43"/>
    </row>
    <row r="693" spans="1:6" ht="14.25" customHeight="1">
      <c r="A693" s="75"/>
      <c r="B693" s="75"/>
      <c r="C693" s="75"/>
      <c r="D693" s="75"/>
      <c r="E693" s="43"/>
      <c r="F693" s="43"/>
    </row>
    <row r="694" spans="1:6" ht="14.25" customHeight="1">
      <c r="A694" s="75"/>
      <c r="B694" s="75"/>
      <c r="C694" s="75"/>
      <c r="D694" s="75"/>
      <c r="E694" s="43"/>
      <c r="F694" s="43"/>
    </row>
    <row r="695" spans="1:6" ht="14.25" customHeight="1">
      <c r="A695" s="75"/>
      <c r="B695" s="75"/>
      <c r="C695" s="75"/>
      <c r="D695" s="75"/>
      <c r="E695" s="43"/>
      <c r="F695" s="43"/>
    </row>
    <row r="696" spans="1:6" ht="14.25" customHeight="1">
      <c r="A696" s="75"/>
      <c r="B696" s="75"/>
      <c r="C696" s="75"/>
      <c r="D696" s="75"/>
      <c r="E696" s="43"/>
      <c r="F696" s="43"/>
    </row>
    <row r="697" spans="1:6" ht="14.25" customHeight="1">
      <c r="A697" s="75"/>
      <c r="B697" s="75"/>
      <c r="C697" s="75"/>
      <c r="D697" s="75"/>
      <c r="E697" s="43"/>
      <c r="F697" s="43"/>
    </row>
    <row r="698" spans="1:6" ht="14.25" customHeight="1">
      <c r="A698" s="75"/>
      <c r="B698" s="75"/>
      <c r="C698" s="75"/>
      <c r="D698" s="75"/>
      <c r="E698" s="43"/>
      <c r="F698" s="43"/>
    </row>
    <row r="699" spans="1:6" ht="14.25" customHeight="1">
      <c r="A699" s="75"/>
      <c r="B699" s="75"/>
      <c r="C699" s="75"/>
      <c r="D699" s="75"/>
      <c r="E699" s="43"/>
      <c r="F699" s="43"/>
    </row>
    <row r="700" spans="1:6" ht="14.25" customHeight="1">
      <c r="A700" s="75"/>
      <c r="B700" s="75"/>
      <c r="C700" s="75"/>
      <c r="D700" s="75"/>
      <c r="E700" s="43"/>
      <c r="F700" s="43"/>
    </row>
    <row r="701" spans="1:6" ht="14.25" customHeight="1">
      <c r="A701" s="75"/>
      <c r="B701" s="75"/>
      <c r="C701" s="75"/>
      <c r="D701" s="75"/>
      <c r="E701" s="43"/>
      <c r="F701" s="43"/>
    </row>
    <row r="702" spans="1:6" ht="14.25" customHeight="1">
      <c r="A702" s="75"/>
      <c r="B702" s="75"/>
      <c r="C702" s="75"/>
      <c r="D702" s="75"/>
      <c r="E702" s="43"/>
      <c r="F702" s="43"/>
    </row>
    <row r="703" spans="1:6" ht="14.25" customHeight="1">
      <c r="A703" s="75"/>
      <c r="B703" s="75"/>
      <c r="C703" s="75"/>
      <c r="D703" s="75"/>
      <c r="E703" s="43"/>
      <c r="F703" s="43"/>
    </row>
    <row r="704" spans="1:6" ht="14.25" customHeight="1">
      <c r="A704" s="75"/>
      <c r="B704" s="75"/>
      <c r="C704" s="75"/>
      <c r="D704" s="75"/>
      <c r="E704" s="43"/>
      <c r="F704" s="43"/>
    </row>
    <row r="705" spans="1:6" ht="14.25" customHeight="1">
      <c r="A705" s="75"/>
      <c r="B705" s="75"/>
      <c r="C705" s="75"/>
      <c r="D705" s="75"/>
      <c r="E705" s="43"/>
      <c r="F705" s="43"/>
    </row>
    <row r="706" spans="1:6" ht="14.25" customHeight="1">
      <c r="A706" s="75"/>
      <c r="B706" s="75"/>
      <c r="C706" s="75"/>
      <c r="D706" s="75"/>
      <c r="E706" s="43"/>
      <c r="F706" s="43"/>
    </row>
    <row r="707" spans="1:6" ht="14.25" customHeight="1">
      <c r="A707" s="75"/>
      <c r="B707" s="75"/>
      <c r="C707" s="75"/>
      <c r="D707" s="75"/>
      <c r="E707" s="43"/>
      <c r="F707" s="43"/>
    </row>
    <row r="708" spans="1:6" ht="14.25" customHeight="1">
      <c r="A708" s="75"/>
      <c r="B708" s="75"/>
      <c r="C708" s="75"/>
      <c r="D708" s="75"/>
      <c r="E708" s="43"/>
      <c r="F708" s="43"/>
    </row>
    <row r="709" spans="1:6" ht="14.25" customHeight="1">
      <c r="A709" s="75"/>
      <c r="B709" s="75"/>
      <c r="C709" s="75"/>
      <c r="D709" s="75"/>
      <c r="E709" s="43"/>
      <c r="F709" s="43"/>
    </row>
    <row r="710" spans="1:6" ht="14.25" customHeight="1">
      <c r="A710" s="75"/>
      <c r="B710" s="75"/>
      <c r="C710" s="75"/>
      <c r="D710" s="75"/>
      <c r="E710" s="43"/>
      <c r="F710" s="43"/>
    </row>
    <row r="711" spans="1:6" ht="14.25" customHeight="1">
      <c r="A711" s="75"/>
      <c r="B711" s="75"/>
      <c r="C711" s="75"/>
      <c r="D711" s="75"/>
      <c r="E711" s="43"/>
      <c r="F711" s="43"/>
    </row>
    <row r="712" spans="1:6" ht="14.25" customHeight="1">
      <c r="A712" s="75"/>
      <c r="B712" s="75"/>
      <c r="C712" s="75"/>
      <c r="D712" s="75"/>
      <c r="E712" s="43"/>
      <c r="F712" s="43"/>
    </row>
    <row r="713" spans="1:6" ht="14.25" customHeight="1">
      <c r="A713" s="75"/>
      <c r="B713" s="75"/>
      <c r="C713" s="75"/>
      <c r="D713" s="75"/>
      <c r="E713" s="43"/>
      <c r="F713" s="43"/>
    </row>
    <row r="714" spans="1:6" ht="14.25" customHeight="1">
      <c r="A714" s="75"/>
      <c r="B714" s="75"/>
      <c r="C714" s="75"/>
      <c r="D714" s="75"/>
      <c r="E714" s="43"/>
      <c r="F714" s="43"/>
    </row>
    <row r="715" spans="1:6" ht="14.25" customHeight="1">
      <c r="A715" s="75"/>
      <c r="B715" s="75"/>
      <c r="C715" s="75"/>
      <c r="D715" s="75"/>
      <c r="E715" s="43"/>
      <c r="F715" s="43"/>
    </row>
    <row r="716" spans="1:6" ht="14.25" customHeight="1">
      <c r="A716" s="75"/>
      <c r="B716" s="75"/>
      <c r="C716" s="75"/>
      <c r="D716" s="75"/>
      <c r="E716" s="43"/>
      <c r="F716" s="43"/>
    </row>
    <row r="717" spans="1:6" ht="14.25" customHeight="1">
      <c r="A717" s="75"/>
      <c r="B717" s="75"/>
      <c r="C717" s="75"/>
      <c r="D717" s="75"/>
      <c r="E717" s="43"/>
      <c r="F717" s="43"/>
    </row>
    <row r="718" spans="1:6" ht="14.25" customHeight="1">
      <c r="A718" s="75"/>
      <c r="B718" s="75"/>
      <c r="C718" s="75"/>
      <c r="D718" s="75"/>
      <c r="E718" s="43"/>
      <c r="F718" s="43"/>
    </row>
    <row r="719" spans="1:6" ht="14.25" customHeight="1">
      <c r="A719" s="75"/>
      <c r="B719" s="75"/>
      <c r="C719" s="75"/>
      <c r="D719" s="75"/>
      <c r="E719" s="43"/>
      <c r="F719" s="43"/>
    </row>
    <row r="720" spans="1:6" ht="14.25" customHeight="1">
      <c r="A720" s="75"/>
      <c r="B720" s="75"/>
      <c r="C720" s="75"/>
      <c r="D720" s="75"/>
      <c r="E720" s="43"/>
      <c r="F720" s="43"/>
    </row>
    <row r="721" spans="1:6" ht="14.25" customHeight="1">
      <c r="A721" s="75"/>
      <c r="B721" s="75"/>
      <c r="C721" s="75"/>
      <c r="D721" s="75"/>
      <c r="E721" s="43"/>
      <c r="F721" s="43"/>
    </row>
    <row r="722" spans="1:6" ht="14.25" customHeight="1">
      <c r="A722" s="75"/>
      <c r="B722" s="75"/>
      <c r="C722" s="75"/>
      <c r="D722" s="75"/>
      <c r="E722" s="43"/>
      <c r="F722" s="43"/>
    </row>
    <row r="723" spans="1:6" ht="14.25" customHeight="1">
      <c r="A723" s="75"/>
      <c r="B723" s="75"/>
      <c r="C723" s="75"/>
      <c r="D723" s="75"/>
      <c r="E723" s="43"/>
      <c r="F723" s="43"/>
    </row>
    <row r="724" spans="1:6" ht="14.25" customHeight="1">
      <c r="A724" s="75"/>
      <c r="B724" s="75"/>
      <c r="C724" s="75"/>
      <c r="D724" s="75"/>
      <c r="E724" s="43"/>
      <c r="F724" s="43"/>
    </row>
    <row r="725" spans="1:6" ht="14.25" customHeight="1">
      <c r="A725" s="75"/>
      <c r="B725" s="75"/>
      <c r="C725" s="75"/>
      <c r="D725" s="75"/>
      <c r="E725" s="43"/>
      <c r="F725" s="43"/>
    </row>
    <row r="726" spans="1:6" ht="14.25" customHeight="1">
      <c r="A726" s="75"/>
      <c r="B726" s="75"/>
      <c r="C726" s="75"/>
      <c r="D726" s="75"/>
      <c r="E726" s="43"/>
      <c r="F726" s="43"/>
    </row>
    <row r="727" spans="1:6" ht="14.25" customHeight="1">
      <c r="A727" s="75"/>
      <c r="B727" s="75"/>
      <c r="C727" s="75"/>
      <c r="D727" s="75"/>
      <c r="E727" s="43"/>
      <c r="F727" s="43"/>
    </row>
    <row r="728" spans="1:6" ht="14.25" customHeight="1">
      <c r="A728" s="75"/>
      <c r="B728" s="75"/>
      <c r="C728" s="75"/>
      <c r="D728" s="75"/>
      <c r="E728" s="43"/>
      <c r="F728" s="43"/>
    </row>
    <row r="729" spans="1:6" ht="14.25" customHeight="1">
      <c r="A729" s="75"/>
      <c r="B729" s="75"/>
      <c r="C729" s="75"/>
      <c r="D729" s="75"/>
      <c r="E729" s="43"/>
      <c r="F729" s="43"/>
    </row>
    <row r="730" spans="1:6" ht="14.25" customHeight="1">
      <c r="A730" s="75"/>
      <c r="B730" s="75"/>
      <c r="C730" s="75"/>
      <c r="D730" s="75"/>
      <c r="E730" s="43"/>
      <c r="F730" s="43"/>
    </row>
    <row r="731" spans="1:6" ht="14.25" customHeight="1">
      <c r="A731" s="75"/>
      <c r="B731" s="75"/>
      <c r="C731" s="75"/>
      <c r="D731" s="75"/>
      <c r="E731" s="43"/>
      <c r="F731" s="43"/>
    </row>
    <row r="732" spans="1:6" ht="14.25" customHeight="1">
      <c r="A732" s="75"/>
      <c r="B732" s="75"/>
      <c r="C732" s="75"/>
      <c r="D732" s="75"/>
      <c r="E732" s="43"/>
      <c r="F732" s="43"/>
    </row>
    <row r="733" spans="1:6" ht="14.25" customHeight="1">
      <c r="A733" s="75"/>
      <c r="B733" s="75"/>
      <c r="C733" s="75"/>
      <c r="D733" s="75"/>
      <c r="E733" s="43"/>
      <c r="F733" s="43"/>
    </row>
    <row r="734" spans="1:6" ht="14.25" customHeight="1">
      <c r="A734" s="75"/>
      <c r="B734" s="75"/>
      <c r="C734" s="75"/>
      <c r="D734" s="75"/>
      <c r="E734" s="43"/>
      <c r="F734" s="43"/>
    </row>
    <row r="735" spans="1:6" ht="14.25" customHeight="1">
      <c r="A735" s="75"/>
      <c r="B735" s="75"/>
      <c r="C735" s="75"/>
      <c r="D735" s="75"/>
      <c r="E735" s="43"/>
      <c r="F735" s="43"/>
    </row>
    <row r="736" spans="1:6" ht="14.25" customHeight="1">
      <c r="A736" s="75"/>
      <c r="B736" s="75"/>
      <c r="C736" s="75"/>
      <c r="D736" s="75"/>
      <c r="E736" s="43"/>
      <c r="F736" s="43"/>
    </row>
    <row r="737" spans="1:6" ht="14.25" customHeight="1">
      <c r="A737" s="75"/>
      <c r="B737" s="75"/>
      <c r="C737" s="75"/>
      <c r="D737" s="75"/>
      <c r="E737" s="43"/>
      <c r="F737" s="43"/>
    </row>
    <row r="738" spans="1:6" ht="14.25" customHeight="1">
      <c r="A738" s="75"/>
      <c r="B738" s="75"/>
      <c r="C738" s="75"/>
      <c r="D738" s="75"/>
      <c r="E738" s="43"/>
      <c r="F738" s="43"/>
    </row>
    <row r="739" spans="1:6" ht="14.25" customHeight="1">
      <c r="A739" s="75"/>
      <c r="B739" s="75"/>
      <c r="C739" s="75"/>
      <c r="D739" s="75"/>
      <c r="E739" s="43"/>
      <c r="F739" s="43"/>
    </row>
    <row r="740" spans="1:6" ht="14.25" customHeight="1">
      <c r="A740" s="75"/>
      <c r="B740" s="75"/>
      <c r="C740" s="75"/>
      <c r="D740" s="75"/>
      <c r="E740" s="43"/>
      <c r="F740" s="43"/>
    </row>
    <row r="741" spans="1:6" ht="14.25" customHeight="1">
      <c r="A741" s="75"/>
      <c r="B741" s="75"/>
      <c r="C741" s="75"/>
      <c r="D741" s="75"/>
      <c r="E741" s="43"/>
      <c r="F741" s="43"/>
    </row>
    <row r="742" spans="1:6" ht="14.25" customHeight="1">
      <c r="A742" s="75"/>
      <c r="B742" s="75"/>
      <c r="C742" s="75"/>
      <c r="D742" s="75"/>
      <c r="E742" s="43"/>
      <c r="F742" s="43"/>
    </row>
    <row r="743" spans="1:6" ht="14.25" customHeight="1">
      <c r="A743" s="75"/>
      <c r="B743" s="75"/>
      <c r="C743" s="75"/>
      <c r="D743" s="75"/>
      <c r="E743" s="43"/>
      <c r="F743" s="43"/>
    </row>
    <row r="744" spans="1:6" ht="14.25" customHeight="1">
      <c r="A744" s="75"/>
      <c r="B744" s="75"/>
      <c r="C744" s="75"/>
      <c r="D744" s="75"/>
      <c r="E744" s="43"/>
      <c r="F744" s="43"/>
    </row>
    <row r="745" spans="1:6" ht="14.25" customHeight="1">
      <c r="A745" s="75"/>
      <c r="B745" s="75"/>
      <c r="C745" s="75"/>
      <c r="D745" s="75"/>
      <c r="E745" s="43"/>
      <c r="F745" s="43"/>
    </row>
    <row r="746" spans="1:6" ht="14.25" customHeight="1">
      <c r="A746" s="75"/>
      <c r="B746" s="75"/>
      <c r="C746" s="75"/>
      <c r="D746" s="75"/>
      <c r="E746" s="43"/>
      <c r="F746" s="43"/>
    </row>
    <row r="747" spans="1:6" ht="14.25" customHeight="1">
      <c r="A747" s="75"/>
      <c r="B747" s="75"/>
      <c r="C747" s="75"/>
      <c r="D747" s="75"/>
      <c r="E747" s="43"/>
      <c r="F747" s="43"/>
    </row>
    <row r="748" spans="1:6" ht="14.25" customHeight="1">
      <c r="A748" s="75"/>
      <c r="B748" s="75"/>
      <c r="C748" s="75"/>
      <c r="D748" s="75"/>
      <c r="E748" s="43"/>
      <c r="F748" s="43"/>
    </row>
    <row r="749" spans="1:6" ht="14.25" customHeight="1">
      <c r="A749" s="75"/>
      <c r="B749" s="75"/>
      <c r="C749" s="75"/>
      <c r="D749" s="75"/>
      <c r="E749" s="43"/>
      <c r="F749" s="43"/>
    </row>
    <row r="750" spans="1:6" ht="14.25" customHeight="1">
      <c r="A750" s="75"/>
      <c r="B750" s="75"/>
      <c r="C750" s="75"/>
      <c r="D750" s="75"/>
      <c r="E750" s="43"/>
      <c r="F750" s="43"/>
    </row>
    <row r="751" spans="1:6" ht="14.25" customHeight="1">
      <c r="A751" s="75"/>
      <c r="B751" s="75"/>
      <c r="C751" s="75"/>
      <c r="D751" s="75"/>
      <c r="E751" s="43"/>
      <c r="F751" s="43"/>
    </row>
    <row r="752" spans="1:6" ht="14.25" customHeight="1">
      <c r="A752" s="75"/>
      <c r="B752" s="75"/>
      <c r="C752" s="75"/>
      <c r="D752" s="75"/>
      <c r="E752" s="43"/>
      <c r="F752" s="43"/>
    </row>
    <row r="753" spans="1:6" ht="14.25" customHeight="1">
      <c r="A753" s="75"/>
      <c r="B753" s="75"/>
      <c r="C753" s="75"/>
      <c r="D753" s="75"/>
      <c r="E753" s="43"/>
      <c r="F753" s="43"/>
    </row>
    <row r="754" spans="1:6" ht="14.25" customHeight="1">
      <c r="A754" s="75"/>
      <c r="B754" s="75"/>
      <c r="C754" s="75"/>
      <c r="D754" s="75"/>
      <c r="E754" s="43"/>
      <c r="F754" s="43"/>
    </row>
    <row r="755" spans="1:6" ht="14.25" customHeight="1">
      <c r="A755" s="75"/>
      <c r="B755" s="75"/>
      <c r="C755" s="75"/>
      <c r="D755" s="75"/>
      <c r="E755" s="43"/>
      <c r="F755" s="43"/>
    </row>
    <row r="756" spans="1:6" ht="14.25" customHeight="1">
      <c r="A756" s="75"/>
      <c r="B756" s="75"/>
      <c r="C756" s="75"/>
      <c r="D756" s="75"/>
      <c r="E756" s="43"/>
      <c r="F756" s="43"/>
    </row>
    <row r="757" spans="1:6" ht="14.25" customHeight="1">
      <c r="A757" s="75"/>
      <c r="B757" s="75"/>
      <c r="C757" s="75"/>
      <c r="D757" s="75"/>
      <c r="E757" s="43"/>
      <c r="F757" s="43"/>
    </row>
    <row r="758" spans="1:6" ht="14.25" customHeight="1">
      <c r="A758" s="75"/>
      <c r="B758" s="75"/>
      <c r="C758" s="75"/>
      <c r="D758" s="75"/>
      <c r="E758" s="43"/>
      <c r="F758" s="43"/>
    </row>
    <row r="759" spans="1:6" ht="14.25" customHeight="1">
      <c r="A759" s="75"/>
      <c r="B759" s="75"/>
      <c r="C759" s="75"/>
      <c r="D759" s="75"/>
      <c r="E759" s="43"/>
      <c r="F759" s="43"/>
    </row>
    <row r="760" spans="1:6" ht="14.25" customHeight="1">
      <c r="A760" s="75"/>
      <c r="B760" s="75"/>
      <c r="C760" s="75"/>
      <c r="D760" s="75"/>
      <c r="E760" s="43"/>
      <c r="F760" s="43"/>
    </row>
    <row r="761" spans="1:6" ht="14.25" customHeight="1">
      <c r="A761" s="75"/>
      <c r="B761" s="75"/>
      <c r="C761" s="75"/>
      <c r="D761" s="75"/>
      <c r="E761" s="43"/>
      <c r="F761" s="43"/>
    </row>
    <row r="762" spans="1:6" ht="14.25" customHeight="1">
      <c r="A762" s="75"/>
      <c r="B762" s="75"/>
      <c r="C762" s="75"/>
      <c r="D762" s="75"/>
      <c r="E762" s="43"/>
      <c r="F762" s="43"/>
    </row>
    <row r="763" spans="1:6" ht="14.25" customHeight="1">
      <c r="A763" s="75"/>
      <c r="B763" s="75"/>
      <c r="C763" s="75"/>
      <c r="D763" s="75"/>
      <c r="E763" s="43"/>
      <c r="F763" s="43"/>
    </row>
    <row r="764" spans="1:6" ht="14.25" customHeight="1">
      <c r="A764" s="75"/>
      <c r="B764" s="75"/>
      <c r="C764" s="75"/>
      <c r="D764" s="75"/>
      <c r="E764" s="43"/>
      <c r="F764" s="43"/>
    </row>
    <row r="765" spans="1:6" ht="14.25" customHeight="1">
      <c r="A765" s="75"/>
      <c r="B765" s="75"/>
      <c r="C765" s="75"/>
      <c r="D765" s="75"/>
      <c r="E765" s="43"/>
      <c r="F765" s="43"/>
    </row>
    <row r="766" spans="1:6" ht="14.25" customHeight="1">
      <c r="A766" s="75"/>
      <c r="B766" s="75"/>
      <c r="C766" s="75"/>
      <c r="D766" s="75"/>
      <c r="E766" s="43"/>
      <c r="F766" s="43"/>
    </row>
    <row r="767" spans="1:6" ht="14.25" customHeight="1">
      <c r="A767" s="75"/>
      <c r="B767" s="75"/>
      <c r="C767" s="75"/>
      <c r="D767" s="75"/>
      <c r="E767" s="43"/>
      <c r="F767" s="43"/>
    </row>
    <row r="768" spans="1:6" ht="14.25" customHeight="1">
      <c r="A768" s="75"/>
      <c r="B768" s="75"/>
      <c r="C768" s="75"/>
      <c r="D768" s="75"/>
      <c r="E768" s="43"/>
      <c r="F768" s="43"/>
    </row>
    <row r="769" spans="1:6" ht="14.25" customHeight="1">
      <c r="A769" s="75"/>
      <c r="B769" s="75"/>
      <c r="C769" s="75"/>
      <c r="D769" s="75"/>
      <c r="E769" s="43"/>
      <c r="F769" s="43"/>
    </row>
    <row r="770" spans="1:6" ht="14.25" customHeight="1">
      <c r="A770" s="75"/>
      <c r="B770" s="75"/>
      <c r="C770" s="75"/>
      <c r="D770" s="75"/>
      <c r="E770" s="43"/>
      <c r="F770" s="43"/>
    </row>
    <row r="771" spans="1:6" ht="14.25" customHeight="1">
      <c r="A771" s="75"/>
      <c r="B771" s="75"/>
      <c r="C771" s="75"/>
      <c r="D771" s="75"/>
      <c r="E771" s="43"/>
      <c r="F771" s="43"/>
    </row>
    <row r="772" spans="1:6" ht="14.25" customHeight="1">
      <c r="A772" s="75"/>
      <c r="B772" s="75"/>
      <c r="C772" s="75"/>
      <c r="D772" s="75"/>
      <c r="E772" s="43"/>
      <c r="F772" s="43"/>
    </row>
    <row r="773" spans="1:6" ht="14.25" customHeight="1">
      <c r="A773" s="75"/>
      <c r="B773" s="75"/>
      <c r="C773" s="75"/>
      <c r="D773" s="75"/>
      <c r="E773" s="43"/>
      <c r="F773" s="43"/>
    </row>
    <row r="774" spans="1:6" ht="14.25" customHeight="1">
      <c r="A774" s="75"/>
      <c r="B774" s="75"/>
      <c r="C774" s="75"/>
      <c r="D774" s="75"/>
      <c r="E774" s="43"/>
      <c r="F774" s="43"/>
    </row>
    <row r="775" spans="1:6" ht="14.25" customHeight="1">
      <c r="A775" s="75"/>
      <c r="B775" s="75"/>
      <c r="C775" s="75"/>
      <c r="D775" s="75"/>
      <c r="E775" s="43"/>
      <c r="F775" s="43"/>
    </row>
    <row r="776" spans="1:6" ht="14.25" customHeight="1">
      <c r="A776" s="75"/>
      <c r="B776" s="75"/>
      <c r="C776" s="75"/>
      <c r="D776" s="75"/>
      <c r="E776" s="43"/>
      <c r="F776" s="43"/>
    </row>
    <row r="777" spans="1:6" ht="14.25" customHeight="1">
      <c r="A777" s="75"/>
      <c r="B777" s="75"/>
      <c r="C777" s="75"/>
      <c r="D777" s="75"/>
      <c r="E777" s="43"/>
      <c r="F777" s="43"/>
    </row>
    <row r="778" spans="1:6" ht="14.25" customHeight="1">
      <c r="A778" s="75"/>
      <c r="B778" s="75"/>
      <c r="C778" s="75"/>
      <c r="D778" s="75"/>
      <c r="E778" s="43"/>
      <c r="F778" s="43"/>
    </row>
    <row r="779" spans="1:6" ht="14.25" customHeight="1">
      <c r="A779" s="75"/>
      <c r="B779" s="75"/>
      <c r="C779" s="75"/>
      <c r="D779" s="75"/>
      <c r="E779" s="43"/>
      <c r="F779" s="43"/>
    </row>
    <row r="780" spans="1:6" ht="14.25" customHeight="1">
      <c r="A780" s="75"/>
      <c r="B780" s="75"/>
      <c r="C780" s="75"/>
      <c r="D780" s="75"/>
      <c r="E780" s="43"/>
      <c r="F780" s="43"/>
    </row>
    <row r="781" spans="1:6" ht="14.25" customHeight="1">
      <c r="A781" s="75"/>
      <c r="B781" s="75"/>
      <c r="C781" s="75"/>
      <c r="D781" s="75"/>
      <c r="E781" s="43"/>
      <c r="F781" s="43"/>
    </row>
    <row r="782" spans="1:6" ht="14.25" customHeight="1">
      <c r="A782" s="75"/>
      <c r="B782" s="75"/>
      <c r="C782" s="75"/>
      <c r="D782" s="75"/>
      <c r="E782" s="43"/>
      <c r="F782" s="43"/>
    </row>
    <row r="783" spans="1:6" ht="14.25" customHeight="1">
      <c r="A783" s="75"/>
      <c r="B783" s="75"/>
      <c r="C783" s="75"/>
      <c r="D783" s="75"/>
      <c r="E783" s="43"/>
      <c r="F783" s="43"/>
    </row>
    <row r="784" spans="1:6" ht="14.25" customHeight="1">
      <c r="A784" s="75"/>
      <c r="B784" s="75"/>
      <c r="C784" s="75"/>
      <c r="D784" s="75"/>
      <c r="E784" s="43"/>
      <c r="F784" s="43"/>
    </row>
    <row r="785" spans="1:6" ht="14.25" customHeight="1">
      <c r="A785" s="75"/>
      <c r="B785" s="75"/>
      <c r="C785" s="75"/>
      <c r="D785" s="75"/>
      <c r="E785" s="43"/>
      <c r="F785" s="43"/>
    </row>
    <row r="786" spans="1:6" ht="14.25" customHeight="1">
      <c r="A786" s="75"/>
      <c r="B786" s="75"/>
      <c r="C786" s="75"/>
      <c r="D786" s="75"/>
      <c r="E786" s="43"/>
      <c r="F786" s="43"/>
    </row>
    <row r="787" spans="1:6" ht="14.25" customHeight="1">
      <c r="A787" s="75"/>
      <c r="B787" s="75"/>
      <c r="C787" s="75"/>
      <c r="D787" s="75"/>
      <c r="E787" s="43"/>
      <c r="F787" s="43"/>
    </row>
    <row r="788" spans="1:6" ht="14.25" customHeight="1">
      <c r="A788" s="75"/>
      <c r="B788" s="75"/>
      <c r="C788" s="75"/>
      <c r="D788" s="75"/>
      <c r="E788" s="43"/>
      <c r="F788" s="43"/>
    </row>
    <row r="789" spans="1:6" ht="14.25" customHeight="1">
      <c r="A789" s="75"/>
      <c r="B789" s="75"/>
      <c r="C789" s="75"/>
      <c r="D789" s="75"/>
      <c r="E789" s="43"/>
      <c r="F789" s="43"/>
    </row>
    <row r="790" spans="1:6" ht="14.25" customHeight="1">
      <c r="A790" s="75"/>
      <c r="B790" s="75"/>
      <c r="C790" s="75"/>
      <c r="D790" s="75"/>
      <c r="E790" s="43"/>
      <c r="F790" s="43"/>
    </row>
    <row r="791" spans="1:6" ht="14.25" customHeight="1">
      <c r="A791" s="75"/>
      <c r="B791" s="75"/>
      <c r="C791" s="75"/>
      <c r="D791" s="75"/>
      <c r="E791" s="43"/>
      <c r="F791" s="43"/>
    </row>
    <row r="792" spans="1:6" ht="14.25" customHeight="1">
      <c r="A792" s="75"/>
      <c r="B792" s="75"/>
      <c r="C792" s="75"/>
      <c r="D792" s="75"/>
      <c r="E792" s="43"/>
      <c r="F792" s="43"/>
    </row>
    <row r="793" spans="1:6" ht="14.25" customHeight="1">
      <c r="A793" s="75"/>
      <c r="B793" s="75"/>
      <c r="C793" s="75"/>
      <c r="D793" s="75"/>
      <c r="E793" s="43"/>
      <c r="F793" s="43"/>
    </row>
    <row r="794" spans="1:6" ht="14.25" customHeight="1">
      <c r="A794" s="75"/>
      <c r="B794" s="75"/>
      <c r="C794" s="75"/>
      <c r="D794" s="75"/>
      <c r="E794" s="43"/>
      <c r="F794" s="43"/>
    </row>
    <row r="795" spans="1:6" ht="14.25" customHeight="1">
      <c r="A795" s="75"/>
      <c r="B795" s="75"/>
      <c r="C795" s="75"/>
      <c r="D795" s="75"/>
      <c r="E795" s="43"/>
      <c r="F795" s="43"/>
    </row>
    <row r="796" spans="1:6" ht="14.25" customHeight="1">
      <c r="A796" s="75"/>
      <c r="B796" s="75"/>
      <c r="C796" s="75"/>
      <c r="D796" s="75"/>
      <c r="E796" s="43"/>
      <c r="F796" s="43"/>
    </row>
    <row r="797" spans="1:6" ht="14.25" customHeight="1">
      <c r="A797" s="75"/>
      <c r="B797" s="75"/>
      <c r="C797" s="75"/>
      <c r="D797" s="75"/>
      <c r="E797" s="43"/>
      <c r="F797" s="43"/>
    </row>
    <row r="798" spans="1:6" ht="14.25" customHeight="1">
      <c r="A798" s="75"/>
      <c r="B798" s="75"/>
      <c r="C798" s="75"/>
      <c r="D798" s="75"/>
      <c r="E798" s="43"/>
      <c r="F798" s="43"/>
    </row>
    <row r="799" spans="1:6" ht="14.25" customHeight="1">
      <c r="A799" s="75"/>
      <c r="B799" s="75"/>
      <c r="C799" s="75"/>
      <c r="D799" s="75"/>
      <c r="E799" s="43"/>
      <c r="F799" s="43"/>
    </row>
    <row r="800" spans="1:6" ht="14.25" customHeight="1">
      <c r="A800" s="75"/>
      <c r="B800" s="75"/>
      <c r="C800" s="75"/>
      <c r="D800" s="75"/>
      <c r="E800" s="43"/>
      <c r="F800" s="43"/>
    </row>
    <row r="801" spans="1:6" ht="14.25" customHeight="1">
      <c r="A801" s="75"/>
      <c r="B801" s="75"/>
      <c r="C801" s="75"/>
      <c r="D801" s="75"/>
      <c r="E801" s="43"/>
      <c r="F801" s="43"/>
    </row>
    <row r="802" spans="1:6" ht="14.25" customHeight="1">
      <c r="A802" s="75"/>
      <c r="B802" s="75"/>
      <c r="C802" s="75"/>
      <c r="D802" s="75"/>
      <c r="E802" s="43"/>
      <c r="F802" s="43"/>
    </row>
    <row r="803" spans="1:6" ht="14.25" customHeight="1">
      <c r="A803" s="75"/>
      <c r="B803" s="75"/>
      <c r="C803" s="75"/>
      <c r="D803" s="75"/>
      <c r="E803" s="43"/>
      <c r="F803" s="43"/>
    </row>
    <row r="804" spans="1:6" ht="14.25" customHeight="1">
      <c r="A804" s="75"/>
      <c r="B804" s="75"/>
      <c r="C804" s="75"/>
      <c r="D804" s="75"/>
      <c r="E804" s="43"/>
      <c r="F804" s="43"/>
    </row>
    <row r="805" spans="1:6" ht="14.25" customHeight="1">
      <c r="A805" s="75"/>
      <c r="B805" s="75"/>
      <c r="C805" s="75"/>
      <c r="D805" s="75"/>
      <c r="E805" s="43"/>
      <c r="F805" s="43"/>
    </row>
    <row r="806" spans="1:6" ht="14.25" customHeight="1">
      <c r="A806" s="75"/>
      <c r="B806" s="75"/>
      <c r="C806" s="75"/>
      <c r="D806" s="75"/>
      <c r="E806" s="43"/>
      <c r="F806" s="43"/>
    </row>
    <row r="807" spans="1:6" ht="14.25" customHeight="1">
      <c r="A807" s="75"/>
      <c r="B807" s="75"/>
      <c r="C807" s="75"/>
      <c r="D807" s="75"/>
      <c r="E807" s="43"/>
      <c r="F807" s="43"/>
    </row>
    <row r="808" spans="1:6" ht="14.25" customHeight="1">
      <c r="A808" s="75"/>
      <c r="B808" s="75"/>
      <c r="C808" s="75"/>
      <c r="D808" s="75"/>
      <c r="E808" s="43"/>
      <c r="F808" s="43"/>
    </row>
    <row r="809" spans="1:6" ht="14.25" customHeight="1">
      <c r="A809" s="75"/>
      <c r="B809" s="75"/>
      <c r="C809" s="75"/>
      <c r="D809" s="75"/>
      <c r="E809" s="43"/>
      <c r="F809" s="43"/>
    </row>
    <row r="810" spans="1:6" ht="14.25" customHeight="1">
      <c r="A810" s="75"/>
      <c r="B810" s="75"/>
      <c r="C810" s="75"/>
      <c r="D810" s="75"/>
      <c r="E810" s="43"/>
      <c r="F810" s="43"/>
    </row>
    <row r="811" spans="1:6" ht="14.25" customHeight="1">
      <c r="A811" s="75"/>
      <c r="B811" s="75"/>
      <c r="C811" s="75"/>
      <c r="D811" s="75"/>
      <c r="E811" s="43"/>
      <c r="F811" s="43"/>
    </row>
    <row r="812" spans="1:6" ht="14.25" customHeight="1">
      <c r="A812" s="75"/>
      <c r="B812" s="75"/>
      <c r="C812" s="75"/>
      <c r="D812" s="75"/>
      <c r="E812" s="43"/>
      <c r="F812" s="43"/>
    </row>
    <row r="813" spans="1:6" ht="14.25" customHeight="1">
      <c r="A813" s="75"/>
      <c r="B813" s="75"/>
      <c r="C813" s="75"/>
      <c r="D813" s="75"/>
      <c r="E813" s="43"/>
      <c r="F813" s="43"/>
    </row>
    <row r="814" spans="1:6" ht="14.25" customHeight="1">
      <c r="A814" s="75"/>
      <c r="B814" s="75"/>
      <c r="C814" s="75"/>
      <c r="D814" s="75"/>
      <c r="E814" s="43"/>
      <c r="F814" s="43"/>
    </row>
    <row r="815" spans="1:6" ht="14.25" customHeight="1">
      <c r="A815" s="75"/>
      <c r="B815" s="75"/>
      <c r="C815" s="75"/>
      <c r="D815" s="75"/>
      <c r="E815" s="43"/>
      <c r="F815" s="43"/>
    </row>
    <row r="816" spans="1:6" ht="14.25" customHeight="1">
      <c r="A816" s="75"/>
      <c r="B816" s="75"/>
      <c r="C816" s="75"/>
      <c r="D816" s="75"/>
      <c r="E816" s="43"/>
      <c r="F816" s="43"/>
    </row>
    <row r="817" spans="1:6" ht="14.25" customHeight="1">
      <c r="A817" s="75"/>
      <c r="B817" s="75"/>
      <c r="C817" s="75"/>
      <c r="D817" s="75"/>
      <c r="E817" s="43"/>
      <c r="F817" s="43"/>
    </row>
    <row r="818" spans="1:6" ht="14.25" customHeight="1">
      <c r="A818" s="75"/>
      <c r="B818" s="75"/>
      <c r="C818" s="75"/>
      <c r="D818" s="75"/>
      <c r="E818" s="43"/>
      <c r="F818" s="43"/>
    </row>
    <row r="819" spans="1:6" ht="14.25" customHeight="1">
      <c r="A819" s="75"/>
      <c r="B819" s="75"/>
      <c r="C819" s="75"/>
      <c r="D819" s="75"/>
      <c r="E819" s="43"/>
      <c r="F819" s="43"/>
    </row>
    <row r="820" spans="1:6" ht="14.25" customHeight="1">
      <c r="A820" s="75"/>
      <c r="B820" s="75"/>
      <c r="C820" s="75"/>
      <c r="D820" s="75"/>
      <c r="E820" s="43"/>
      <c r="F820" s="43"/>
    </row>
    <row r="821" spans="1:6" ht="14.25" customHeight="1">
      <c r="A821" s="75"/>
      <c r="B821" s="75"/>
      <c r="C821" s="75"/>
      <c r="D821" s="75"/>
      <c r="E821" s="43"/>
      <c r="F821" s="43"/>
    </row>
    <row r="822" spans="1:6" ht="14.25" customHeight="1">
      <c r="A822" s="75"/>
      <c r="B822" s="75"/>
      <c r="C822" s="75"/>
      <c r="D822" s="75"/>
      <c r="E822" s="43"/>
      <c r="F822" s="43"/>
    </row>
    <row r="823" spans="1:6" ht="14.25" customHeight="1">
      <c r="A823" s="75"/>
      <c r="B823" s="75"/>
      <c r="C823" s="75"/>
      <c r="D823" s="75"/>
      <c r="E823" s="43"/>
      <c r="F823" s="43"/>
    </row>
    <row r="824" spans="1:6" ht="14.25" customHeight="1">
      <c r="A824" s="75"/>
      <c r="B824" s="75"/>
      <c r="C824" s="75"/>
      <c r="D824" s="75"/>
      <c r="E824" s="43"/>
      <c r="F824" s="43"/>
    </row>
    <row r="825" spans="1:6" ht="14.25" customHeight="1">
      <c r="A825" s="75"/>
      <c r="B825" s="75"/>
      <c r="C825" s="75"/>
      <c r="D825" s="75"/>
      <c r="E825" s="43"/>
      <c r="F825" s="43"/>
    </row>
    <row r="826" spans="1:6" ht="14.25" customHeight="1">
      <c r="A826" s="75"/>
      <c r="B826" s="75"/>
      <c r="C826" s="75"/>
      <c r="D826" s="75"/>
      <c r="E826" s="43"/>
      <c r="F826" s="43"/>
    </row>
    <row r="827" spans="1:6" ht="14.25" customHeight="1">
      <c r="A827" s="75"/>
      <c r="B827" s="75"/>
      <c r="C827" s="75"/>
      <c r="D827" s="75"/>
      <c r="E827" s="43"/>
      <c r="F827" s="43"/>
    </row>
    <row r="828" spans="1:6" ht="14.25" customHeight="1">
      <c r="A828" s="75"/>
      <c r="B828" s="75"/>
      <c r="C828" s="75"/>
      <c r="D828" s="75"/>
      <c r="E828" s="43"/>
      <c r="F828" s="43"/>
    </row>
    <row r="829" spans="1:6" ht="14.25" customHeight="1">
      <c r="A829" s="75"/>
      <c r="B829" s="75"/>
      <c r="C829" s="75"/>
      <c r="D829" s="75"/>
      <c r="E829" s="43"/>
      <c r="F829" s="43"/>
    </row>
    <row r="830" spans="1:6" ht="14.25" customHeight="1">
      <c r="A830" s="75"/>
      <c r="B830" s="75"/>
      <c r="C830" s="75"/>
      <c r="D830" s="75"/>
      <c r="E830" s="43"/>
      <c r="F830" s="43"/>
    </row>
    <row r="831" spans="1:6" ht="14.25" customHeight="1">
      <c r="A831" s="75"/>
      <c r="B831" s="75"/>
      <c r="C831" s="75"/>
      <c r="D831" s="75"/>
      <c r="E831" s="43"/>
      <c r="F831" s="43"/>
    </row>
    <row r="832" spans="1:6" ht="14.25" customHeight="1">
      <c r="A832" s="75"/>
      <c r="B832" s="75"/>
      <c r="C832" s="75"/>
      <c r="D832" s="75"/>
      <c r="E832" s="43"/>
      <c r="F832" s="43"/>
    </row>
    <row r="833" spans="1:6" ht="14.25" customHeight="1">
      <c r="A833" s="75"/>
      <c r="B833" s="75"/>
      <c r="C833" s="75"/>
      <c r="D833" s="75"/>
      <c r="E833" s="43"/>
      <c r="F833" s="43"/>
    </row>
    <row r="834" spans="1:6" ht="14.25" customHeight="1">
      <c r="A834" s="75"/>
      <c r="B834" s="75"/>
      <c r="C834" s="75"/>
      <c r="D834" s="75"/>
      <c r="E834" s="43"/>
      <c r="F834" s="43"/>
    </row>
    <row r="835" spans="1:6" ht="14.25" customHeight="1">
      <c r="A835" s="75"/>
      <c r="B835" s="75"/>
      <c r="C835" s="75"/>
      <c r="D835" s="75"/>
      <c r="E835" s="43"/>
      <c r="F835" s="43"/>
    </row>
    <row r="836" spans="1:6" ht="14.25" customHeight="1">
      <c r="A836" s="75"/>
      <c r="B836" s="75"/>
      <c r="C836" s="75"/>
      <c r="D836" s="75"/>
      <c r="E836" s="43"/>
      <c r="F836" s="43"/>
    </row>
    <row r="837" spans="1:6" ht="14.25" customHeight="1">
      <c r="A837" s="75"/>
      <c r="B837" s="75"/>
      <c r="C837" s="75"/>
      <c r="D837" s="75"/>
      <c r="E837" s="43"/>
      <c r="F837" s="43"/>
    </row>
    <row r="838" spans="1:6" ht="14.25" customHeight="1">
      <c r="A838" s="75"/>
      <c r="B838" s="75"/>
      <c r="C838" s="75"/>
      <c r="D838" s="75"/>
      <c r="E838" s="43"/>
      <c r="F838" s="43"/>
    </row>
    <row r="839" spans="1:6" ht="14.25" customHeight="1">
      <c r="A839" s="75"/>
      <c r="B839" s="75"/>
      <c r="C839" s="75"/>
      <c r="D839" s="75"/>
      <c r="E839" s="43"/>
      <c r="F839" s="43"/>
    </row>
    <row r="840" spans="1:6" ht="14.25" customHeight="1">
      <c r="A840" s="75"/>
      <c r="B840" s="75"/>
      <c r="C840" s="75"/>
      <c r="D840" s="75"/>
      <c r="E840" s="43"/>
      <c r="F840" s="43"/>
    </row>
    <row r="841" spans="1:6" ht="14.25" customHeight="1">
      <c r="A841" s="75"/>
      <c r="B841" s="75"/>
      <c r="C841" s="75"/>
      <c r="D841" s="75"/>
      <c r="E841" s="43"/>
      <c r="F841" s="43"/>
    </row>
    <row r="842" spans="1:6" ht="14.25" customHeight="1">
      <c r="A842" s="75"/>
      <c r="B842" s="75"/>
      <c r="C842" s="75"/>
      <c r="D842" s="75"/>
      <c r="E842" s="43"/>
      <c r="F842" s="43"/>
    </row>
    <row r="843" spans="1:6" ht="14.25" customHeight="1">
      <c r="A843" s="75"/>
      <c r="B843" s="75"/>
      <c r="C843" s="75"/>
      <c r="D843" s="75"/>
      <c r="E843" s="43"/>
      <c r="F843" s="43"/>
    </row>
    <row r="844" spans="1:6" ht="14.25" customHeight="1">
      <c r="A844" s="75"/>
      <c r="B844" s="75"/>
      <c r="C844" s="75"/>
      <c r="D844" s="75"/>
      <c r="E844" s="43"/>
      <c r="F844" s="43"/>
    </row>
    <row r="845" spans="1:6" ht="14.25" customHeight="1">
      <c r="A845" s="75"/>
      <c r="B845" s="75"/>
      <c r="C845" s="75"/>
      <c r="D845" s="75"/>
      <c r="E845" s="43"/>
      <c r="F845" s="43"/>
    </row>
    <row r="846" spans="1:6" ht="14.25" customHeight="1">
      <c r="A846" s="75"/>
      <c r="B846" s="75"/>
      <c r="C846" s="75"/>
      <c r="D846" s="75"/>
      <c r="E846" s="43"/>
      <c r="F846" s="43"/>
    </row>
    <row r="847" spans="1:6" ht="14.25" customHeight="1">
      <c r="A847" s="75"/>
      <c r="B847" s="75"/>
      <c r="C847" s="75"/>
      <c r="D847" s="75"/>
      <c r="E847" s="43"/>
      <c r="F847" s="43"/>
    </row>
    <row r="848" spans="1:6" ht="14.25" customHeight="1">
      <c r="A848" s="75"/>
      <c r="B848" s="75"/>
      <c r="C848" s="75"/>
      <c r="D848" s="75"/>
      <c r="E848" s="43"/>
      <c r="F848" s="43"/>
    </row>
    <row r="849" spans="1:6" ht="14.25" customHeight="1">
      <c r="A849" s="75"/>
      <c r="B849" s="75"/>
      <c r="C849" s="75"/>
      <c r="D849" s="75"/>
      <c r="E849" s="43"/>
      <c r="F849" s="43"/>
    </row>
    <row r="850" spans="1:6" ht="14.25" customHeight="1">
      <c r="A850" s="75"/>
      <c r="B850" s="75"/>
      <c r="C850" s="75"/>
      <c r="D850" s="75"/>
      <c r="E850" s="43"/>
      <c r="F850" s="43"/>
    </row>
    <row r="851" spans="1:6" ht="14.25" customHeight="1">
      <c r="A851" s="75"/>
      <c r="B851" s="75"/>
      <c r="C851" s="75"/>
      <c r="D851" s="75"/>
      <c r="E851" s="43"/>
      <c r="F851" s="43"/>
    </row>
    <row r="852" spans="1:6" ht="14.25" customHeight="1">
      <c r="A852" s="75"/>
      <c r="B852" s="75"/>
      <c r="C852" s="75"/>
      <c r="D852" s="75"/>
      <c r="E852" s="43"/>
      <c r="F852" s="43"/>
    </row>
    <row r="853" spans="1:6" ht="14.25" customHeight="1">
      <c r="A853" s="75"/>
      <c r="B853" s="75"/>
      <c r="C853" s="75"/>
      <c r="D853" s="75"/>
      <c r="E853" s="43"/>
      <c r="F853" s="43"/>
    </row>
    <row r="854" spans="1:6" ht="14.25" customHeight="1">
      <c r="A854" s="75"/>
      <c r="B854" s="75"/>
      <c r="C854" s="75"/>
      <c r="D854" s="75"/>
      <c r="E854" s="43"/>
      <c r="F854" s="43"/>
    </row>
    <row r="855" spans="1:6" ht="14.25" customHeight="1">
      <c r="A855" s="75"/>
      <c r="B855" s="75"/>
      <c r="C855" s="75"/>
      <c r="D855" s="75"/>
      <c r="E855" s="43"/>
      <c r="F855" s="43"/>
    </row>
    <row r="856" spans="1:6" ht="14.25" customHeight="1">
      <c r="A856" s="75"/>
      <c r="B856" s="75"/>
      <c r="C856" s="75"/>
      <c r="D856" s="75"/>
      <c r="E856" s="43"/>
      <c r="F856" s="43"/>
    </row>
    <row r="857" spans="1:6" ht="14.25" customHeight="1">
      <c r="A857" s="75"/>
      <c r="B857" s="75"/>
      <c r="C857" s="75"/>
      <c r="D857" s="75"/>
      <c r="E857" s="43"/>
      <c r="F857" s="43"/>
    </row>
    <row r="858" spans="1:6" ht="14.25" customHeight="1">
      <c r="A858" s="75"/>
      <c r="B858" s="75"/>
      <c r="C858" s="75"/>
      <c r="D858" s="75"/>
      <c r="E858" s="43"/>
      <c r="F858" s="43"/>
    </row>
    <row r="859" spans="1:6" ht="14.25" customHeight="1">
      <c r="A859" s="75"/>
      <c r="B859" s="75"/>
      <c r="C859" s="75"/>
      <c r="D859" s="75"/>
      <c r="E859" s="43"/>
      <c r="F859" s="43"/>
    </row>
    <row r="860" spans="1:6" ht="14.25" customHeight="1">
      <c r="A860" s="75"/>
      <c r="B860" s="75"/>
      <c r="C860" s="75"/>
      <c r="D860" s="75"/>
      <c r="E860" s="43"/>
      <c r="F860" s="43"/>
    </row>
    <row r="861" spans="1:6" ht="14.25" customHeight="1">
      <c r="A861" s="75"/>
      <c r="B861" s="75"/>
      <c r="C861" s="75"/>
      <c r="D861" s="75"/>
      <c r="E861" s="43"/>
      <c r="F861" s="43"/>
    </row>
    <row r="862" spans="1:6" ht="14.25" customHeight="1">
      <c r="A862" s="75"/>
      <c r="B862" s="75"/>
      <c r="C862" s="75"/>
      <c r="D862" s="75"/>
      <c r="E862" s="43"/>
      <c r="F862" s="43"/>
    </row>
    <row r="863" spans="1:6" ht="14.25" customHeight="1">
      <c r="A863" s="75"/>
      <c r="B863" s="75"/>
      <c r="C863" s="75"/>
      <c r="D863" s="75"/>
      <c r="E863" s="43"/>
      <c r="F863" s="43"/>
    </row>
    <row r="864" spans="1:6" ht="14.25" customHeight="1">
      <c r="A864" s="75"/>
      <c r="B864" s="75"/>
      <c r="C864" s="75"/>
      <c r="D864" s="75"/>
      <c r="E864" s="43"/>
      <c r="F864" s="43"/>
    </row>
    <row r="865" spans="1:6" ht="14.25" customHeight="1">
      <c r="A865" s="75"/>
      <c r="B865" s="75"/>
      <c r="C865" s="75"/>
      <c r="D865" s="75"/>
      <c r="E865" s="43"/>
      <c r="F865" s="43"/>
    </row>
    <row r="866" spans="1:6" ht="14.25" customHeight="1">
      <c r="A866" s="75"/>
      <c r="B866" s="75"/>
      <c r="C866" s="75"/>
      <c r="D866" s="75"/>
      <c r="E866" s="43"/>
      <c r="F866" s="43"/>
    </row>
    <row r="867" spans="1:6" ht="14.25" customHeight="1">
      <c r="A867" s="75"/>
      <c r="B867" s="75"/>
      <c r="C867" s="75"/>
      <c r="D867" s="75"/>
      <c r="E867" s="43"/>
      <c r="F867" s="43"/>
    </row>
    <row r="868" spans="1:6" ht="14.25" customHeight="1">
      <c r="A868" s="75"/>
      <c r="B868" s="75"/>
      <c r="C868" s="75"/>
      <c r="D868" s="75"/>
      <c r="E868" s="43"/>
      <c r="F868" s="43"/>
    </row>
    <row r="869" spans="1:6" ht="14.25" customHeight="1">
      <c r="A869" s="75"/>
      <c r="B869" s="75"/>
      <c r="C869" s="75"/>
      <c r="D869" s="75"/>
      <c r="E869" s="43"/>
      <c r="F869" s="43"/>
    </row>
    <row r="870" spans="1:6" ht="14.25" customHeight="1">
      <c r="A870" s="75"/>
      <c r="B870" s="75"/>
      <c r="C870" s="75"/>
      <c r="D870" s="75"/>
      <c r="E870" s="43"/>
      <c r="F870" s="43"/>
    </row>
    <row r="871" spans="1:6" ht="14.25" customHeight="1">
      <c r="A871" s="75"/>
      <c r="B871" s="75"/>
      <c r="C871" s="75"/>
      <c r="D871" s="75"/>
      <c r="E871" s="43"/>
      <c r="F871" s="43"/>
    </row>
    <row r="872" spans="1:6" ht="14.25" customHeight="1">
      <c r="A872" s="75"/>
      <c r="B872" s="75"/>
      <c r="C872" s="75"/>
      <c r="D872" s="75"/>
      <c r="E872" s="43"/>
      <c r="F872" s="43"/>
    </row>
    <row r="873" spans="1:6" ht="14.25" customHeight="1">
      <c r="A873" s="75"/>
      <c r="B873" s="75"/>
      <c r="C873" s="75"/>
      <c r="D873" s="75"/>
      <c r="E873" s="43"/>
      <c r="F873" s="43"/>
    </row>
    <row r="874" spans="1:6" ht="14.25" customHeight="1">
      <c r="A874" s="75"/>
      <c r="B874" s="75"/>
      <c r="C874" s="75"/>
      <c r="D874" s="75"/>
      <c r="E874" s="43"/>
      <c r="F874" s="43"/>
    </row>
    <row r="875" spans="1:6" ht="14.25" customHeight="1">
      <c r="A875" s="75"/>
      <c r="B875" s="75"/>
      <c r="C875" s="75"/>
      <c r="D875" s="75"/>
      <c r="E875" s="43"/>
      <c r="F875" s="43"/>
    </row>
    <row r="876" spans="1:6" ht="14.25" customHeight="1">
      <c r="A876" s="75"/>
      <c r="B876" s="75"/>
      <c r="C876" s="75"/>
      <c r="D876" s="75"/>
      <c r="E876" s="43"/>
      <c r="F876" s="43"/>
    </row>
    <row r="877" spans="1:6" ht="14.25" customHeight="1">
      <c r="A877" s="75"/>
      <c r="B877" s="75"/>
      <c r="C877" s="75"/>
      <c r="D877" s="75"/>
      <c r="E877" s="43"/>
      <c r="F877" s="43"/>
    </row>
    <row r="878" spans="1:6" ht="14.25" customHeight="1">
      <c r="A878" s="75"/>
      <c r="B878" s="75"/>
      <c r="C878" s="75"/>
      <c r="D878" s="75"/>
      <c r="E878" s="43"/>
      <c r="F878" s="43"/>
    </row>
    <row r="879" spans="1:6" ht="14.25" customHeight="1">
      <c r="A879" s="75"/>
      <c r="B879" s="75"/>
      <c r="C879" s="75"/>
      <c r="D879" s="75"/>
      <c r="E879" s="43"/>
      <c r="F879" s="43"/>
    </row>
    <row r="880" spans="1:6" ht="14.25" customHeight="1">
      <c r="A880" s="75"/>
      <c r="B880" s="75"/>
      <c r="C880" s="75"/>
      <c r="D880" s="75"/>
      <c r="E880" s="43"/>
      <c r="F880" s="43"/>
    </row>
    <row r="881" spans="1:6" ht="14.25" customHeight="1">
      <c r="A881" s="75"/>
      <c r="B881" s="75"/>
      <c r="C881" s="75"/>
      <c r="D881" s="75"/>
      <c r="E881" s="43"/>
      <c r="F881" s="43"/>
    </row>
    <row r="882" spans="1:6" ht="14.25" customHeight="1">
      <c r="A882" s="75"/>
      <c r="B882" s="75"/>
      <c r="C882" s="75"/>
      <c r="D882" s="75"/>
      <c r="E882" s="43"/>
      <c r="F882" s="43"/>
    </row>
    <row r="883" spans="1:6" ht="14.25" customHeight="1">
      <c r="A883" s="75"/>
      <c r="B883" s="75"/>
      <c r="C883" s="75"/>
      <c r="D883" s="75"/>
      <c r="E883" s="43"/>
      <c r="F883" s="43"/>
    </row>
    <row r="884" spans="1:6" ht="14.25" customHeight="1">
      <c r="A884" s="75"/>
      <c r="B884" s="75"/>
      <c r="C884" s="75"/>
      <c r="D884" s="75"/>
      <c r="E884" s="43"/>
      <c r="F884" s="43"/>
    </row>
    <row r="885" spans="1:6" ht="14.25" customHeight="1">
      <c r="A885" s="75"/>
      <c r="B885" s="75"/>
      <c r="C885" s="75"/>
      <c r="D885" s="75"/>
      <c r="E885" s="43"/>
      <c r="F885" s="43"/>
    </row>
    <row r="886" spans="1:6" ht="14.25" customHeight="1">
      <c r="A886" s="75"/>
      <c r="B886" s="75"/>
      <c r="C886" s="75"/>
      <c r="D886" s="75"/>
      <c r="E886" s="43"/>
      <c r="F886" s="43"/>
    </row>
    <row r="887" spans="1:6" ht="14.25" customHeight="1">
      <c r="A887" s="75"/>
      <c r="B887" s="75"/>
      <c r="C887" s="75"/>
      <c r="D887" s="75"/>
      <c r="E887" s="43"/>
      <c r="F887" s="43"/>
    </row>
    <row r="888" spans="1:6" ht="14.25" customHeight="1">
      <c r="A888" s="75"/>
      <c r="B888" s="75"/>
      <c r="C888" s="75"/>
      <c r="D888" s="75"/>
      <c r="E888" s="43"/>
      <c r="F888" s="43"/>
    </row>
    <row r="889" spans="1:6" ht="14.25" customHeight="1">
      <c r="A889" s="75"/>
      <c r="B889" s="75"/>
      <c r="C889" s="75"/>
      <c r="D889" s="75"/>
      <c r="E889" s="43"/>
      <c r="F889" s="43"/>
    </row>
    <row r="890" spans="1:6" ht="14.25" customHeight="1">
      <c r="A890" s="75"/>
      <c r="B890" s="75"/>
      <c r="C890" s="75"/>
      <c r="D890" s="75"/>
      <c r="E890" s="43"/>
      <c r="F890" s="43"/>
    </row>
    <row r="891" spans="1:6" ht="14.25" customHeight="1">
      <c r="A891" s="75"/>
      <c r="B891" s="75"/>
      <c r="C891" s="75"/>
      <c r="D891" s="75"/>
      <c r="E891" s="43"/>
      <c r="F891" s="43"/>
    </row>
    <row r="892" spans="1:6" ht="14.25" customHeight="1">
      <c r="A892" s="75"/>
      <c r="B892" s="75"/>
      <c r="C892" s="75"/>
      <c r="D892" s="75"/>
      <c r="E892" s="43"/>
      <c r="F892" s="43"/>
    </row>
    <row r="893" spans="1:6" ht="14.25" customHeight="1">
      <c r="A893" s="75"/>
      <c r="B893" s="75"/>
      <c r="C893" s="75"/>
      <c r="D893" s="75"/>
      <c r="E893" s="43"/>
      <c r="F893" s="43"/>
    </row>
    <row r="894" spans="1:6" ht="14.25" customHeight="1">
      <c r="A894" s="75"/>
      <c r="B894" s="75"/>
      <c r="C894" s="75"/>
      <c r="D894" s="75"/>
      <c r="E894" s="43"/>
      <c r="F894" s="43"/>
    </row>
    <row r="895" spans="1:6" ht="14.25" customHeight="1">
      <c r="A895" s="75"/>
      <c r="B895" s="75"/>
      <c r="C895" s="75"/>
      <c r="D895" s="75"/>
      <c r="E895" s="43"/>
      <c r="F895" s="43"/>
    </row>
    <row r="896" spans="1:6" ht="14.25" customHeight="1">
      <c r="A896" s="75"/>
      <c r="B896" s="75"/>
      <c r="C896" s="75"/>
      <c r="D896" s="75"/>
      <c r="E896" s="43"/>
      <c r="F896" s="43"/>
    </row>
    <row r="897" spans="1:6" ht="14.25" customHeight="1">
      <c r="A897" s="75"/>
      <c r="B897" s="75"/>
      <c r="C897" s="75"/>
      <c r="D897" s="75"/>
      <c r="E897" s="43"/>
      <c r="F897" s="43"/>
    </row>
    <row r="898" spans="1:6" ht="14.25" customHeight="1">
      <c r="A898" s="75"/>
      <c r="B898" s="75"/>
      <c r="C898" s="75"/>
      <c r="D898" s="75"/>
      <c r="E898" s="43"/>
      <c r="F898" s="43"/>
    </row>
    <row r="899" spans="1:6" ht="14.25" customHeight="1">
      <c r="A899" s="75"/>
      <c r="B899" s="75"/>
      <c r="C899" s="75"/>
      <c r="D899" s="75"/>
      <c r="E899" s="43"/>
      <c r="F899" s="43"/>
    </row>
    <row r="900" spans="1:6" ht="14.25" customHeight="1">
      <c r="A900" s="75"/>
      <c r="B900" s="75"/>
      <c r="C900" s="75"/>
      <c r="D900" s="75"/>
      <c r="E900" s="43"/>
      <c r="F900" s="43"/>
    </row>
    <row r="901" spans="1:6" ht="14.25" customHeight="1">
      <c r="A901" s="75"/>
      <c r="B901" s="75"/>
      <c r="C901" s="75"/>
      <c r="D901" s="75"/>
      <c r="E901" s="43"/>
      <c r="F901" s="43"/>
    </row>
    <row r="902" spans="1:6" ht="14.25" customHeight="1">
      <c r="A902" s="75"/>
      <c r="B902" s="75"/>
      <c r="C902" s="75"/>
      <c r="D902" s="75"/>
      <c r="E902" s="43"/>
      <c r="F902" s="43"/>
    </row>
    <row r="903" spans="1:6" ht="14.25" customHeight="1">
      <c r="A903" s="75"/>
      <c r="B903" s="75"/>
      <c r="C903" s="75"/>
      <c r="D903" s="75"/>
      <c r="E903" s="43"/>
      <c r="F903" s="43"/>
    </row>
    <row r="904" spans="1:6" ht="14.25" customHeight="1">
      <c r="A904" s="75"/>
      <c r="B904" s="75"/>
      <c r="C904" s="75"/>
      <c r="D904" s="75"/>
      <c r="E904" s="43"/>
      <c r="F904" s="43"/>
    </row>
    <row r="905" spans="1:6" ht="14.25" customHeight="1">
      <c r="A905" s="75"/>
      <c r="B905" s="75"/>
      <c r="C905" s="75"/>
      <c r="D905" s="75"/>
      <c r="E905" s="43"/>
      <c r="F905" s="43"/>
    </row>
    <row r="906" spans="1:6" ht="14.25" customHeight="1">
      <c r="A906" s="75"/>
      <c r="B906" s="75"/>
      <c r="C906" s="75"/>
      <c r="D906" s="75"/>
      <c r="E906" s="43"/>
      <c r="F906" s="43"/>
    </row>
    <row r="907" spans="1:6" ht="14.25" customHeight="1">
      <c r="A907" s="75"/>
      <c r="B907" s="75"/>
      <c r="C907" s="75"/>
      <c r="D907" s="75"/>
      <c r="E907" s="43"/>
      <c r="F907" s="43"/>
    </row>
    <row r="908" spans="1:6" ht="14.25" customHeight="1">
      <c r="A908" s="75"/>
      <c r="B908" s="75"/>
      <c r="C908" s="75"/>
      <c r="D908" s="75"/>
      <c r="E908" s="43"/>
      <c r="F908" s="43"/>
    </row>
    <row r="909" spans="1:6" ht="14.25" customHeight="1">
      <c r="A909" s="75"/>
      <c r="B909" s="75"/>
      <c r="C909" s="75"/>
      <c r="D909" s="75"/>
      <c r="E909" s="43"/>
      <c r="F909" s="43"/>
    </row>
    <row r="910" spans="1:6" ht="14.25" customHeight="1">
      <c r="A910" s="75"/>
      <c r="B910" s="75"/>
      <c r="C910" s="75"/>
      <c r="D910" s="75"/>
      <c r="E910" s="43"/>
      <c r="F910" s="43"/>
    </row>
    <row r="911" spans="1:6" ht="14.25" customHeight="1">
      <c r="A911" s="75"/>
      <c r="B911" s="75"/>
      <c r="C911" s="75"/>
      <c r="D911" s="75"/>
      <c r="E911" s="43"/>
      <c r="F911" s="43"/>
    </row>
    <row r="912" spans="1:6" ht="14.25" customHeight="1">
      <c r="A912" s="75"/>
      <c r="B912" s="75"/>
      <c r="C912" s="75"/>
      <c r="D912" s="75"/>
      <c r="E912" s="43"/>
      <c r="F912" s="43"/>
    </row>
    <row r="913" spans="1:6" ht="14.25" customHeight="1">
      <c r="A913" s="75"/>
      <c r="B913" s="75"/>
      <c r="C913" s="75"/>
      <c r="D913" s="75"/>
      <c r="E913" s="43"/>
      <c r="F913" s="43"/>
    </row>
    <row r="914" spans="1:6" ht="14.25" customHeight="1">
      <c r="A914" s="75"/>
      <c r="B914" s="75"/>
      <c r="C914" s="75"/>
      <c r="D914" s="75"/>
      <c r="E914" s="43"/>
      <c r="F914" s="43"/>
    </row>
    <row r="915" spans="1:6" ht="14.25" customHeight="1">
      <c r="A915" s="75"/>
      <c r="B915" s="75"/>
      <c r="C915" s="75"/>
      <c r="D915" s="75"/>
      <c r="E915" s="43"/>
      <c r="F915" s="43"/>
    </row>
    <row r="916" spans="1:6" ht="14.25" customHeight="1">
      <c r="A916" s="75"/>
      <c r="B916" s="75"/>
      <c r="C916" s="75"/>
      <c r="D916" s="75"/>
      <c r="E916" s="43"/>
      <c r="F916" s="43"/>
    </row>
    <row r="917" spans="1:6" ht="14.25" customHeight="1">
      <c r="A917" s="75"/>
      <c r="B917" s="75"/>
      <c r="C917" s="75"/>
      <c r="D917" s="75"/>
      <c r="E917" s="43"/>
      <c r="F917" s="43"/>
    </row>
    <row r="918" spans="1:6" ht="14.25" customHeight="1">
      <c r="A918" s="75"/>
      <c r="B918" s="75"/>
      <c r="C918" s="75"/>
      <c r="D918" s="75"/>
      <c r="E918" s="43"/>
      <c r="F918" s="43"/>
    </row>
    <row r="919" spans="1:6" ht="14.25" customHeight="1">
      <c r="A919" s="75"/>
      <c r="B919" s="75"/>
      <c r="C919" s="75"/>
      <c r="D919" s="75"/>
      <c r="E919" s="43"/>
      <c r="F919" s="43"/>
    </row>
    <row r="920" spans="1:6" ht="14.25" customHeight="1">
      <c r="A920" s="75"/>
      <c r="B920" s="75"/>
      <c r="C920" s="75"/>
      <c r="D920" s="75"/>
      <c r="E920" s="43"/>
      <c r="F920" s="43"/>
    </row>
    <row r="921" spans="1:6" ht="14.25" customHeight="1">
      <c r="A921" s="75"/>
      <c r="B921" s="75"/>
      <c r="C921" s="75"/>
      <c r="D921" s="75"/>
      <c r="E921" s="43"/>
      <c r="F921" s="43"/>
    </row>
    <row r="922" spans="1:6" ht="14.25" customHeight="1">
      <c r="A922" s="75"/>
      <c r="B922" s="75"/>
      <c r="C922" s="75"/>
      <c r="D922" s="75"/>
      <c r="E922" s="43"/>
      <c r="F922" s="43"/>
    </row>
    <row r="923" spans="1:6" ht="14.25" customHeight="1">
      <c r="A923" s="75"/>
      <c r="B923" s="75"/>
      <c r="C923" s="75"/>
      <c r="D923" s="75"/>
      <c r="E923" s="43"/>
      <c r="F923" s="43"/>
    </row>
    <row r="924" spans="1:6" ht="14.25" customHeight="1">
      <c r="A924" s="75"/>
      <c r="B924" s="75"/>
      <c r="C924" s="75"/>
      <c r="D924" s="75"/>
      <c r="E924" s="43"/>
      <c r="F924" s="43"/>
    </row>
    <row r="925" spans="1:6" ht="14.25" customHeight="1">
      <c r="A925" s="75"/>
      <c r="B925" s="75"/>
      <c r="C925" s="75"/>
      <c r="D925" s="75"/>
      <c r="E925" s="43"/>
      <c r="F925" s="43"/>
    </row>
    <row r="926" spans="1:6" ht="14.25" customHeight="1">
      <c r="A926" s="75"/>
      <c r="B926" s="75"/>
      <c r="C926" s="75"/>
      <c r="D926" s="75"/>
      <c r="E926" s="43"/>
      <c r="F926" s="43"/>
    </row>
    <row r="927" spans="1:6" ht="14.25" customHeight="1">
      <c r="A927" s="75"/>
      <c r="B927" s="75"/>
      <c r="C927" s="75"/>
      <c r="D927" s="75"/>
      <c r="E927" s="43"/>
      <c r="F927" s="43"/>
    </row>
    <row r="928" spans="1:6" ht="14.25" customHeight="1">
      <c r="A928" s="75"/>
      <c r="B928" s="75"/>
      <c r="C928" s="75"/>
      <c r="D928" s="75"/>
      <c r="E928" s="43"/>
      <c r="F928" s="43"/>
    </row>
    <row r="929" spans="1:6" ht="14.25" customHeight="1">
      <c r="A929" s="75"/>
      <c r="B929" s="75"/>
      <c r="C929" s="75"/>
      <c r="D929" s="75"/>
      <c r="E929" s="43"/>
      <c r="F929" s="43"/>
    </row>
    <row r="930" spans="1:6" ht="14.25" customHeight="1">
      <c r="A930" s="75"/>
      <c r="B930" s="75"/>
      <c r="C930" s="75"/>
      <c r="D930" s="75"/>
      <c r="E930" s="43"/>
      <c r="F930" s="43"/>
    </row>
    <row r="931" spans="1:6" ht="14.25" customHeight="1">
      <c r="A931" s="75"/>
      <c r="B931" s="75"/>
      <c r="C931" s="75"/>
      <c r="D931" s="75"/>
      <c r="E931" s="43"/>
      <c r="F931" s="43"/>
    </row>
    <row r="932" spans="1:6" ht="14.25" customHeight="1">
      <c r="A932" s="75"/>
      <c r="B932" s="75"/>
      <c r="C932" s="75"/>
      <c r="D932" s="75"/>
      <c r="E932" s="43"/>
      <c r="F932" s="43"/>
    </row>
    <row r="933" spans="1:6" ht="14.25" customHeight="1">
      <c r="A933" s="75"/>
      <c r="B933" s="75"/>
      <c r="C933" s="75"/>
      <c r="D933" s="75"/>
      <c r="E933" s="43"/>
      <c r="F933" s="43"/>
    </row>
    <row r="934" spans="1:6" ht="14.25" customHeight="1">
      <c r="A934" s="75"/>
      <c r="B934" s="75"/>
      <c r="C934" s="75"/>
      <c r="D934" s="75"/>
      <c r="E934" s="43"/>
      <c r="F934" s="43"/>
    </row>
    <row r="935" spans="1:6" ht="14.25" customHeight="1">
      <c r="A935" s="75"/>
      <c r="B935" s="75"/>
      <c r="C935" s="75"/>
      <c r="D935" s="75"/>
      <c r="E935" s="43"/>
      <c r="F935" s="43"/>
    </row>
    <row r="936" spans="1:6" ht="14.25" customHeight="1">
      <c r="A936" s="75"/>
      <c r="B936" s="75"/>
      <c r="C936" s="75"/>
      <c r="D936" s="75"/>
      <c r="E936" s="43"/>
      <c r="F936" s="43"/>
    </row>
    <row r="937" spans="1:6" ht="14.25" customHeight="1">
      <c r="A937" s="75"/>
      <c r="B937" s="75"/>
      <c r="C937" s="75"/>
      <c r="D937" s="75"/>
      <c r="E937" s="43"/>
      <c r="F937" s="43"/>
    </row>
    <row r="938" spans="1:6" ht="14.25" customHeight="1">
      <c r="A938" s="75"/>
      <c r="B938" s="75"/>
      <c r="C938" s="75"/>
      <c r="D938" s="75"/>
      <c r="E938" s="43"/>
      <c r="F938" s="43"/>
    </row>
    <row r="939" spans="1:6" ht="14.25" customHeight="1">
      <c r="A939" s="75"/>
      <c r="B939" s="75"/>
      <c r="C939" s="75"/>
      <c r="D939" s="75"/>
      <c r="E939" s="43"/>
      <c r="F939" s="43"/>
    </row>
    <row r="940" spans="1:6" ht="14.25" customHeight="1">
      <c r="A940" s="75"/>
      <c r="B940" s="75"/>
      <c r="C940" s="75"/>
      <c r="D940" s="75"/>
      <c r="E940" s="43"/>
      <c r="F940" s="43"/>
    </row>
    <row r="941" spans="1:6" ht="14.25" customHeight="1">
      <c r="A941" s="75"/>
      <c r="B941" s="75"/>
      <c r="C941" s="75"/>
      <c r="D941" s="75"/>
      <c r="E941" s="43"/>
      <c r="F941" s="43"/>
    </row>
    <row r="942" spans="1:6" ht="14.25" customHeight="1">
      <c r="A942" s="75"/>
      <c r="B942" s="75"/>
      <c r="C942" s="75"/>
      <c r="D942" s="75"/>
      <c r="E942" s="43"/>
      <c r="F942" s="43"/>
    </row>
    <row r="943" spans="1:6" ht="14.25" customHeight="1">
      <c r="A943" s="75"/>
      <c r="B943" s="75"/>
      <c r="C943" s="75"/>
      <c r="D943" s="75"/>
      <c r="E943" s="43"/>
      <c r="F943" s="43"/>
    </row>
    <row r="944" spans="1:6" ht="14.25" customHeight="1">
      <c r="A944" s="75"/>
      <c r="B944" s="75"/>
      <c r="C944" s="75"/>
      <c r="D944" s="75"/>
      <c r="E944" s="43"/>
      <c r="F944" s="43"/>
    </row>
    <row r="945" spans="1:6" ht="14.25" customHeight="1">
      <c r="A945" s="75"/>
      <c r="B945" s="75"/>
      <c r="C945" s="75"/>
      <c r="D945" s="75"/>
      <c r="E945" s="43"/>
      <c r="F945" s="43"/>
    </row>
    <row r="946" spans="1:6" ht="14.25" customHeight="1">
      <c r="A946" s="75"/>
      <c r="B946" s="75"/>
      <c r="C946" s="75"/>
      <c r="D946" s="75"/>
      <c r="E946" s="43"/>
      <c r="F946" s="43"/>
    </row>
    <row r="947" spans="1:6" ht="14.25" customHeight="1">
      <c r="A947" s="75"/>
      <c r="B947" s="75"/>
      <c r="C947" s="75"/>
      <c r="D947" s="75"/>
      <c r="E947" s="43"/>
      <c r="F947" s="43"/>
    </row>
    <row r="948" spans="1:6" ht="14.25" customHeight="1">
      <c r="A948" s="75"/>
      <c r="B948" s="75"/>
      <c r="C948" s="75"/>
      <c r="D948" s="75"/>
      <c r="E948" s="43"/>
      <c r="F948" s="43"/>
    </row>
    <row r="949" spans="1:6" ht="14.25" customHeight="1">
      <c r="A949" s="75"/>
      <c r="B949" s="75"/>
      <c r="C949" s="75"/>
      <c r="D949" s="75"/>
      <c r="E949" s="43"/>
      <c r="F949" s="43"/>
    </row>
    <row r="950" spans="1:6" ht="14.25" customHeight="1">
      <c r="A950" s="75"/>
      <c r="B950" s="75"/>
      <c r="C950" s="75"/>
      <c r="D950" s="75"/>
      <c r="E950" s="43"/>
      <c r="F950" s="43"/>
    </row>
    <row r="951" spans="1:6" ht="14.25" customHeight="1">
      <c r="A951" s="75"/>
      <c r="B951" s="75"/>
      <c r="C951" s="75"/>
      <c r="D951" s="75"/>
      <c r="E951" s="43"/>
      <c r="F951" s="43"/>
    </row>
    <row r="952" spans="1:6" ht="14.25" customHeight="1">
      <c r="A952" s="75"/>
      <c r="B952" s="75"/>
      <c r="C952" s="75"/>
      <c r="D952" s="75"/>
      <c r="E952" s="43"/>
      <c r="F952" s="43"/>
    </row>
    <row r="953" spans="1:6" ht="14.25" customHeight="1">
      <c r="A953" s="75"/>
      <c r="B953" s="75"/>
      <c r="C953" s="75"/>
      <c r="D953" s="75"/>
      <c r="E953" s="43"/>
      <c r="F953" s="43"/>
    </row>
    <row r="954" spans="1:6" ht="14.25" customHeight="1">
      <c r="A954" s="75"/>
      <c r="B954" s="75"/>
      <c r="C954" s="75"/>
      <c r="D954" s="75"/>
      <c r="E954" s="43"/>
      <c r="F954" s="43"/>
    </row>
    <row r="955" spans="1:6" ht="14.25" customHeight="1">
      <c r="A955" s="75"/>
      <c r="B955" s="75"/>
      <c r="C955" s="75"/>
      <c r="D955" s="75"/>
      <c r="E955" s="43"/>
      <c r="F955" s="43"/>
    </row>
    <row r="956" spans="1:6" ht="14.25" customHeight="1">
      <c r="A956" s="75"/>
      <c r="B956" s="75"/>
      <c r="C956" s="75"/>
      <c r="D956" s="75"/>
      <c r="E956" s="43"/>
      <c r="F956" s="43"/>
    </row>
    <row r="957" spans="1:6" ht="14.25" customHeight="1">
      <c r="A957" s="75"/>
      <c r="B957" s="75"/>
      <c r="C957" s="75"/>
      <c r="D957" s="75"/>
      <c r="E957" s="43"/>
      <c r="F957" s="43"/>
    </row>
    <row r="958" spans="1:6" ht="14.25" customHeight="1">
      <c r="A958" s="75"/>
      <c r="B958" s="75"/>
      <c r="C958" s="75"/>
      <c r="D958" s="75"/>
      <c r="E958" s="43"/>
      <c r="F958" s="43"/>
    </row>
    <row r="959" spans="1:6" ht="14.25" customHeight="1">
      <c r="A959" s="75"/>
      <c r="B959" s="75"/>
      <c r="C959" s="75"/>
      <c r="D959" s="75"/>
      <c r="E959" s="43"/>
      <c r="F959" s="43"/>
    </row>
    <row r="960" spans="1:6" ht="14.25" customHeight="1">
      <c r="A960" s="75"/>
      <c r="B960" s="75"/>
      <c r="C960" s="75"/>
      <c r="D960" s="75"/>
      <c r="E960" s="43"/>
      <c r="F960" s="43"/>
    </row>
    <row r="961" spans="1:6" ht="14.25" customHeight="1">
      <c r="A961" s="75"/>
      <c r="B961" s="75"/>
      <c r="C961" s="75"/>
      <c r="D961" s="75"/>
      <c r="E961" s="43"/>
      <c r="F961" s="43"/>
    </row>
    <row r="962" spans="1:6" ht="14.25" customHeight="1">
      <c r="A962" s="75"/>
      <c r="B962" s="75"/>
      <c r="C962" s="75"/>
      <c r="D962" s="75"/>
      <c r="E962" s="43"/>
      <c r="F962" s="43"/>
    </row>
    <row r="963" spans="1:6" ht="14.25" customHeight="1">
      <c r="A963" s="75"/>
      <c r="B963" s="75"/>
      <c r="C963" s="75"/>
      <c r="D963" s="75"/>
      <c r="E963" s="43"/>
      <c r="F963" s="43"/>
    </row>
    <row r="964" spans="1:6" ht="14.25" customHeight="1">
      <c r="A964" s="75"/>
      <c r="B964" s="75"/>
      <c r="C964" s="75"/>
      <c r="D964" s="75"/>
      <c r="E964" s="43"/>
      <c r="F964" s="43"/>
    </row>
    <row r="965" spans="1:6" ht="14.25" customHeight="1">
      <c r="A965" s="75"/>
      <c r="B965" s="75"/>
      <c r="C965" s="75"/>
      <c r="D965" s="75"/>
      <c r="E965" s="43"/>
      <c r="F965" s="43"/>
    </row>
    <row r="966" spans="1:6" ht="14.25" customHeight="1">
      <c r="A966" s="75"/>
      <c r="B966" s="75"/>
      <c r="C966" s="75"/>
      <c r="D966" s="75"/>
      <c r="E966" s="43"/>
      <c r="F966" s="43"/>
    </row>
    <row r="967" spans="1:6" ht="14.25" customHeight="1">
      <c r="A967" s="75"/>
      <c r="B967" s="75"/>
      <c r="C967" s="75"/>
      <c r="D967" s="75"/>
      <c r="E967" s="43"/>
      <c r="F967" s="43"/>
    </row>
    <row r="968" spans="1:6" ht="14.25" customHeight="1">
      <c r="A968" s="75"/>
      <c r="B968" s="75"/>
      <c r="C968" s="75"/>
      <c r="D968" s="75"/>
      <c r="E968" s="43"/>
      <c r="F968" s="43"/>
    </row>
    <row r="969" spans="1:6" ht="14.25" customHeight="1">
      <c r="A969" s="75"/>
      <c r="B969" s="75"/>
      <c r="C969" s="75"/>
      <c r="D969" s="75"/>
      <c r="E969" s="43"/>
      <c r="F969" s="43"/>
    </row>
    <row r="970" spans="1:6" ht="14.25" customHeight="1">
      <c r="A970" s="75"/>
      <c r="B970" s="75"/>
      <c r="C970" s="75"/>
      <c r="D970" s="75"/>
      <c r="E970" s="43"/>
      <c r="F970" s="43"/>
    </row>
    <row r="971" spans="1:6" ht="14.25" customHeight="1">
      <c r="A971" s="75"/>
      <c r="B971" s="75"/>
      <c r="C971" s="75"/>
      <c r="D971" s="75"/>
      <c r="E971" s="43"/>
      <c r="F971" s="43"/>
    </row>
    <row r="972" spans="1:6" ht="14.25" customHeight="1">
      <c r="A972" s="75"/>
      <c r="B972" s="75"/>
      <c r="C972" s="75"/>
      <c r="D972" s="75"/>
      <c r="E972" s="43"/>
      <c r="F972" s="43"/>
    </row>
    <row r="973" spans="1:6" ht="14.25" customHeight="1">
      <c r="A973" s="75"/>
      <c r="B973" s="75"/>
      <c r="C973" s="75"/>
      <c r="D973" s="75"/>
      <c r="E973" s="43"/>
      <c r="F973" s="43"/>
    </row>
    <row r="974" spans="1:6" ht="14.25" customHeight="1">
      <c r="A974" s="75"/>
      <c r="B974" s="75"/>
      <c r="C974" s="75"/>
      <c r="D974" s="75"/>
      <c r="E974" s="43"/>
      <c r="F974" s="43"/>
    </row>
    <row r="975" spans="1:6" ht="14.25" customHeight="1">
      <c r="A975" s="75"/>
      <c r="B975" s="75"/>
      <c r="C975" s="75"/>
      <c r="D975" s="75"/>
      <c r="E975" s="43"/>
      <c r="F975" s="43"/>
    </row>
    <row r="976" spans="1:6" ht="14.25" customHeight="1">
      <c r="A976" s="75"/>
      <c r="B976" s="75"/>
      <c r="C976" s="75"/>
      <c r="D976" s="75"/>
      <c r="E976" s="43"/>
      <c r="F976" s="43"/>
    </row>
    <row r="977" spans="1:6" ht="14.25" customHeight="1">
      <c r="A977" s="75"/>
      <c r="B977" s="75"/>
      <c r="C977" s="75"/>
      <c r="D977" s="75"/>
      <c r="E977" s="43"/>
      <c r="F977" s="43"/>
    </row>
    <row r="978" spans="1:6" ht="14.25" customHeight="1">
      <c r="A978" s="75"/>
      <c r="B978" s="75"/>
      <c r="C978" s="75"/>
      <c r="D978" s="75"/>
      <c r="E978" s="43"/>
      <c r="F978" s="43"/>
    </row>
    <row r="979" spans="1:6" ht="14.25" customHeight="1">
      <c r="A979" s="75"/>
      <c r="B979" s="75"/>
      <c r="C979" s="75"/>
      <c r="D979" s="75"/>
      <c r="E979" s="43"/>
      <c r="F979" s="43"/>
    </row>
    <row r="980" spans="1:6" ht="14.25" customHeight="1">
      <c r="A980" s="75"/>
      <c r="B980" s="75"/>
      <c r="C980" s="75"/>
      <c r="D980" s="75"/>
      <c r="E980" s="43"/>
      <c r="F980" s="43"/>
    </row>
    <row r="981" spans="1:6" ht="14.25" customHeight="1">
      <c r="A981" s="75"/>
      <c r="B981" s="75"/>
      <c r="C981" s="75"/>
      <c r="D981" s="75"/>
      <c r="E981" s="43"/>
      <c r="F981" s="43"/>
    </row>
    <row r="982" spans="1:6" ht="14.25" customHeight="1">
      <c r="A982" s="75"/>
      <c r="B982" s="75"/>
      <c r="C982" s="75"/>
      <c r="D982" s="75"/>
      <c r="E982" s="43"/>
      <c r="F982" s="43"/>
    </row>
    <row r="983" spans="1:6" ht="14.25" customHeight="1">
      <c r="A983" s="75"/>
      <c r="B983" s="75"/>
      <c r="C983" s="75"/>
      <c r="D983" s="75"/>
      <c r="E983" s="43"/>
      <c r="F983" s="43"/>
    </row>
    <row r="984" spans="1:6" ht="14.25" customHeight="1">
      <c r="A984" s="75"/>
      <c r="B984" s="75"/>
      <c r="C984" s="75"/>
      <c r="D984" s="75"/>
      <c r="E984" s="43"/>
      <c r="F984" s="43"/>
    </row>
    <row r="985" spans="1:6" ht="14.25" customHeight="1">
      <c r="A985" s="75"/>
      <c r="B985" s="75"/>
      <c r="C985" s="75"/>
      <c r="D985" s="75"/>
      <c r="E985" s="43"/>
      <c r="F985" s="43"/>
    </row>
    <row r="986" spans="1:6" ht="14.25" customHeight="1">
      <c r="A986" s="75"/>
      <c r="B986" s="75"/>
      <c r="C986" s="75"/>
      <c r="D986" s="75"/>
      <c r="E986" s="43"/>
      <c r="F986" s="43"/>
    </row>
    <row r="987" spans="1:6" ht="14.25" customHeight="1">
      <c r="A987" s="75"/>
      <c r="B987" s="75"/>
      <c r="C987" s="75"/>
      <c r="D987" s="75"/>
      <c r="E987" s="43"/>
      <c r="F987" s="43"/>
    </row>
    <row r="988" spans="1:6" ht="14.25" customHeight="1">
      <c r="A988" s="75"/>
      <c r="B988" s="75"/>
      <c r="C988" s="75"/>
      <c r="D988" s="75"/>
      <c r="E988" s="43"/>
      <c r="F988" s="43"/>
    </row>
    <row r="989" spans="1:6" ht="14.25" customHeight="1">
      <c r="A989" s="75"/>
      <c r="B989" s="75"/>
      <c r="C989" s="75"/>
      <c r="D989" s="75"/>
      <c r="E989" s="43"/>
      <c r="F989" s="43"/>
    </row>
    <row r="990" spans="1:6" ht="14.25" customHeight="1">
      <c r="A990" s="75"/>
      <c r="B990" s="75"/>
      <c r="C990" s="75"/>
      <c r="D990" s="75"/>
      <c r="E990" s="43"/>
      <c r="F990" s="43"/>
    </row>
    <row r="991" spans="1:6" ht="14.25" customHeight="1">
      <c r="A991" s="75"/>
      <c r="B991" s="75"/>
      <c r="C991" s="75"/>
      <c r="D991" s="75"/>
      <c r="E991" s="43"/>
      <c r="F991" s="43"/>
    </row>
    <row r="992" spans="1:6" ht="14.25" customHeight="1">
      <c r="A992" s="75"/>
      <c r="B992" s="75"/>
      <c r="C992" s="75"/>
      <c r="D992" s="75"/>
      <c r="E992" s="43"/>
      <c r="F992" s="43"/>
    </row>
  </sheetData>
  <autoFilter ref="A1:Z56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7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" customHeight="1"/>
  <cols>
    <col min="1" max="1" width="26.1640625" customWidth="1"/>
    <col min="2" max="11" width="7.5" customWidth="1"/>
    <col min="12" max="19" width="8.83203125" customWidth="1"/>
    <col min="20" max="26" width="7" customWidth="1"/>
  </cols>
  <sheetData>
    <row r="1" spans="1:26">
      <c r="A1" s="76" t="s">
        <v>623</v>
      </c>
      <c r="B1" s="77" t="s">
        <v>694</v>
      </c>
      <c r="C1" s="77" t="s">
        <v>695</v>
      </c>
      <c r="D1" s="77" t="s">
        <v>696</v>
      </c>
      <c r="E1" s="77" t="s">
        <v>697</v>
      </c>
      <c r="F1" s="77" t="s">
        <v>698</v>
      </c>
      <c r="G1" s="77" t="s">
        <v>699</v>
      </c>
      <c r="H1" s="78" t="s">
        <v>700</v>
      </c>
      <c r="I1" s="78" t="s">
        <v>701</v>
      </c>
      <c r="J1" s="78" t="s">
        <v>677</v>
      </c>
      <c r="K1" s="78" t="s">
        <v>683</v>
      </c>
      <c r="L1" s="77" t="s">
        <v>702</v>
      </c>
      <c r="M1" s="77" t="s">
        <v>703</v>
      </c>
      <c r="N1" s="79" t="s">
        <v>704</v>
      </c>
      <c r="O1" s="79" t="s">
        <v>705</v>
      </c>
      <c r="P1" s="79" t="s">
        <v>706</v>
      </c>
      <c r="Q1" s="79" t="s">
        <v>707</v>
      </c>
      <c r="R1" s="79" t="s">
        <v>708</v>
      </c>
      <c r="S1" s="79" t="s">
        <v>709</v>
      </c>
      <c r="T1" s="80"/>
      <c r="U1" s="80"/>
      <c r="V1" s="80"/>
      <c r="W1" s="80"/>
      <c r="X1" s="80"/>
      <c r="Y1" s="80"/>
      <c r="Z1" s="80"/>
    </row>
    <row r="2" spans="1:26">
      <c r="A2" s="81" t="s">
        <v>54</v>
      </c>
      <c r="B2" s="82" t="s">
        <v>700</v>
      </c>
      <c r="C2" s="82" t="s">
        <v>701</v>
      </c>
      <c r="D2" s="82" t="s">
        <v>710</v>
      </c>
      <c r="E2" s="83"/>
      <c r="F2" s="83"/>
      <c r="G2" s="83"/>
      <c r="H2" s="84">
        <v>1</v>
      </c>
      <c r="I2" s="84">
        <v>1</v>
      </c>
      <c r="J2" s="83"/>
      <c r="K2" s="84">
        <v>2</v>
      </c>
      <c r="L2" s="84">
        <v>6</v>
      </c>
      <c r="M2" s="84">
        <v>2</v>
      </c>
      <c r="N2" s="85">
        <v>6</v>
      </c>
      <c r="O2" s="84">
        <v>6</v>
      </c>
      <c r="P2" s="84">
        <v>2</v>
      </c>
      <c r="Q2" s="84">
        <v>6</v>
      </c>
      <c r="R2" s="84">
        <v>2</v>
      </c>
      <c r="S2" s="84">
        <v>2</v>
      </c>
      <c r="T2" s="86"/>
      <c r="U2" s="86"/>
      <c r="V2" s="86"/>
      <c r="W2" s="86"/>
      <c r="X2" s="86"/>
      <c r="Y2" s="86"/>
      <c r="Z2" s="86"/>
    </row>
    <row r="3" spans="1:26">
      <c r="A3" s="81" t="s">
        <v>613</v>
      </c>
      <c r="B3" s="82" t="s">
        <v>700</v>
      </c>
      <c r="C3" s="82" t="s">
        <v>701</v>
      </c>
      <c r="D3" s="82" t="s">
        <v>711</v>
      </c>
      <c r="E3" s="83"/>
      <c r="F3" s="83"/>
      <c r="G3" s="83"/>
      <c r="H3" s="84">
        <v>1</v>
      </c>
      <c r="I3" s="84">
        <v>1</v>
      </c>
      <c r="J3" s="87">
        <v>2</v>
      </c>
      <c r="K3" s="84">
        <v>2</v>
      </c>
      <c r="L3" s="84">
        <v>10</v>
      </c>
      <c r="M3" s="84">
        <v>2</v>
      </c>
      <c r="N3" s="85">
        <v>10</v>
      </c>
      <c r="O3" s="84">
        <v>10</v>
      </c>
      <c r="P3" s="84">
        <v>2</v>
      </c>
      <c r="Q3" s="84">
        <v>10</v>
      </c>
      <c r="R3" s="84">
        <v>2</v>
      </c>
      <c r="S3" s="84">
        <v>2</v>
      </c>
      <c r="T3" s="86"/>
      <c r="U3" s="86"/>
      <c r="V3" s="86"/>
      <c r="W3" s="86"/>
      <c r="X3" s="86"/>
      <c r="Y3" s="86"/>
      <c r="Z3" s="86"/>
    </row>
    <row r="4" spans="1:26">
      <c r="A4" s="81" t="s">
        <v>79</v>
      </c>
      <c r="B4" s="82" t="s">
        <v>701</v>
      </c>
      <c r="C4" s="82" t="s">
        <v>701</v>
      </c>
      <c r="D4" s="82" t="s">
        <v>712</v>
      </c>
      <c r="E4" s="83"/>
      <c r="F4" s="83"/>
      <c r="G4" s="83"/>
      <c r="H4" s="83"/>
      <c r="I4" s="84">
        <v>2</v>
      </c>
      <c r="J4" s="84">
        <v>2</v>
      </c>
      <c r="K4" s="84">
        <v>1</v>
      </c>
      <c r="L4" s="84">
        <v>9</v>
      </c>
      <c r="M4" s="84">
        <v>2</v>
      </c>
      <c r="N4" s="85">
        <v>9</v>
      </c>
      <c r="O4" s="84">
        <v>9</v>
      </c>
      <c r="P4" s="84">
        <v>2</v>
      </c>
      <c r="Q4" s="84">
        <v>9</v>
      </c>
      <c r="R4" s="84">
        <v>2</v>
      </c>
      <c r="S4" s="84">
        <v>2</v>
      </c>
      <c r="T4" s="86"/>
      <c r="U4" s="86"/>
      <c r="V4" s="86"/>
      <c r="W4" s="86"/>
      <c r="X4" s="86"/>
      <c r="Y4" s="86"/>
      <c r="Z4" s="86"/>
    </row>
    <row r="5" spans="1:26">
      <c r="A5" s="81" t="s">
        <v>28</v>
      </c>
      <c r="B5" s="82" t="s">
        <v>700</v>
      </c>
      <c r="C5" s="82" t="s">
        <v>701</v>
      </c>
      <c r="D5" s="82" t="s">
        <v>713</v>
      </c>
      <c r="E5" s="83"/>
      <c r="F5" s="83"/>
      <c r="G5" s="83"/>
      <c r="H5" s="84">
        <v>1</v>
      </c>
      <c r="I5" s="84">
        <v>1</v>
      </c>
      <c r="J5" s="83"/>
      <c r="K5" s="84">
        <v>4</v>
      </c>
      <c r="L5" s="84">
        <v>8</v>
      </c>
      <c r="M5" s="84">
        <v>2</v>
      </c>
      <c r="N5" s="83"/>
      <c r="O5" s="84">
        <v>8</v>
      </c>
      <c r="P5" s="84">
        <v>2</v>
      </c>
      <c r="Q5" s="84">
        <v>8</v>
      </c>
      <c r="R5" s="84">
        <v>2</v>
      </c>
      <c r="S5" s="84">
        <v>2</v>
      </c>
      <c r="T5" s="86"/>
      <c r="U5" s="86"/>
      <c r="V5" s="86"/>
      <c r="W5" s="86"/>
      <c r="X5" s="86"/>
      <c r="Y5" s="86"/>
      <c r="Z5" s="86"/>
    </row>
    <row r="6" spans="1:26">
      <c r="A6" s="81" t="s">
        <v>636</v>
      </c>
      <c r="B6" s="82" t="s">
        <v>700</v>
      </c>
      <c r="C6" s="82" t="s">
        <v>700</v>
      </c>
      <c r="D6" s="82" t="s">
        <v>701</v>
      </c>
      <c r="E6" s="83"/>
      <c r="F6" s="83"/>
      <c r="G6" s="83"/>
      <c r="H6" s="84">
        <v>2</v>
      </c>
      <c r="I6" s="84">
        <v>1</v>
      </c>
      <c r="J6" s="83"/>
      <c r="K6" s="84"/>
      <c r="L6" s="84">
        <v>6</v>
      </c>
      <c r="M6" s="84">
        <v>2</v>
      </c>
      <c r="N6" s="88">
        <v>6</v>
      </c>
      <c r="O6" s="84">
        <v>6</v>
      </c>
      <c r="P6" s="84">
        <v>2</v>
      </c>
      <c r="Q6" s="84">
        <v>6</v>
      </c>
      <c r="R6" s="84">
        <v>2</v>
      </c>
      <c r="S6" s="84">
        <v>2</v>
      </c>
      <c r="T6" s="86"/>
      <c r="U6" s="86"/>
      <c r="V6" s="86"/>
      <c r="W6" s="86"/>
      <c r="X6" s="86"/>
      <c r="Y6" s="86"/>
      <c r="Z6" s="86"/>
    </row>
    <row r="7" spans="1:26">
      <c r="A7" s="81" t="s">
        <v>277</v>
      </c>
      <c r="B7" s="82" t="s">
        <v>700</v>
      </c>
      <c r="C7" s="82" t="s">
        <v>701</v>
      </c>
      <c r="D7" s="82" t="s">
        <v>629</v>
      </c>
      <c r="E7" s="89"/>
      <c r="F7" s="82"/>
      <c r="G7" s="82"/>
      <c r="H7" s="84">
        <v>1</v>
      </c>
      <c r="I7" s="84">
        <v>1</v>
      </c>
      <c r="J7" s="84">
        <v>1</v>
      </c>
      <c r="K7" s="82">
        <v>1</v>
      </c>
      <c r="L7" s="84">
        <v>7</v>
      </c>
      <c r="M7" s="84">
        <v>3</v>
      </c>
      <c r="N7" s="82"/>
      <c r="O7" s="84">
        <v>7</v>
      </c>
      <c r="P7" s="84">
        <v>3</v>
      </c>
      <c r="Q7" s="84">
        <v>7</v>
      </c>
      <c r="R7" s="84">
        <v>3</v>
      </c>
      <c r="S7" s="84">
        <v>3</v>
      </c>
      <c r="T7" s="86"/>
      <c r="U7" s="86"/>
      <c r="V7" s="86"/>
      <c r="W7" s="86"/>
      <c r="X7" s="86"/>
      <c r="Y7" s="86"/>
      <c r="Z7" s="86"/>
    </row>
    <row r="8" spans="1:26">
      <c r="A8" s="81" t="s">
        <v>451</v>
      </c>
      <c r="B8" s="82" t="s">
        <v>700</v>
      </c>
      <c r="C8" s="82" t="s">
        <v>714</v>
      </c>
      <c r="D8" s="82" t="s">
        <v>701</v>
      </c>
      <c r="E8" s="83"/>
      <c r="F8" s="83"/>
      <c r="G8" s="83"/>
      <c r="H8" s="84">
        <v>1</v>
      </c>
      <c r="I8" s="84">
        <v>3</v>
      </c>
      <c r="J8" s="83"/>
      <c r="K8" s="83"/>
      <c r="L8" s="84">
        <v>8</v>
      </c>
      <c r="M8" s="84">
        <v>2</v>
      </c>
      <c r="N8" s="85">
        <v>8</v>
      </c>
      <c r="O8" s="84">
        <v>8</v>
      </c>
      <c r="P8" s="84">
        <v>2</v>
      </c>
      <c r="Q8" s="84">
        <v>8</v>
      </c>
      <c r="R8" s="84">
        <v>2</v>
      </c>
      <c r="S8" s="84">
        <v>2</v>
      </c>
      <c r="T8" s="86"/>
      <c r="U8" s="86"/>
      <c r="V8" s="86"/>
      <c r="W8" s="86"/>
      <c r="X8" s="86"/>
      <c r="Y8" s="86"/>
      <c r="Z8" s="86"/>
    </row>
    <row r="9" spans="1:26">
      <c r="A9" s="81" t="s">
        <v>176</v>
      </c>
      <c r="B9" s="82" t="s">
        <v>700</v>
      </c>
      <c r="C9" s="82" t="s">
        <v>701</v>
      </c>
      <c r="D9" s="82" t="s">
        <v>712</v>
      </c>
      <c r="E9" s="83"/>
      <c r="F9" s="83"/>
      <c r="G9" s="83"/>
      <c r="H9" s="84">
        <v>1</v>
      </c>
      <c r="I9" s="84">
        <v>1</v>
      </c>
      <c r="J9" s="84">
        <v>2</v>
      </c>
      <c r="K9" s="84">
        <v>1</v>
      </c>
      <c r="L9" s="84">
        <v>9</v>
      </c>
      <c r="M9" s="84">
        <v>2</v>
      </c>
      <c r="N9" s="83"/>
      <c r="O9" s="84">
        <v>9</v>
      </c>
      <c r="P9" s="84">
        <v>2</v>
      </c>
      <c r="Q9" s="84">
        <v>9</v>
      </c>
      <c r="R9" s="84">
        <v>2</v>
      </c>
      <c r="S9" s="84">
        <v>2</v>
      </c>
      <c r="T9" s="86"/>
      <c r="U9" s="86"/>
      <c r="V9" s="86"/>
      <c r="W9" s="86"/>
      <c r="X9" s="86"/>
      <c r="Y9" s="86"/>
      <c r="Z9" s="86"/>
    </row>
    <row r="10" spans="1:26">
      <c r="A10" s="81" t="s">
        <v>238</v>
      </c>
      <c r="B10" s="82" t="s">
        <v>700</v>
      </c>
      <c r="C10" s="82" t="s">
        <v>701</v>
      </c>
      <c r="D10" s="82" t="s">
        <v>701</v>
      </c>
      <c r="E10" s="83"/>
      <c r="F10" s="83"/>
      <c r="G10" s="83"/>
      <c r="H10" s="83"/>
      <c r="I10" s="84">
        <v>3</v>
      </c>
      <c r="J10" s="83"/>
      <c r="K10" s="83"/>
      <c r="L10" s="84">
        <v>6</v>
      </c>
      <c r="M10" s="84">
        <v>2</v>
      </c>
      <c r="N10" s="85">
        <v>6</v>
      </c>
      <c r="O10" s="84">
        <v>6</v>
      </c>
      <c r="P10" s="84">
        <v>2</v>
      </c>
      <c r="Q10" s="84">
        <v>6</v>
      </c>
      <c r="R10" s="84">
        <v>2</v>
      </c>
      <c r="S10" s="84">
        <v>2</v>
      </c>
      <c r="T10" s="86"/>
      <c r="U10" s="86"/>
      <c r="V10" s="86"/>
      <c r="W10" s="86"/>
      <c r="X10" s="86"/>
      <c r="Y10" s="86"/>
      <c r="Z10" s="86"/>
    </row>
    <row r="11" spans="1:26">
      <c r="A11" s="81" t="s">
        <v>614</v>
      </c>
      <c r="B11" s="82" t="s">
        <v>700</v>
      </c>
      <c r="C11" s="82" t="s">
        <v>712</v>
      </c>
      <c r="D11" s="82"/>
      <c r="E11" s="83"/>
      <c r="F11" s="83"/>
      <c r="G11" s="83"/>
      <c r="H11" s="87">
        <v>1</v>
      </c>
      <c r="I11" s="84"/>
      <c r="J11" s="87">
        <v>2</v>
      </c>
      <c r="K11" s="87">
        <v>1</v>
      </c>
      <c r="L11" s="84">
        <v>7</v>
      </c>
      <c r="M11" s="84">
        <v>1</v>
      </c>
      <c r="N11" s="84"/>
      <c r="O11" s="84">
        <v>7</v>
      </c>
      <c r="P11" s="84">
        <v>1</v>
      </c>
      <c r="Q11" s="84">
        <v>7</v>
      </c>
      <c r="R11" s="84">
        <v>2</v>
      </c>
      <c r="S11" s="84">
        <v>1</v>
      </c>
      <c r="T11" s="86"/>
      <c r="U11" s="86"/>
      <c r="V11" s="86"/>
      <c r="W11" s="86"/>
      <c r="X11" s="86"/>
      <c r="Y11" s="86"/>
      <c r="Z11" s="86"/>
    </row>
    <row r="12" spans="1:26">
      <c r="A12" s="81" t="s">
        <v>33</v>
      </c>
      <c r="B12" s="82" t="s">
        <v>701</v>
      </c>
      <c r="C12" s="82" t="s">
        <v>712</v>
      </c>
      <c r="D12" s="83"/>
      <c r="E12" s="83"/>
      <c r="F12" s="83"/>
      <c r="G12" s="83"/>
      <c r="H12" s="83"/>
      <c r="I12" s="84">
        <v>1</v>
      </c>
      <c r="J12" s="84">
        <v>2</v>
      </c>
      <c r="K12" s="84">
        <v>1</v>
      </c>
      <c r="L12" s="84">
        <v>7</v>
      </c>
      <c r="M12" s="84">
        <v>1</v>
      </c>
      <c r="N12" s="90" t="s">
        <v>715</v>
      </c>
      <c r="O12" s="84">
        <v>7</v>
      </c>
      <c r="P12" s="84">
        <v>1</v>
      </c>
      <c r="Q12" s="84">
        <v>7</v>
      </c>
      <c r="R12" s="84">
        <v>2</v>
      </c>
      <c r="S12" s="84">
        <v>1</v>
      </c>
      <c r="T12" s="86"/>
      <c r="U12" s="86"/>
      <c r="V12" s="86"/>
      <c r="W12" s="86"/>
      <c r="X12" s="86"/>
      <c r="Y12" s="86"/>
      <c r="Z12" s="86"/>
    </row>
    <row r="13" spans="1:26">
      <c r="A13" s="81" t="s">
        <v>173</v>
      </c>
      <c r="B13" s="82" t="s">
        <v>700</v>
      </c>
      <c r="C13" s="82" t="s">
        <v>701</v>
      </c>
      <c r="D13" s="82" t="s">
        <v>716</v>
      </c>
      <c r="E13" s="83"/>
      <c r="F13" s="83"/>
      <c r="G13" s="83"/>
      <c r="H13" s="84">
        <v>1</v>
      </c>
      <c r="I13" s="84">
        <v>1</v>
      </c>
      <c r="J13" s="84">
        <v>1</v>
      </c>
      <c r="K13" s="84">
        <v>3</v>
      </c>
      <c r="L13" s="84">
        <v>9</v>
      </c>
      <c r="M13" s="84">
        <v>2</v>
      </c>
      <c r="N13" s="83"/>
      <c r="O13" s="84">
        <v>9</v>
      </c>
      <c r="P13" s="84">
        <v>2</v>
      </c>
      <c r="Q13" s="84">
        <v>9</v>
      </c>
      <c r="R13" s="84">
        <v>2</v>
      </c>
      <c r="S13" s="84">
        <v>2</v>
      </c>
      <c r="T13" s="86"/>
      <c r="U13" s="86"/>
      <c r="V13" s="86"/>
      <c r="W13" s="86"/>
      <c r="X13" s="86"/>
      <c r="Y13" s="86"/>
      <c r="Z13" s="86"/>
    </row>
    <row r="14" spans="1:26">
      <c r="A14" s="81" t="s">
        <v>650</v>
      </c>
      <c r="B14" s="82" t="s">
        <v>700</v>
      </c>
      <c r="C14" s="82" t="s">
        <v>701</v>
      </c>
      <c r="D14" s="82" t="s">
        <v>701</v>
      </c>
      <c r="E14" s="82" t="s">
        <v>710</v>
      </c>
      <c r="F14" s="83"/>
      <c r="G14" s="83"/>
      <c r="H14" s="84">
        <v>1</v>
      </c>
      <c r="I14" s="84">
        <v>2</v>
      </c>
      <c r="J14" s="83"/>
      <c r="K14" s="84">
        <v>2</v>
      </c>
      <c r="L14" s="84">
        <v>8</v>
      </c>
      <c r="M14" s="84">
        <v>2</v>
      </c>
      <c r="N14" s="91" t="s">
        <v>717</v>
      </c>
      <c r="O14" s="84">
        <v>8</v>
      </c>
      <c r="P14" s="84">
        <v>2</v>
      </c>
      <c r="Q14" s="84">
        <v>8</v>
      </c>
      <c r="R14" s="84">
        <v>2</v>
      </c>
      <c r="S14" s="84">
        <v>2</v>
      </c>
      <c r="T14" s="86"/>
      <c r="U14" s="86"/>
      <c r="V14" s="86"/>
      <c r="W14" s="86"/>
      <c r="X14" s="86"/>
      <c r="Y14" s="86"/>
      <c r="Z14" s="86"/>
    </row>
    <row r="15" spans="1:26">
      <c r="A15" s="81" t="s">
        <v>271</v>
      </c>
      <c r="B15" s="82" t="s">
        <v>700</v>
      </c>
      <c r="C15" s="82" t="s">
        <v>701</v>
      </c>
      <c r="D15" s="82" t="s">
        <v>710</v>
      </c>
      <c r="E15" s="82" t="s">
        <v>718</v>
      </c>
      <c r="F15" s="83"/>
      <c r="G15" s="83"/>
      <c r="H15" s="84">
        <v>1</v>
      </c>
      <c r="I15" s="84">
        <v>2</v>
      </c>
      <c r="J15" s="83"/>
      <c r="K15" s="84">
        <v>3</v>
      </c>
      <c r="L15" s="84">
        <v>9</v>
      </c>
      <c r="M15" s="84">
        <v>3</v>
      </c>
      <c r="N15" s="85">
        <v>9</v>
      </c>
      <c r="O15" s="84">
        <v>9</v>
      </c>
      <c r="P15" s="84">
        <v>3</v>
      </c>
      <c r="Q15" s="84">
        <v>9</v>
      </c>
      <c r="R15" s="84">
        <v>2</v>
      </c>
      <c r="S15" s="84">
        <v>3</v>
      </c>
      <c r="T15" s="86"/>
      <c r="U15" s="86"/>
      <c r="V15" s="86"/>
      <c r="W15" s="86"/>
      <c r="X15" s="86"/>
      <c r="Y15" s="86"/>
      <c r="Z15" s="86"/>
    </row>
    <row r="16" spans="1:26">
      <c r="A16" s="81" t="s">
        <v>719</v>
      </c>
      <c r="B16" s="82" t="s">
        <v>700</v>
      </c>
      <c r="C16" s="82" t="s">
        <v>700</v>
      </c>
      <c r="D16" s="82" t="s">
        <v>720</v>
      </c>
      <c r="E16" s="82"/>
      <c r="F16" s="82"/>
      <c r="G16" s="82"/>
      <c r="H16" s="84">
        <v>2</v>
      </c>
      <c r="I16" s="82"/>
      <c r="J16" s="84">
        <v>2</v>
      </c>
      <c r="K16" s="82"/>
      <c r="L16" s="84">
        <v>8</v>
      </c>
      <c r="M16" s="84">
        <v>2</v>
      </c>
      <c r="N16" s="82"/>
      <c r="O16" s="84">
        <v>8</v>
      </c>
      <c r="P16" s="84">
        <v>2</v>
      </c>
      <c r="Q16" s="84">
        <v>8</v>
      </c>
      <c r="R16" s="84">
        <v>2</v>
      </c>
      <c r="S16" s="84">
        <v>2</v>
      </c>
      <c r="T16" s="86"/>
      <c r="U16" s="86"/>
      <c r="V16" s="86"/>
      <c r="W16" s="86"/>
      <c r="X16" s="86"/>
      <c r="Y16" s="86"/>
      <c r="Z16" s="86"/>
    </row>
    <row r="17" spans="1:26">
      <c r="A17" s="81" t="s">
        <v>721</v>
      </c>
      <c r="B17" s="82" t="s">
        <v>700</v>
      </c>
      <c r="C17" s="82" t="s">
        <v>700</v>
      </c>
      <c r="D17" s="82" t="s">
        <v>701</v>
      </c>
      <c r="E17" s="82" t="s">
        <v>722</v>
      </c>
      <c r="F17" s="82"/>
      <c r="G17" s="82"/>
      <c r="H17" s="84">
        <v>2</v>
      </c>
      <c r="I17" s="84">
        <v>1</v>
      </c>
      <c r="J17" s="82"/>
      <c r="K17" s="84">
        <v>5</v>
      </c>
      <c r="L17" s="84">
        <v>11</v>
      </c>
      <c r="M17" s="84">
        <v>4</v>
      </c>
      <c r="N17" s="85">
        <v>11</v>
      </c>
      <c r="O17" s="84">
        <v>11</v>
      </c>
      <c r="P17" s="84">
        <v>4</v>
      </c>
      <c r="Q17" s="84">
        <v>11</v>
      </c>
      <c r="R17" s="84">
        <v>4</v>
      </c>
      <c r="S17" s="84">
        <v>4</v>
      </c>
      <c r="T17" s="86"/>
      <c r="U17" s="86"/>
      <c r="V17" s="86"/>
      <c r="W17" s="86"/>
      <c r="X17" s="86"/>
      <c r="Y17" s="86"/>
      <c r="Z17" s="86"/>
    </row>
    <row r="18" spans="1:26">
      <c r="A18" s="81" t="s">
        <v>587</v>
      </c>
      <c r="B18" s="82" t="s">
        <v>700</v>
      </c>
      <c r="C18" s="82" t="s">
        <v>701</v>
      </c>
      <c r="D18" s="82" t="s">
        <v>710</v>
      </c>
      <c r="E18" s="83"/>
      <c r="F18" s="83"/>
      <c r="G18" s="83"/>
      <c r="H18" s="84">
        <v>1</v>
      </c>
      <c r="I18" s="84">
        <v>1</v>
      </c>
      <c r="J18" s="83"/>
      <c r="K18" s="84">
        <v>2</v>
      </c>
      <c r="L18" s="84">
        <v>6</v>
      </c>
      <c r="M18" s="84">
        <v>2</v>
      </c>
      <c r="N18" s="85">
        <v>6</v>
      </c>
      <c r="O18" s="84">
        <v>6</v>
      </c>
      <c r="P18" s="84">
        <v>2</v>
      </c>
      <c r="Q18" s="84">
        <v>6</v>
      </c>
      <c r="R18" s="84">
        <v>2</v>
      </c>
      <c r="S18" s="84">
        <v>2</v>
      </c>
      <c r="T18" s="86"/>
      <c r="U18" s="86"/>
      <c r="V18" s="86"/>
      <c r="W18" s="86"/>
      <c r="X18" s="86"/>
      <c r="Y18" s="86"/>
      <c r="Z18" s="86"/>
    </row>
    <row r="19" spans="1:26">
      <c r="A19" s="81" t="s">
        <v>723</v>
      </c>
      <c r="B19" s="82" t="s">
        <v>700</v>
      </c>
      <c r="C19" s="82" t="s">
        <v>701</v>
      </c>
      <c r="D19" s="82" t="s">
        <v>701</v>
      </c>
      <c r="E19" s="82" t="s">
        <v>701</v>
      </c>
      <c r="F19" s="82"/>
      <c r="G19" s="82"/>
      <c r="H19" s="84">
        <v>1</v>
      </c>
      <c r="I19" s="84">
        <v>3</v>
      </c>
      <c r="J19" s="82"/>
      <c r="K19" s="82"/>
      <c r="L19" s="84">
        <v>8</v>
      </c>
      <c r="M19" s="84">
        <v>2</v>
      </c>
      <c r="N19" s="85">
        <v>8</v>
      </c>
      <c r="O19" s="84">
        <v>8</v>
      </c>
      <c r="P19" s="84">
        <v>2</v>
      </c>
      <c r="Q19" s="84">
        <v>8</v>
      </c>
      <c r="R19" s="84">
        <v>2</v>
      </c>
      <c r="S19" s="84">
        <v>2</v>
      </c>
      <c r="T19" s="86"/>
      <c r="U19" s="86"/>
      <c r="V19" s="86"/>
      <c r="W19" s="86"/>
      <c r="X19" s="86"/>
      <c r="Y19" s="86"/>
      <c r="Z19" s="86"/>
    </row>
    <row r="20" spans="1:26">
      <c r="A20" s="81" t="s">
        <v>22</v>
      </c>
      <c r="B20" s="82" t="s">
        <v>700</v>
      </c>
      <c r="C20" s="82" t="s">
        <v>701</v>
      </c>
      <c r="D20" s="82" t="s">
        <v>712</v>
      </c>
      <c r="E20" s="89" t="s">
        <v>724</v>
      </c>
      <c r="F20" s="83"/>
      <c r="G20" s="83"/>
      <c r="H20" s="84">
        <v>1</v>
      </c>
      <c r="I20" s="84">
        <v>2</v>
      </c>
      <c r="J20" s="84">
        <v>2</v>
      </c>
      <c r="K20" s="84">
        <v>1</v>
      </c>
      <c r="L20" s="84">
        <v>11</v>
      </c>
      <c r="M20" s="84">
        <v>2</v>
      </c>
      <c r="N20" s="85">
        <v>9</v>
      </c>
      <c r="O20" s="84">
        <v>11</v>
      </c>
      <c r="P20" s="84">
        <v>2</v>
      </c>
      <c r="Q20" s="84">
        <v>11</v>
      </c>
      <c r="R20" s="84">
        <v>2</v>
      </c>
      <c r="S20" s="84">
        <v>2</v>
      </c>
      <c r="T20" s="86"/>
      <c r="U20" s="86"/>
      <c r="V20" s="86"/>
      <c r="W20" s="86"/>
      <c r="X20" s="86"/>
      <c r="Y20" s="86"/>
      <c r="Z20" s="86"/>
    </row>
    <row r="21" spans="1:26">
      <c r="A21" s="81" t="s">
        <v>94</v>
      </c>
      <c r="B21" s="82" t="s">
        <v>700</v>
      </c>
      <c r="C21" s="82" t="s">
        <v>700</v>
      </c>
      <c r="D21" s="82" t="s">
        <v>701</v>
      </c>
      <c r="E21" s="82" t="s">
        <v>712</v>
      </c>
      <c r="F21" s="83"/>
      <c r="G21" s="83"/>
      <c r="H21" s="84">
        <v>2</v>
      </c>
      <c r="I21" s="84">
        <v>1</v>
      </c>
      <c r="J21" s="84">
        <v>2</v>
      </c>
      <c r="K21" s="84">
        <v>1</v>
      </c>
      <c r="L21" s="84">
        <v>11</v>
      </c>
      <c r="M21" s="84">
        <v>3</v>
      </c>
      <c r="N21" s="91" t="s">
        <v>725</v>
      </c>
      <c r="O21" s="84">
        <v>11</v>
      </c>
      <c r="P21" s="84">
        <v>3</v>
      </c>
      <c r="Q21" s="84">
        <v>11</v>
      </c>
      <c r="R21" s="84">
        <v>2</v>
      </c>
      <c r="S21" s="84">
        <v>3</v>
      </c>
      <c r="T21" s="86"/>
      <c r="U21" s="86"/>
      <c r="V21" s="86"/>
      <c r="W21" s="86"/>
      <c r="X21" s="86"/>
      <c r="Y21" s="86"/>
      <c r="Z21" s="86"/>
    </row>
    <row r="22" spans="1:26">
      <c r="A22" s="81" t="s">
        <v>592</v>
      </c>
      <c r="B22" s="82" t="s">
        <v>701</v>
      </c>
      <c r="C22" s="82" t="s">
        <v>700</v>
      </c>
      <c r="D22" s="82" t="s">
        <v>701</v>
      </c>
      <c r="E22" s="83"/>
      <c r="F22" s="83"/>
      <c r="G22" s="83"/>
      <c r="H22" s="84">
        <v>1</v>
      </c>
      <c r="I22" s="84">
        <v>2</v>
      </c>
      <c r="J22" s="83"/>
      <c r="K22" s="83"/>
      <c r="L22" s="84">
        <v>6</v>
      </c>
      <c r="M22" s="84">
        <v>2</v>
      </c>
      <c r="N22" s="83"/>
      <c r="O22" s="84">
        <v>6</v>
      </c>
      <c r="P22" s="84">
        <v>2</v>
      </c>
      <c r="Q22" s="84">
        <v>6</v>
      </c>
      <c r="R22" s="84">
        <v>2</v>
      </c>
      <c r="S22" s="84">
        <v>2</v>
      </c>
      <c r="T22" s="86"/>
      <c r="U22" s="86"/>
      <c r="V22" s="86"/>
      <c r="W22" s="86"/>
      <c r="X22" s="86"/>
      <c r="Y22" s="86"/>
      <c r="Z22" s="86"/>
    </row>
    <row r="23" spans="1:26">
      <c r="A23" s="81" t="s">
        <v>164</v>
      </c>
      <c r="B23" s="82" t="s">
        <v>700</v>
      </c>
      <c r="C23" s="82" t="s">
        <v>701</v>
      </c>
      <c r="D23" s="82" t="s">
        <v>712</v>
      </c>
      <c r="E23" s="83"/>
      <c r="F23" s="83"/>
      <c r="G23" s="83"/>
      <c r="H23" s="84">
        <v>1</v>
      </c>
      <c r="I23" s="84">
        <v>1</v>
      </c>
      <c r="J23" s="84">
        <v>2</v>
      </c>
      <c r="K23" s="84">
        <v>1</v>
      </c>
      <c r="L23" s="84">
        <v>9</v>
      </c>
      <c r="M23" s="84">
        <v>2</v>
      </c>
      <c r="N23" s="85">
        <v>9</v>
      </c>
      <c r="O23" s="84">
        <v>9</v>
      </c>
      <c r="P23" s="84">
        <v>2</v>
      </c>
      <c r="Q23" s="84">
        <v>9</v>
      </c>
      <c r="R23" s="84">
        <v>2</v>
      </c>
      <c r="S23" s="84">
        <v>2</v>
      </c>
      <c r="T23" s="86"/>
      <c r="U23" s="86"/>
      <c r="V23" s="86"/>
      <c r="W23" s="86"/>
      <c r="X23" s="86"/>
      <c r="Y23" s="86"/>
      <c r="Z23" s="86"/>
    </row>
    <row r="24" spans="1:26">
      <c r="A24" s="81" t="s">
        <v>610</v>
      </c>
      <c r="B24" s="82" t="s">
        <v>700</v>
      </c>
      <c r="C24" s="82" t="s">
        <v>701</v>
      </c>
      <c r="D24" s="82" t="s">
        <v>701</v>
      </c>
      <c r="E24" s="83"/>
      <c r="F24" s="83"/>
      <c r="G24" s="83"/>
      <c r="H24" s="84">
        <v>1</v>
      </c>
      <c r="I24" s="84">
        <v>2</v>
      </c>
      <c r="J24" s="83"/>
      <c r="K24" s="83"/>
      <c r="L24" s="84">
        <v>6</v>
      </c>
      <c r="M24" s="84">
        <v>2</v>
      </c>
      <c r="N24" s="83"/>
      <c r="O24" s="84">
        <v>6</v>
      </c>
      <c r="P24" s="84">
        <v>2</v>
      </c>
      <c r="Q24" s="84">
        <v>6</v>
      </c>
      <c r="R24" s="84">
        <v>2</v>
      </c>
      <c r="S24" s="84">
        <v>2</v>
      </c>
      <c r="T24" s="86"/>
      <c r="U24" s="86"/>
      <c r="V24" s="86"/>
      <c r="W24" s="86"/>
      <c r="X24" s="86"/>
      <c r="Y24" s="86"/>
      <c r="Z24" s="86"/>
    </row>
    <row r="25" spans="1:26">
      <c r="A25" s="81" t="s">
        <v>368</v>
      </c>
      <c r="B25" s="82" t="s">
        <v>700</v>
      </c>
      <c r="C25" s="82" t="s">
        <v>701</v>
      </c>
      <c r="D25" s="82" t="s">
        <v>712</v>
      </c>
      <c r="E25" s="83"/>
      <c r="F25" s="83"/>
      <c r="G25" s="83"/>
      <c r="H25" s="84">
        <v>1</v>
      </c>
      <c r="I25" s="84">
        <v>1</v>
      </c>
      <c r="J25" s="84">
        <v>2</v>
      </c>
      <c r="K25" s="84">
        <v>1</v>
      </c>
      <c r="L25" s="84">
        <v>9</v>
      </c>
      <c r="M25" s="84">
        <v>3</v>
      </c>
      <c r="N25" s="85">
        <v>9</v>
      </c>
      <c r="O25" s="84">
        <v>9</v>
      </c>
      <c r="P25" s="84">
        <v>3</v>
      </c>
      <c r="Q25" s="84">
        <v>9</v>
      </c>
      <c r="R25" s="84">
        <v>2</v>
      </c>
      <c r="S25" s="84">
        <v>3</v>
      </c>
      <c r="T25" s="86"/>
      <c r="U25" s="86"/>
      <c r="V25" s="86"/>
      <c r="W25" s="86"/>
      <c r="X25" s="86"/>
      <c r="Y25" s="86"/>
      <c r="Z25" s="86"/>
    </row>
    <row r="26" spans="1:26">
      <c r="A26" s="81" t="s">
        <v>319</v>
      </c>
      <c r="B26" s="82" t="s">
        <v>700</v>
      </c>
      <c r="C26" s="82" t="s">
        <v>701</v>
      </c>
      <c r="D26" s="82" t="s">
        <v>712</v>
      </c>
      <c r="E26" s="83"/>
      <c r="F26" s="83"/>
      <c r="G26" s="83"/>
      <c r="H26" s="84">
        <v>1</v>
      </c>
      <c r="I26" s="84">
        <v>1</v>
      </c>
      <c r="J26" s="84">
        <v>2</v>
      </c>
      <c r="K26" s="84">
        <v>1</v>
      </c>
      <c r="L26" s="84">
        <v>9</v>
      </c>
      <c r="M26" s="84">
        <v>2</v>
      </c>
      <c r="N26" s="91" t="s">
        <v>726</v>
      </c>
      <c r="O26" s="84">
        <v>9</v>
      </c>
      <c r="P26" s="84">
        <v>2</v>
      </c>
      <c r="Q26" s="84">
        <v>9</v>
      </c>
      <c r="R26" s="84">
        <v>2</v>
      </c>
      <c r="S26" s="84">
        <v>2</v>
      </c>
      <c r="T26" s="86"/>
      <c r="U26" s="86"/>
      <c r="V26" s="86"/>
      <c r="W26" s="86"/>
      <c r="X26" s="86"/>
      <c r="Y26" s="86"/>
      <c r="Z26" s="86"/>
    </row>
    <row r="27" spans="1:26">
      <c r="A27" s="81" t="s">
        <v>596</v>
      </c>
      <c r="B27" s="82" t="s">
        <v>701</v>
      </c>
      <c r="C27" s="82" t="s">
        <v>701</v>
      </c>
      <c r="D27" s="82" t="s">
        <v>710</v>
      </c>
      <c r="E27" s="83"/>
      <c r="F27" s="83"/>
      <c r="G27" s="83"/>
      <c r="H27" s="83"/>
      <c r="I27" s="84">
        <v>2</v>
      </c>
      <c r="J27" s="83"/>
      <c r="K27" s="84">
        <v>2</v>
      </c>
      <c r="L27" s="84">
        <v>6</v>
      </c>
      <c r="M27" s="84">
        <v>2</v>
      </c>
      <c r="N27" s="83"/>
      <c r="O27" s="84">
        <v>6</v>
      </c>
      <c r="P27" s="84">
        <v>2</v>
      </c>
      <c r="Q27" s="84">
        <v>6</v>
      </c>
      <c r="R27" s="84">
        <v>2</v>
      </c>
      <c r="S27" s="84">
        <v>2</v>
      </c>
      <c r="T27" s="86"/>
      <c r="U27" s="86"/>
      <c r="V27" s="86"/>
      <c r="W27" s="86"/>
      <c r="X27" s="86"/>
      <c r="Y27" s="86"/>
      <c r="Z27" s="86"/>
    </row>
    <row r="28" spans="1:26">
      <c r="A28" s="81" t="s">
        <v>673</v>
      </c>
      <c r="B28" s="82" t="s">
        <v>701</v>
      </c>
      <c r="C28" s="82" t="s">
        <v>700</v>
      </c>
      <c r="D28" s="82" t="s">
        <v>720</v>
      </c>
      <c r="E28" s="82"/>
      <c r="F28" s="82"/>
      <c r="G28" s="82"/>
      <c r="H28" s="84">
        <v>1</v>
      </c>
      <c r="I28" s="84">
        <v>1</v>
      </c>
      <c r="J28" s="84">
        <v>2</v>
      </c>
      <c r="K28" s="82"/>
      <c r="L28" s="84">
        <v>8</v>
      </c>
      <c r="M28" s="84">
        <v>2</v>
      </c>
      <c r="N28" s="85">
        <v>8</v>
      </c>
      <c r="O28" s="84">
        <v>8</v>
      </c>
      <c r="P28" s="84">
        <v>2</v>
      </c>
      <c r="Q28" s="84">
        <v>8</v>
      </c>
      <c r="R28" s="84">
        <v>2</v>
      </c>
      <c r="S28" s="84">
        <v>2</v>
      </c>
      <c r="T28" s="86"/>
      <c r="U28" s="86"/>
      <c r="V28" s="86"/>
      <c r="W28" s="86"/>
      <c r="X28" s="86"/>
      <c r="Y28" s="86"/>
      <c r="Z28" s="86"/>
    </row>
    <row r="29" spans="1:26">
      <c r="A29" s="81" t="s">
        <v>36</v>
      </c>
      <c r="B29" s="82" t="s">
        <v>700</v>
      </c>
      <c r="C29" s="82" t="s">
        <v>714</v>
      </c>
      <c r="D29" s="82" t="s">
        <v>701</v>
      </c>
      <c r="E29" s="82" t="s">
        <v>720</v>
      </c>
      <c r="F29" s="83"/>
      <c r="G29" s="83"/>
      <c r="H29" s="83">
        <v>1</v>
      </c>
      <c r="I29" s="84">
        <v>3</v>
      </c>
      <c r="J29" s="84">
        <v>2</v>
      </c>
      <c r="K29" s="83"/>
      <c r="L29" s="84">
        <v>12</v>
      </c>
      <c r="M29" s="84">
        <v>2</v>
      </c>
      <c r="N29" s="85">
        <v>12</v>
      </c>
      <c r="O29" s="84">
        <v>12</v>
      </c>
      <c r="P29" s="84">
        <v>2</v>
      </c>
      <c r="Q29" s="84">
        <v>12</v>
      </c>
      <c r="R29" s="84">
        <v>2</v>
      </c>
      <c r="S29" s="84">
        <v>2</v>
      </c>
      <c r="T29" s="86"/>
      <c r="U29" s="86"/>
      <c r="V29" s="86"/>
      <c r="W29" s="86"/>
      <c r="X29" s="86"/>
      <c r="Y29" s="86"/>
      <c r="Z29" s="86"/>
    </row>
    <row r="30" spans="1:26">
      <c r="A30" s="81" t="s">
        <v>59</v>
      </c>
      <c r="B30" s="82" t="s">
        <v>700</v>
      </c>
      <c r="C30" s="82" t="s">
        <v>701</v>
      </c>
      <c r="D30" s="82" t="s">
        <v>701</v>
      </c>
      <c r="E30" s="83"/>
      <c r="F30" s="83"/>
      <c r="G30" s="83"/>
      <c r="H30" s="84">
        <v>1</v>
      </c>
      <c r="I30" s="84">
        <v>2</v>
      </c>
      <c r="J30" s="83"/>
      <c r="K30" s="83"/>
      <c r="L30" s="84">
        <v>6</v>
      </c>
      <c r="M30" s="84">
        <v>2</v>
      </c>
      <c r="N30" s="85">
        <v>6</v>
      </c>
      <c r="O30" s="84">
        <v>6</v>
      </c>
      <c r="P30" s="84">
        <v>2</v>
      </c>
      <c r="Q30" s="84">
        <v>6</v>
      </c>
      <c r="R30" s="84">
        <v>2</v>
      </c>
      <c r="S30" s="84">
        <v>2</v>
      </c>
      <c r="T30" s="86"/>
      <c r="U30" s="86"/>
      <c r="V30" s="86"/>
      <c r="W30" s="86"/>
      <c r="X30" s="86"/>
      <c r="Y30" s="86"/>
      <c r="Z30" s="86"/>
    </row>
    <row r="31" spans="1:26">
      <c r="A31" s="81" t="s">
        <v>363</v>
      </c>
      <c r="B31" s="82" t="s">
        <v>700</v>
      </c>
      <c r="C31" s="82" t="s">
        <v>701</v>
      </c>
      <c r="D31" s="82" t="s">
        <v>712</v>
      </c>
      <c r="E31" s="83"/>
      <c r="F31" s="83"/>
      <c r="G31" s="83"/>
      <c r="H31" s="84">
        <v>1</v>
      </c>
      <c r="I31" s="84">
        <v>1</v>
      </c>
      <c r="J31" s="84">
        <v>2</v>
      </c>
      <c r="K31" s="84">
        <v>1</v>
      </c>
      <c r="L31" s="84">
        <v>9</v>
      </c>
      <c r="M31" s="84">
        <v>2</v>
      </c>
      <c r="N31" s="90" t="s">
        <v>726</v>
      </c>
      <c r="O31" s="84">
        <v>9</v>
      </c>
      <c r="P31" s="84">
        <v>2</v>
      </c>
      <c r="Q31" s="84">
        <v>9</v>
      </c>
      <c r="R31" s="84">
        <v>2</v>
      </c>
      <c r="S31" s="84">
        <v>2</v>
      </c>
      <c r="T31" s="86"/>
      <c r="U31" s="86"/>
      <c r="V31" s="86"/>
      <c r="W31" s="86"/>
      <c r="X31" s="86"/>
      <c r="Y31" s="86"/>
      <c r="Z31" s="86"/>
    </row>
    <row r="32" spans="1:26">
      <c r="A32" s="81" t="s">
        <v>246</v>
      </c>
      <c r="B32" s="82" t="s">
        <v>700</v>
      </c>
      <c r="C32" s="82" t="s">
        <v>701</v>
      </c>
      <c r="D32" s="82" t="s">
        <v>701</v>
      </c>
      <c r="E32" s="82" t="s">
        <v>720</v>
      </c>
      <c r="F32" s="82"/>
      <c r="G32" s="82"/>
      <c r="H32" s="84">
        <v>1</v>
      </c>
      <c r="I32" s="84">
        <v>2</v>
      </c>
      <c r="J32" s="84">
        <v>2</v>
      </c>
      <c r="K32" s="82"/>
      <c r="L32" s="84">
        <v>10</v>
      </c>
      <c r="M32" s="84">
        <v>2</v>
      </c>
      <c r="N32" s="85">
        <v>10</v>
      </c>
      <c r="O32" s="84">
        <v>10</v>
      </c>
      <c r="P32" s="84">
        <v>2</v>
      </c>
      <c r="Q32" s="84">
        <v>10</v>
      </c>
      <c r="R32" s="84">
        <v>2</v>
      </c>
      <c r="S32" s="84">
        <v>2</v>
      </c>
      <c r="T32" s="86"/>
      <c r="U32" s="86"/>
      <c r="V32" s="86"/>
      <c r="W32" s="86"/>
      <c r="X32" s="86"/>
      <c r="Y32" s="86"/>
      <c r="Z32" s="86"/>
    </row>
    <row r="33" spans="1:26">
      <c r="A33" s="81" t="s">
        <v>607</v>
      </c>
      <c r="B33" s="82" t="s">
        <v>700</v>
      </c>
      <c r="C33" s="82" t="s">
        <v>701</v>
      </c>
      <c r="D33" s="82" t="s">
        <v>700</v>
      </c>
      <c r="E33" s="82" t="s">
        <v>716</v>
      </c>
      <c r="F33" s="82"/>
      <c r="G33" s="82"/>
      <c r="H33" s="84">
        <v>2</v>
      </c>
      <c r="I33" s="84">
        <v>1</v>
      </c>
      <c r="J33" s="84">
        <v>1</v>
      </c>
      <c r="K33" s="84">
        <v>2</v>
      </c>
      <c r="L33" s="84">
        <v>10</v>
      </c>
      <c r="M33" s="84">
        <v>3.5</v>
      </c>
      <c r="N33" s="82"/>
      <c r="O33" s="84">
        <v>10</v>
      </c>
      <c r="P33" s="84">
        <v>4</v>
      </c>
      <c r="Q33" s="84">
        <v>10</v>
      </c>
      <c r="R33" s="84">
        <v>4</v>
      </c>
      <c r="S33" s="84">
        <v>4</v>
      </c>
      <c r="T33" s="86"/>
      <c r="U33" s="86"/>
      <c r="V33" s="86"/>
      <c r="W33" s="86"/>
      <c r="X33" s="86"/>
      <c r="Y33" s="86"/>
      <c r="Z33" s="86"/>
    </row>
    <row r="34" spans="1:26">
      <c r="A34" s="81" t="s">
        <v>602</v>
      </c>
      <c r="B34" s="82" t="s">
        <v>700</v>
      </c>
      <c r="C34" s="82" t="s">
        <v>700</v>
      </c>
      <c r="D34" s="82" t="s">
        <v>700</v>
      </c>
      <c r="E34" s="83" t="s">
        <v>720</v>
      </c>
      <c r="F34" s="83"/>
      <c r="G34" s="83"/>
      <c r="H34" s="84">
        <v>3</v>
      </c>
      <c r="I34" s="84"/>
      <c r="J34" s="84">
        <v>2</v>
      </c>
      <c r="K34" s="84"/>
      <c r="L34" s="84">
        <v>0</v>
      </c>
      <c r="M34" s="84">
        <v>4</v>
      </c>
      <c r="N34" s="88">
        <v>10</v>
      </c>
      <c r="O34" s="84"/>
      <c r="P34" s="84">
        <v>4</v>
      </c>
      <c r="Q34" s="84">
        <v>0</v>
      </c>
      <c r="R34" s="84">
        <v>4</v>
      </c>
      <c r="S34" s="84">
        <v>4</v>
      </c>
      <c r="T34" s="86"/>
      <c r="U34" s="86"/>
      <c r="V34" s="86"/>
      <c r="W34" s="86"/>
      <c r="X34" s="86"/>
      <c r="Y34" s="86"/>
      <c r="Z34" s="86"/>
    </row>
    <row r="35" spans="1:26">
      <c r="A35" s="81" t="s">
        <v>300</v>
      </c>
      <c r="B35" s="82" t="s">
        <v>701</v>
      </c>
      <c r="C35" s="82" t="s">
        <v>701</v>
      </c>
      <c r="D35" s="82" t="s">
        <v>710</v>
      </c>
      <c r="E35" s="83"/>
      <c r="F35" s="83"/>
      <c r="G35" s="83"/>
      <c r="H35" s="83"/>
      <c r="I35" s="84">
        <v>2</v>
      </c>
      <c r="J35" s="83"/>
      <c r="K35" s="84">
        <v>2</v>
      </c>
      <c r="L35" s="84">
        <v>6</v>
      </c>
      <c r="M35" s="84">
        <v>2</v>
      </c>
      <c r="N35" s="85">
        <v>6</v>
      </c>
      <c r="O35" s="84">
        <v>6</v>
      </c>
      <c r="P35" s="84">
        <v>2</v>
      </c>
      <c r="Q35" s="84">
        <v>6</v>
      </c>
      <c r="R35" s="84">
        <v>2</v>
      </c>
      <c r="S35" s="84">
        <v>2</v>
      </c>
      <c r="T35" s="86"/>
      <c r="U35" s="86"/>
      <c r="V35" s="86"/>
      <c r="W35" s="86"/>
      <c r="X35" s="86"/>
      <c r="Y35" s="86"/>
      <c r="Z35" s="86"/>
    </row>
    <row r="36" spans="1:26">
      <c r="A36" s="81" t="s">
        <v>389</v>
      </c>
      <c r="B36" s="82" t="s">
        <v>701</v>
      </c>
      <c r="C36" s="82" t="s">
        <v>720</v>
      </c>
      <c r="D36" s="83"/>
      <c r="E36" s="83"/>
      <c r="F36" s="83"/>
      <c r="G36" s="83"/>
      <c r="H36" s="83"/>
      <c r="I36" s="84">
        <v>1</v>
      </c>
      <c r="J36" s="84">
        <v>2</v>
      </c>
      <c r="K36" s="84">
        <v>0</v>
      </c>
      <c r="L36" s="84">
        <v>6</v>
      </c>
      <c r="M36" s="84">
        <v>1</v>
      </c>
      <c r="N36" s="92" t="s">
        <v>727</v>
      </c>
      <c r="O36" s="84">
        <v>7</v>
      </c>
      <c r="P36" s="84">
        <v>1</v>
      </c>
      <c r="Q36" s="84">
        <v>7</v>
      </c>
      <c r="R36" s="84">
        <v>2</v>
      </c>
      <c r="S36" s="84">
        <v>1</v>
      </c>
      <c r="T36" s="86"/>
      <c r="U36" s="86"/>
      <c r="V36" s="86"/>
      <c r="W36" s="86"/>
      <c r="X36" s="86"/>
      <c r="Y36" s="86"/>
      <c r="Z36" s="86"/>
    </row>
    <row r="37" spans="1:26">
      <c r="A37" s="81" t="s">
        <v>594</v>
      </c>
      <c r="B37" s="82" t="s">
        <v>701</v>
      </c>
      <c r="C37" s="82" t="s">
        <v>720</v>
      </c>
      <c r="D37" s="83"/>
      <c r="E37" s="83"/>
      <c r="F37" s="83"/>
      <c r="G37" s="83"/>
      <c r="H37" s="83"/>
      <c r="I37" s="84">
        <v>1</v>
      </c>
      <c r="J37" s="84">
        <v>2</v>
      </c>
      <c r="K37" s="84">
        <v>0</v>
      </c>
      <c r="L37" s="84">
        <v>6</v>
      </c>
      <c r="M37" s="84">
        <v>1</v>
      </c>
      <c r="N37" s="92" t="s">
        <v>727</v>
      </c>
      <c r="O37" s="84">
        <v>7</v>
      </c>
      <c r="P37" s="84">
        <v>1</v>
      </c>
      <c r="Q37" s="84">
        <v>7</v>
      </c>
      <c r="R37" s="84">
        <v>2</v>
      </c>
      <c r="S37" s="84">
        <v>1</v>
      </c>
      <c r="T37" s="86"/>
      <c r="U37" s="86"/>
      <c r="V37" s="86"/>
      <c r="W37" s="86"/>
      <c r="X37" s="86"/>
      <c r="Y37" s="86"/>
      <c r="Z37" s="86"/>
    </row>
    <row r="38" spans="1:26">
      <c r="A38" s="93" t="s">
        <v>86</v>
      </c>
      <c r="B38" s="94" t="s">
        <v>700</v>
      </c>
      <c r="C38" s="94" t="s">
        <v>701</v>
      </c>
      <c r="D38" s="94" t="s">
        <v>701</v>
      </c>
      <c r="E38" s="94" t="s">
        <v>710</v>
      </c>
      <c r="F38" s="94"/>
      <c r="G38" s="94"/>
      <c r="H38" s="94">
        <v>1</v>
      </c>
      <c r="I38" s="94">
        <v>2</v>
      </c>
      <c r="J38" s="94"/>
      <c r="K38" s="94">
        <v>2</v>
      </c>
      <c r="L38" s="84">
        <v>9</v>
      </c>
      <c r="M38" s="94">
        <v>3</v>
      </c>
      <c r="N38" s="85">
        <v>9</v>
      </c>
      <c r="O38" s="84">
        <v>9</v>
      </c>
      <c r="P38" s="84">
        <v>2</v>
      </c>
      <c r="Q38" s="84">
        <v>9</v>
      </c>
      <c r="R38" s="84">
        <v>2</v>
      </c>
      <c r="S38" s="84">
        <v>2</v>
      </c>
      <c r="T38" s="86"/>
      <c r="U38" s="86"/>
      <c r="V38" s="86"/>
      <c r="W38" s="86"/>
      <c r="X38" s="86"/>
      <c r="Y38" s="86"/>
      <c r="Z38" s="86"/>
    </row>
    <row r="39" spans="1:26">
      <c r="A39" s="81" t="s">
        <v>185</v>
      </c>
      <c r="B39" s="82" t="s">
        <v>700</v>
      </c>
      <c r="C39" s="82" t="s">
        <v>701</v>
      </c>
      <c r="D39" s="82" t="s">
        <v>711</v>
      </c>
      <c r="E39" s="82" t="s">
        <v>718</v>
      </c>
      <c r="F39" s="82" t="s">
        <v>712</v>
      </c>
      <c r="G39" s="83"/>
      <c r="H39" s="84">
        <v>1</v>
      </c>
      <c r="I39" s="84">
        <v>2</v>
      </c>
      <c r="J39" s="84">
        <v>4</v>
      </c>
      <c r="K39" s="84">
        <v>4</v>
      </c>
      <c r="L39" s="84">
        <v>18</v>
      </c>
      <c r="M39" s="84">
        <v>3</v>
      </c>
      <c r="N39" s="85">
        <v>18</v>
      </c>
      <c r="O39" s="84">
        <v>18</v>
      </c>
      <c r="P39" s="84">
        <v>3</v>
      </c>
      <c r="Q39" s="84">
        <v>18</v>
      </c>
      <c r="R39" s="84">
        <v>4</v>
      </c>
      <c r="S39" s="84">
        <v>3</v>
      </c>
      <c r="T39" s="86"/>
      <c r="U39" s="86"/>
      <c r="V39" s="86"/>
      <c r="W39" s="86"/>
      <c r="X39" s="86"/>
      <c r="Y39" s="86"/>
      <c r="Z39" s="86"/>
    </row>
    <row r="40" spans="1:26">
      <c r="A40" s="81" t="s">
        <v>584</v>
      </c>
      <c r="B40" s="82" t="s">
        <v>700</v>
      </c>
      <c r="C40" s="82" t="s">
        <v>718</v>
      </c>
      <c r="D40" s="82" t="s">
        <v>718</v>
      </c>
      <c r="E40" s="82" t="s">
        <v>701</v>
      </c>
      <c r="F40" s="82" t="s">
        <v>712</v>
      </c>
      <c r="G40" s="82" t="s">
        <v>712</v>
      </c>
      <c r="H40" s="84">
        <v>1</v>
      </c>
      <c r="I40" s="84">
        <v>3</v>
      </c>
      <c r="J40" s="84">
        <v>4</v>
      </c>
      <c r="K40" s="84">
        <v>4</v>
      </c>
      <c r="L40" s="84">
        <v>20</v>
      </c>
      <c r="M40" s="84">
        <v>4</v>
      </c>
      <c r="N40" s="85">
        <v>20</v>
      </c>
      <c r="O40" s="84">
        <v>20</v>
      </c>
      <c r="P40" s="84">
        <v>4</v>
      </c>
      <c r="Q40" s="84">
        <v>20</v>
      </c>
      <c r="R40" s="84">
        <v>4</v>
      </c>
      <c r="S40" s="84">
        <v>4</v>
      </c>
      <c r="T40" s="86"/>
      <c r="U40" s="86"/>
      <c r="V40" s="86"/>
      <c r="W40" s="86"/>
      <c r="X40" s="86"/>
      <c r="Y40" s="86"/>
      <c r="Z40" s="86"/>
    </row>
    <row r="41" spans="1:26">
      <c r="A41" s="95" t="s">
        <v>728</v>
      </c>
      <c r="B41" s="96" t="s">
        <v>700</v>
      </c>
      <c r="C41" s="96" t="s">
        <v>701</v>
      </c>
      <c r="D41" s="96" t="s">
        <v>712</v>
      </c>
      <c r="E41" s="96" t="s">
        <v>612</v>
      </c>
      <c r="F41" s="82"/>
      <c r="G41" s="82"/>
      <c r="H41" s="84">
        <v>1</v>
      </c>
      <c r="I41" s="84">
        <v>1</v>
      </c>
      <c r="J41" s="84">
        <v>2</v>
      </c>
      <c r="K41" s="84">
        <v>1</v>
      </c>
      <c r="L41" s="84">
        <f>H41*2+I41*2+J41*2+K41*1</f>
        <v>9</v>
      </c>
      <c r="M41" s="84">
        <v>2</v>
      </c>
      <c r="N41" s="97">
        <f>L41</f>
        <v>9</v>
      </c>
      <c r="O41" s="84">
        <v>9</v>
      </c>
      <c r="P41" s="84">
        <f>M41</f>
        <v>2</v>
      </c>
      <c r="Q41" s="98">
        <f>L40</f>
        <v>20</v>
      </c>
      <c r="R41" s="84">
        <f>M41</f>
        <v>2</v>
      </c>
      <c r="S41" s="84">
        <f>M41</f>
        <v>2</v>
      </c>
      <c r="T41" s="86"/>
      <c r="U41" s="86"/>
      <c r="V41" s="86"/>
      <c r="W41" s="86"/>
      <c r="X41" s="86"/>
      <c r="Y41" s="86"/>
      <c r="Z41" s="86"/>
    </row>
    <row r="42" spans="1:26">
      <c r="A42" s="81" t="s">
        <v>448</v>
      </c>
      <c r="B42" s="82" t="s">
        <v>700</v>
      </c>
      <c r="C42" s="82" t="s">
        <v>701</v>
      </c>
      <c r="D42" s="82" t="s">
        <v>701</v>
      </c>
      <c r="E42" s="82" t="s">
        <v>729</v>
      </c>
      <c r="F42" s="83"/>
      <c r="G42" s="83"/>
      <c r="H42" s="84">
        <v>1</v>
      </c>
      <c r="I42" s="84">
        <v>3</v>
      </c>
      <c r="J42" s="84">
        <v>1</v>
      </c>
      <c r="K42" s="83"/>
      <c r="L42" s="98">
        <v>10</v>
      </c>
      <c r="M42" s="98">
        <v>3</v>
      </c>
      <c r="N42" s="99">
        <v>10</v>
      </c>
      <c r="O42" s="98">
        <v>10</v>
      </c>
      <c r="P42" s="84">
        <v>3</v>
      </c>
      <c r="Q42" s="98">
        <v>10</v>
      </c>
      <c r="R42" s="98">
        <v>2</v>
      </c>
      <c r="S42" s="84">
        <v>3</v>
      </c>
      <c r="T42" s="86"/>
      <c r="U42" s="86"/>
      <c r="V42" s="86"/>
      <c r="W42" s="86"/>
      <c r="X42" s="86"/>
      <c r="Y42" s="86"/>
      <c r="Z42" s="86"/>
    </row>
    <row r="43" spans="1:26">
      <c r="A43" s="100" t="s">
        <v>124</v>
      </c>
      <c r="B43" s="100" t="s">
        <v>701</v>
      </c>
      <c r="C43" s="100" t="s">
        <v>701</v>
      </c>
      <c r="D43" s="100" t="s">
        <v>712</v>
      </c>
      <c r="E43" s="101"/>
      <c r="F43" s="101"/>
      <c r="G43" s="101"/>
      <c r="H43" s="101"/>
      <c r="I43" s="102">
        <v>2</v>
      </c>
      <c r="J43" s="102">
        <v>2</v>
      </c>
      <c r="K43" s="102">
        <v>1</v>
      </c>
      <c r="L43" s="102">
        <v>9</v>
      </c>
      <c r="M43" s="102">
        <v>2</v>
      </c>
      <c r="N43" s="103">
        <v>9</v>
      </c>
      <c r="O43" s="102">
        <v>9</v>
      </c>
      <c r="P43" s="102">
        <v>2</v>
      </c>
      <c r="Q43" s="102">
        <v>9</v>
      </c>
      <c r="R43" s="102">
        <v>2</v>
      </c>
      <c r="S43" s="102">
        <v>2</v>
      </c>
      <c r="T43" s="86"/>
      <c r="U43" s="86"/>
      <c r="V43" s="86"/>
      <c r="W43" s="86"/>
      <c r="X43" s="86"/>
      <c r="Y43" s="86"/>
      <c r="Z43" s="86"/>
    </row>
    <row r="44" spans="1:26">
      <c r="A44" s="100" t="s">
        <v>593</v>
      </c>
      <c r="B44" s="104" t="s">
        <v>701</v>
      </c>
      <c r="C44" s="104" t="s">
        <v>701</v>
      </c>
      <c r="D44" s="104" t="s">
        <v>710</v>
      </c>
      <c r="E44" s="105"/>
      <c r="F44" s="105"/>
      <c r="G44" s="105"/>
      <c r="H44" s="105"/>
      <c r="I44" s="98">
        <v>2</v>
      </c>
      <c r="J44" s="105"/>
      <c r="K44" s="98">
        <v>2</v>
      </c>
      <c r="L44" s="98">
        <v>6</v>
      </c>
      <c r="M44" s="98">
        <v>2</v>
      </c>
      <c r="N44" s="99">
        <v>6</v>
      </c>
      <c r="O44" s="98">
        <v>6</v>
      </c>
      <c r="P44" s="98">
        <v>2</v>
      </c>
      <c r="Q44" s="98">
        <v>6</v>
      </c>
      <c r="R44" s="98">
        <v>2</v>
      </c>
      <c r="S44" s="98">
        <v>2</v>
      </c>
      <c r="T44" s="86"/>
      <c r="U44" s="86"/>
      <c r="V44" s="86"/>
      <c r="W44" s="86"/>
      <c r="X44" s="86"/>
      <c r="Y44" s="86"/>
      <c r="Z44" s="86"/>
    </row>
    <row r="45" spans="1:26">
      <c r="A45" s="93" t="s">
        <v>730</v>
      </c>
      <c r="B45" s="94" t="s">
        <v>700</v>
      </c>
      <c r="C45" s="94" t="s">
        <v>701</v>
      </c>
      <c r="D45" s="94" t="s">
        <v>701</v>
      </c>
      <c r="E45" s="94" t="s">
        <v>712</v>
      </c>
      <c r="F45" s="94"/>
      <c r="G45" s="94"/>
      <c r="H45" s="94">
        <v>1</v>
      </c>
      <c r="I45" s="94">
        <v>2</v>
      </c>
      <c r="J45" s="94">
        <v>2</v>
      </c>
      <c r="K45" s="94">
        <v>1</v>
      </c>
      <c r="L45" s="84">
        <f>H45*2+I45*2+J45*2+K45*1</f>
        <v>11</v>
      </c>
      <c r="M45" s="94">
        <v>3</v>
      </c>
      <c r="N45" s="97">
        <f>L45</f>
        <v>11</v>
      </c>
      <c r="O45" s="84">
        <v>11</v>
      </c>
      <c r="P45" s="84">
        <f>M45</f>
        <v>3</v>
      </c>
      <c r="Q45" s="84">
        <f t="shared" ref="Q45:R45" si="0">L45</f>
        <v>11</v>
      </c>
      <c r="R45" s="84">
        <f t="shared" si="0"/>
        <v>3</v>
      </c>
      <c r="S45" s="84">
        <f>M45</f>
        <v>3</v>
      </c>
      <c r="T45" s="86"/>
      <c r="U45" s="86"/>
      <c r="V45" s="86"/>
      <c r="W45" s="86"/>
      <c r="X45" s="86"/>
      <c r="Y45" s="86"/>
      <c r="Z45" s="86"/>
    </row>
    <row r="46" spans="1:26">
      <c r="A46" s="81" t="s">
        <v>41</v>
      </c>
      <c r="B46" s="82" t="s">
        <v>700</v>
      </c>
      <c r="C46" s="82" t="s">
        <v>701</v>
      </c>
      <c r="D46" s="82" t="s">
        <v>710</v>
      </c>
      <c r="E46" s="83"/>
      <c r="F46" s="83"/>
      <c r="G46" s="83"/>
      <c r="H46" s="84">
        <v>1</v>
      </c>
      <c r="I46" s="84">
        <v>1</v>
      </c>
      <c r="J46" s="83"/>
      <c r="K46" s="84">
        <v>2</v>
      </c>
      <c r="L46" s="84">
        <v>6</v>
      </c>
      <c r="M46" s="84">
        <v>2</v>
      </c>
      <c r="N46" s="85">
        <v>6</v>
      </c>
      <c r="O46" s="84">
        <v>6</v>
      </c>
      <c r="P46" s="84">
        <v>2</v>
      </c>
      <c r="Q46" s="84">
        <v>6</v>
      </c>
      <c r="R46" s="84">
        <v>2</v>
      </c>
      <c r="S46" s="84">
        <v>2</v>
      </c>
      <c r="T46" s="86"/>
      <c r="U46" s="86"/>
      <c r="V46" s="86"/>
      <c r="W46" s="86"/>
      <c r="X46" s="86"/>
      <c r="Y46" s="86"/>
      <c r="Z46" s="86"/>
    </row>
    <row r="47" spans="1:26">
      <c r="A47" s="81" t="s">
        <v>74</v>
      </c>
      <c r="B47" s="82" t="s">
        <v>701</v>
      </c>
      <c r="C47" s="82" t="s">
        <v>700</v>
      </c>
      <c r="D47" s="82" t="s">
        <v>712</v>
      </c>
      <c r="E47" s="83"/>
      <c r="F47" s="83"/>
      <c r="G47" s="83"/>
      <c r="H47" s="87">
        <v>1</v>
      </c>
      <c r="I47" s="84">
        <v>1</v>
      </c>
      <c r="J47" s="84">
        <v>2</v>
      </c>
      <c r="K47" s="84">
        <v>1</v>
      </c>
      <c r="L47" s="84">
        <v>9</v>
      </c>
      <c r="M47" s="84">
        <v>3</v>
      </c>
      <c r="N47" s="85">
        <v>9</v>
      </c>
      <c r="O47" s="84">
        <v>9</v>
      </c>
      <c r="P47" s="84">
        <v>3</v>
      </c>
      <c r="Q47" s="84">
        <v>9</v>
      </c>
      <c r="R47" s="84">
        <v>2</v>
      </c>
      <c r="S47" s="84">
        <v>3</v>
      </c>
      <c r="T47" s="86"/>
      <c r="U47" s="86"/>
      <c r="V47" s="86"/>
      <c r="W47" s="86"/>
      <c r="X47" s="86"/>
      <c r="Y47" s="86"/>
      <c r="Z47" s="86"/>
    </row>
    <row r="48" spans="1:26">
      <c r="A48" s="81" t="s">
        <v>46</v>
      </c>
      <c r="B48" s="82" t="s">
        <v>700</v>
      </c>
      <c r="C48" s="82" t="s">
        <v>712</v>
      </c>
      <c r="D48" s="89" t="s">
        <v>724</v>
      </c>
      <c r="E48" s="83"/>
      <c r="F48" s="83"/>
      <c r="G48" s="83"/>
      <c r="H48" s="84">
        <v>1</v>
      </c>
      <c r="I48" s="84">
        <v>1</v>
      </c>
      <c r="J48" s="84">
        <v>2</v>
      </c>
      <c r="K48" s="84">
        <v>1</v>
      </c>
      <c r="L48" s="84">
        <v>9</v>
      </c>
      <c r="M48" s="84">
        <v>2</v>
      </c>
      <c r="N48" s="85">
        <v>9</v>
      </c>
      <c r="O48" s="84">
        <v>9</v>
      </c>
      <c r="P48" s="84">
        <v>2</v>
      </c>
      <c r="Q48" s="84">
        <v>9</v>
      </c>
      <c r="R48" s="84">
        <v>2</v>
      </c>
      <c r="S48" s="84">
        <v>2</v>
      </c>
      <c r="T48" s="86"/>
      <c r="U48" s="86"/>
      <c r="V48" s="86"/>
      <c r="W48" s="86"/>
      <c r="X48" s="86"/>
      <c r="Y48" s="86"/>
      <c r="Z48" s="86"/>
    </row>
    <row r="49" spans="1:26">
      <c r="A49" s="81" t="s">
        <v>599</v>
      </c>
      <c r="B49" s="82" t="s">
        <v>700</v>
      </c>
      <c r="C49" s="82" t="s">
        <v>701</v>
      </c>
      <c r="D49" s="82" t="s">
        <v>712</v>
      </c>
      <c r="E49" s="83"/>
      <c r="F49" s="83"/>
      <c r="G49" s="83"/>
      <c r="H49" s="83"/>
      <c r="I49" s="84">
        <v>2</v>
      </c>
      <c r="J49" s="84">
        <v>2</v>
      </c>
      <c r="K49" s="84">
        <v>1</v>
      </c>
      <c r="L49" s="84">
        <v>9</v>
      </c>
      <c r="M49" s="84">
        <v>2</v>
      </c>
      <c r="N49" s="85">
        <v>9</v>
      </c>
      <c r="O49" s="84">
        <v>9</v>
      </c>
      <c r="P49" s="84">
        <v>2</v>
      </c>
      <c r="Q49" s="84">
        <v>9</v>
      </c>
      <c r="R49" s="84">
        <v>2</v>
      </c>
      <c r="S49" s="84">
        <v>2</v>
      </c>
      <c r="T49" s="86"/>
      <c r="U49" s="86"/>
      <c r="V49" s="86"/>
      <c r="W49" s="86"/>
      <c r="X49" s="86"/>
      <c r="Y49" s="86"/>
      <c r="Z49" s="86"/>
    </row>
    <row r="50" spans="1:26">
      <c r="A50" s="81" t="s">
        <v>314</v>
      </c>
      <c r="B50" s="82" t="s">
        <v>700</v>
      </c>
      <c r="C50" s="82" t="s">
        <v>701</v>
      </c>
      <c r="D50" s="82" t="s">
        <v>710</v>
      </c>
      <c r="E50" s="82" t="s">
        <v>712</v>
      </c>
      <c r="F50" s="83"/>
      <c r="G50" s="83"/>
      <c r="H50" s="84">
        <v>1</v>
      </c>
      <c r="I50" s="84">
        <v>1</v>
      </c>
      <c r="J50" s="84">
        <v>2</v>
      </c>
      <c r="K50" s="84">
        <v>3</v>
      </c>
      <c r="L50" s="84">
        <v>11</v>
      </c>
      <c r="M50" s="84">
        <v>2</v>
      </c>
      <c r="N50" s="85">
        <v>11</v>
      </c>
      <c r="O50" s="84">
        <v>11</v>
      </c>
      <c r="P50" s="84">
        <f>M50</f>
        <v>2</v>
      </c>
      <c r="Q50" s="84">
        <f>L50</f>
        <v>11</v>
      </c>
      <c r="R50" s="84">
        <v>2</v>
      </c>
      <c r="S50" s="84">
        <v>2</v>
      </c>
      <c r="T50" s="86"/>
      <c r="U50" s="86"/>
      <c r="V50" s="86"/>
      <c r="W50" s="86"/>
      <c r="X50" s="86"/>
      <c r="Y50" s="86"/>
      <c r="Z50" s="86"/>
    </row>
    <row r="51" spans="1:26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1:26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1:26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1:2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1:26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1:26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1:26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1:26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1:2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1:26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1:26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1:26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1:26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1:26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1:26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1:26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1:26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1:2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1:26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1:26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1:26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1:26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1:26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1:26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1:26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1:26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1:26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1:2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1:26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spans="1:26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spans="1:26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spans="1:26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spans="1:26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spans="1:26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spans="1:26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spans="1:26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spans="1:2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spans="1:26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spans="1:26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spans="1:26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spans="1:26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spans="1:26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spans="1:26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spans="1:26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spans="1:26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spans="1:26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spans="1:2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spans="1:26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spans="1:26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spans="1:26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spans="1:26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spans="1:26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spans="1:26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spans="1:26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spans="1:26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spans="1:26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spans="1: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spans="1:26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spans="1:26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spans="1:26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spans="1:26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spans="1:26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spans="1:26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spans="1:26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spans="1:26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spans="1:26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spans="1:2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spans="1:26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spans="1:26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spans="1:26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spans="1:26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spans="1:26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spans="1:26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spans="1:26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spans="1:2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spans="1:26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spans="1:26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spans="1:26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spans="1:26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spans="1:26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spans="1:26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spans="1:26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spans="1:26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spans="1:26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spans="1:2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spans="1:26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spans="1:26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spans="1:26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spans="1:26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spans="1:26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spans="1:26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spans="1:26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spans="1:26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spans="1:26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spans="1:2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spans="1:26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spans="1:26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spans="1:26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spans="1:26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spans="1:26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spans="1:26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spans="1:26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spans="1:26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spans="1:26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spans="1:2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spans="1:26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spans="1:26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spans="1:26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spans="1:26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spans="1:26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spans="1:26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spans="1:26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spans="1:26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spans="1:26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spans="1:2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spans="1:26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spans="1:26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spans="1:26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spans="1:26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spans="1:26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spans="1:26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spans="1:26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spans="1:26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spans="1:26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spans="1:2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spans="1:26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spans="1:26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spans="1:26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spans="1:26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spans="1:26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spans="1:26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spans="1:26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spans="1:26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spans="1:26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spans="1:2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spans="1:26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spans="1:26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spans="1:26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spans="1:26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spans="1:26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spans="1:26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spans="1:26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spans="1:26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spans="1:26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spans="1: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spans="1:26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spans="1:26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spans="1:26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spans="1:26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spans="1:26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spans="1:26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spans="1:26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spans="1:26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spans="1:26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spans="1:2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spans="1:26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spans="1:26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spans="1:26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spans="1:26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spans="1:26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spans="1:26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spans="1:26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spans="1:26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spans="1:26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spans="1:2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spans="1:26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spans="1:26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spans="1:26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spans="1:26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spans="1:26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spans="1:26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spans="1:26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spans="1:26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spans="1:26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spans="1:2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spans="1:26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spans="1:26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spans="1:26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spans="1:26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spans="1:26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spans="1:26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spans="1:26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spans="1:26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spans="1:26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spans="1:2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spans="1:26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spans="1:26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spans="1:26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spans="1:26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spans="1:26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spans="1:26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spans="1:26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spans="1:26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spans="1:26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spans="1:2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spans="1:26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spans="1:26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spans="1:26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spans="1:26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spans="1:26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spans="1:26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spans="1:26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spans="1:26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spans="1:26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spans="1:2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spans="1:26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spans="1:26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spans="1:26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spans="1:26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spans="1:26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spans="1:26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spans="1:26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spans="1:26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spans="1:26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spans="1:2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spans="1:26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spans="1:26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spans="1:26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spans="1:26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spans="1:26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spans="1:26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spans="1:26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spans="1:26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spans="1:26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spans="1:2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spans="1:26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spans="1:26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spans="1:26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spans="1:26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spans="1:26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spans="1:26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spans="1:26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spans="1:26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spans="1:26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spans="1:2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spans="1:26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spans="1:26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spans="1:26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spans="1:26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spans="1:26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spans="1:26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spans="1:26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spans="1:26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spans="1:26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spans="1: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spans="1:26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spans="1:26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spans="1:26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spans="1:26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spans="1:26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spans="1:26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spans="1:26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spans="1:26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spans="1:26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spans="1:2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spans="1:26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spans="1:26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spans="1:26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spans="1:26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spans="1:26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spans="1:26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spans="1:26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spans="1:26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spans="1:26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spans="1:2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spans="1:26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spans="1:26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spans="1:26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spans="1:26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spans="1:26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spans="1:26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spans="1:26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spans="1:26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spans="1:26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spans="1:2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spans="1:26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spans="1:26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spans="1:26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spans="1:26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spans="1:26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spans="1:26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spans="1:26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spans="1:26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spans="1:26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spans="1:2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spans="1:26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spans="1:26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spans="1:26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spans="1:26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spans="1:26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spans="1:26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spans="1:26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spans="1:26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spans="1:26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spans="1:2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spans="1:26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spans="1:26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spans="1:26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spans="1:26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spans="1:26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spans="1:26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spans="1:26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spans="1:26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spans="1:26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spans="1:2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spans="1:26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spans="1:26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spans="1:26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spans="1:26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spans="1:26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spans="1:26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spans="1:26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spans="1:26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spans="1:26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spans="1:2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spans="1:26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spans="1:26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spans="1:26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spans="1:26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spans="1:26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spans="1:26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spans="1:26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spans="1:26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spans="1:26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spans="1:2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spans="1:26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spans="1:26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spans="1:26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spans="1:26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spans="1:26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spans="1:26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spans="1:26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spans="1:26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spans="1:26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spans="1:2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spans="1:26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spans="1:26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spans="1:26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spans="1:26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spans="1:26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spans="1:26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spans="1:26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spans="1:26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spans="1:26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spans="1: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spans="1:26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spans="1:26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spans="1:26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spans="1:26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spans="1:26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spans="1:26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spans="1:26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spans="1:26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spans="1:26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spans="1:2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spans="1:26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spans="1:26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spans="1:26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spans="1:26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spans="1:26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spans="1:26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spans="1:26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spans="1:26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spans="1:26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spans="1:2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spans="1:26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spans="1:26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spans="1:26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spans="1:26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spans="1:26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spans="1:26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spans="1:26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spans="1:26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spans="1:26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spans="1:2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spans="1:26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spans="1:26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spans="1:26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spans="1:26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spans="1:26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spans="1:26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spans="1:26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spans="1:26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spans="1:26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spans="1:2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spans="1:26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spans="1:26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spans="1:26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spans="1:26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spans="1:26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spans="1:26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spans="1:26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spans="1:26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spans="1:26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spans="1:2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spans="1:26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spans="1:26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spans="1:26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spans="1:26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spans="1:26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spans="1:26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spans="1:26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spans="1:26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spans="1:26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spans="1:2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spans="1:26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spans="1:26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spans="1:26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spans="1:26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spans="1:26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spans="1:26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spans="1:26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spans="1:26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spans="1:26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spans="1:2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spans="1:26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spans="1:26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spans="1:26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spans="1:26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spans="1:26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spans="1:26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spans="1:26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spans="1:26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spans="1:26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spans="1:2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spans="1:26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spans="1:26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spans="1:26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spans="1:26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spans="1:26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spans="1:26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spans="1:26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spans="1:26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spans="1:26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spans="1:2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spans="1:26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spans="1:26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spans="1:26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spans="1:26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spans="1:26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spans="1:26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spans="1:26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spans="1:26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spans="1:26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spans="1: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spans="1:26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spans="1:26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spans="1:26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spans="1:26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spans="1:26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spans="1:26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spans="1:26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spans="1:26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spans="1:26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spans="1:2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spans="1:26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spans="1:26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spans="1:26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spans="1:26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spans="1:26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spans="1:26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spans="1:26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spans="1:26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spans="1:26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spans="1:2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spans="1:26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spans="1:26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spans="1:26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spans="1:26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spans="1:26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spans="1:26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spans="1:26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spans="1:26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spans="1:26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spans="1:2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spans="1:26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spans="1:26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spans="1:26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spans="1:26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spans="1:26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spans="1:26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spans="1:26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spans="1:26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spans="1:26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spans="1:2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spans="1:26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spans="1:26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spans="1:26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spans="1:26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spans="1:26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spans="1:26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spans="1:26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spans="1:26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spans="1:26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spans="1:2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spans="1:26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spans="1:26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spans="1:26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spans="1:26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spans="1:26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spans="1:26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spans="1:26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spans="1:26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spans="1:26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spans="1:2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spans="1:26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spans="1:26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spans="1:26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spans="1:26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spans="1:26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spans="1:26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spans="1:26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spans="1:26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spans="1:26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spans="1:2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spans="1:26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spans="1:26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spans="1:26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spans="1:26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spans="1:26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spans="1:26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spans="1:26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spans="1:26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spans="1:26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spans="1:2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spans="1:26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spans="1:26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spans="1:26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spans="1:26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spans="1:26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spans="1:26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spans="1:26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spans="1:26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spans="1:26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spans="1:2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spans="1:26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spans="1:26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spans="1:26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spans="1:26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spans="1:26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spans="1:26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spans="1:26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spans="1:26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spans="1:26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spans="1: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spans="1:26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spans="1:26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spans="1:26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spans="1:26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spans="1:26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spans="1:26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spans="1:26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spans="1:26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spans="1:26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spans="1:2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spans="1:26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spans="1:26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spans="1:26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spans="1:26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spans="1:26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spans="1:26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spans="1:26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spans="1:26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spans="1:26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spans="1:2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spans="1:26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spans="1:26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spans="1:26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spans="1:26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spans="1:26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spans="1:26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spans="1:26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spans="1:26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spans="1:26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spans="1:2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spans="1:26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spans="1:26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spans="1:26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spans="1:26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spans="1:26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spans="1:26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spans="1:26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spans="1:26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spans="1:26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spans="1:2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spans="1:26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spans="1:26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spans="1:26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spans="1:26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spans="1:26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spans="1:26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spans="1:26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spans="1:26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spans="1:26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spans="1:2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spans="1:26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spans="1:26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spans="1:26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spans="1:26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spans="1:26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spans="1:26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spans="1:26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spans="1:26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spans="1:26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spans="1:2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spans="1:26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spans="1:26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spans="1:26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spans="1:26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spans="1:26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spans="1:26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spans="1:26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spans="1:26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spans="1:26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spans="1:2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spans="1:26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spans="1:26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spans="1:26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spans="1:26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spans="1:26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spans="1:26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spans="1:26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spans="1:26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spans="1:26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spans="1:2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spans="1:26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spans="1:26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spans="1:26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spans="1:26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spans="1:26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spans="1:26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spans="1:26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spans="1:26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spans="1:26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spans="1:2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spans="1:26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spans="1:26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spans="1:26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spans="1:26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spans="1:26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spans="1:26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spans="1:26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spans="1:26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spans="1:26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spans="1: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spans="1:26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spans="1:26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spans="1:26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spans="1:26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spans="1:26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spans="1:26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spans="1:26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spans="1:26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spans="1:26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spans="1:2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spans="1:26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spans="1:26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spans="1:26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spans="1:26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spans="1:26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spans="1:26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spans="1:26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spans="1:26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spans="1:26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spans="1:2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spans="1:26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spans="1:26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spans="1:26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spans="1:26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spans="1:26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spans="1:26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spans="1:26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spans="1:26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spans="1:26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spans="1:2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spans="1:26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spans="1:26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spans="1:26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spans="1:26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spans="1:26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spans="1:26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spans="1:26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spans="1:26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spans="1:26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spans="1:2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spans="1:26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spans="1:26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spans="1:26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spans="1:26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spans="1:26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spans="1:26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spans="1:26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spans="1:26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spans="1:26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spans="1:2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spans="1:26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spans="1:26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spans="1:26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spans="1:26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spans="1:26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spans="1:26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spans="1:26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spans="1:26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spans="1:26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spans="1:2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spans="1:26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spans="1:26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spans="1:26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spans="1:26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spans="1:26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spans="1:26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spans="1:26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spans="1:26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spans="1:26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spans="1:2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spans="1:26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spans="1:26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spans="1:26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spans="1:26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spans="1:26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spans="1:26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spans="1:26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spans="1:26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spans="1:26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spans="1:2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spans="1:26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spans="1:26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spans="1:26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spans="1:26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spans="1:26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spans="1:26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spans="1:26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spans="1:26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spans="1:26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spans="1:2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spans="1:26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spans="1:26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spans="1:26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spans="1:26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spans="1:26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spans="1:26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spans="1:26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spans="1:26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spans="1:26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spans="1: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spans="1:26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spans="1:26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spans="1:26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spans="1:26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spans="1:26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spans="1:26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spans="1:26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spans="1:26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spans="1:26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spans="1:2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spans="1:26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spans="1:26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spans="1:26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spans="1:26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spans="1:26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spans="1:26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spans="1:26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spans="1:26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spans="1:26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spans="1:2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spans="1:26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spans="1:26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spans="1:26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spans="1:26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spans="1:26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spans="1:26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spans="1:26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spans="1:26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spans="1:26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spans="1:2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spans="1:26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spans="1:26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spans="1:26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spans="1:26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spans="1:26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spans="1:26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spans="1:26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spans="1:26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spans="1:26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spans="1:2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spans="1:26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spans="1:26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spans="1:26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spans="1:26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spans="1:26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spans="1:26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spans="1:26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spans="1:26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spans="1:26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spans="1:2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spans="1:26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spans="1:26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spans="1:26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spans="1:26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spans="1:26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spans="1:26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spans="1:26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spans="1:26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spans="1:26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spans="1:2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spans="1:26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spans="1:26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spans="1:26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spans="1:26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spans="1:26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spans="1:26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spans="1:26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spans="1:26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spans="1:26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spans="1:2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spans="1:26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spans="1:26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spans="1:26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spans="1:26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spans="1:26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spans="1:26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spans="1:26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spans="1:26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spans="1:26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spans="1:2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spans="1:26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spans="1:26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spans="1:26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spans="1:26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spans="1:26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spans="1:26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spans="1:26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spans="1:26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spans="1:26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spans="1:2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spans="1:26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spans="1:26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spans="1:26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spans="1:26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spans="1:26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spans="1:26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spans="1:26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spans="1:26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spans="1:26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spans="1: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spans="1:26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spans="1:26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spans="1:26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spans="1:26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spans="1:26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spans="1:26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spans="1:26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spans="1:26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spans="1:26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spans="1:2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spans="1:26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spans="1:26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spans="1:26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spans="1:26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spans="1:26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spans="1:26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spans="1:26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spans="1:26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spans="1:26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spans="1:2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spans="1:26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spans="1:26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spans="1:26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spans="1:26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spans="1:26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spans="1:26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spans="1:26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spans="1:26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spans="1:26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spans="1:2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spans="1:26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spans="1:26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spans="1:26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spans="1:26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spans="1:26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spans="1:26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spans="1:26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spans="1:26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spans="1:26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spans="1:2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spans="1:26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spans="1:26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spans="1:26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spans="1:26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spans="1:26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spans="1:26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spans="1:26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spans="1:26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spans="1:26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spans="1:2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spans="1:26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spans="1:26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spans="1:26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</sheetData>
  <autoFilter ref="A1:Z50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33"/>
  <sheetViews>
    <sheetView workbookViewId="0"/>
  </sheetViews>
  <sheetFormatPr baseColWidth="10" defaultColWidth="12.6640625" defaultRowHeight="15" customHeight="1"/>
  <cols>
    <col min="2" max="2" width="17" customWidth="1"/>
    <col min="7" max="7" width="11.1640625" customWidth="1"/>
    <col min="8" max="8" width="21.83203125" customWidth="1"/>
    <col min="9" max="9" width="44.1640625" customWidth="1"/>
  </cols>
  <sheetData>
    <row r="1" spans="1:15" ht="18">
      <c r="A1" s="1" t="s">
        <v>1</v>
      </c>
      <c r="B1" s="1" t="s">
        <v>2</v>
      </c>
      <c r="C1" s="1" t="s">
        <v>3</v>
      </c>
      <c r="D1" s="1" t="s">
        <v>9</v>
      </c>
      <c r="E1" s="1" t="s">
        <v>12</v>
      </c>
      <c r="F1" s="2" t="s">
        <v>7</v>
      </c>
      <c r="G1" s="2" t="s">
        <v>8</v>
      </c>
      <c r="H1" s="1" t="s">
        <v>13</v>
      </c>
      <c r="I1" s="1" t="s">
        <v>731</v>
      </c>
    </row>
    <row r="2" spans="1:15" ht="14">
      <c r="A2" s="14" t="s">
        <v>732</v>
      </c>
      <c r="B2" s="14" t="s">
        <v>733</v>
      </c>
      <c r="C2" s="14">
        <v>19377895894</v>
      </c>
      <c r="D2" s="14">
        <v>4</v>
      </c>
      <c r="E2" s="14">
        <v>1550</v>
      </c>
      <c r="F2" s="106">
        <v>45288</v>
      </c>
      <c r="G2" s="107">
        <v>45292</v>
      </c>
      <c r="H2" s="14" t="s">
        <v>605</v>
      </c>
      <c r="I2" s="14" t="s">
        <v>734</v>
      </c>
      <c r="J2" s="14" t="s">
        <v>735</v>
      </c>
    </row>
    <row r="3" spans="1:15" ht="14">
      <c r="A3" s="14" t="s">
        <v>732</v>
      </c>
      <c r="B3" s="14" t="s">
        <v>736</v>
      </c>
      <c r="D3" s="14">
        <v>7</v>
      </c>
      <c r="E3" s="14">
        <v>1646.88</v>
      </c>
      <c r="F3" s="106">
        <v>45286</v>
      </c>
      <c r="G3" s="107">
        <v>45293</v>
      </c>
      <c r="H3" s="14" t="s">
        <v>598</v>
      </c>
      <c r="I3" s="14" t="s">
        <v>737</v>
      </c>
      <c r="J3" s="14" t="s">
        <v>735</v>
      </c>
    </row>
    <row r="4" spans="1:15" ht="14">
      <c r="A4" s="108" t="s">
        <v>738</v>
      </c>
      <c r="B4" s="108" t="s">
        <v>739</v>
      </c>
      <c r="C4" s="108"/>
      <c r="D4" s="108">
        <f t="shared" ref="D4:D7" si="0">G4-F4</f>
        <v>35</v>
      </c>
      <c r="E4" s="108">
        <v>7000</v>
      </c>
      <c r="F4" s="109">
        <v>45318</v>
      </c>
      <c r="G4" s="109">
        <v>45353</v>
      </c>
      <c r="H4" s="108" t="s">
        <v>363</v>
      </c>
      <c r="J4" s="14" t="s">
        <v>735</v>
      </c>
    </row>
    <row r="5" spans="1:15" ht="14">
      <c r="A5" s="108" t="s">
        <v>10</v>
      </c>
      <c r="B5" s="110" t="s">
        <v>352</v>
      </c>
      <c r="C5" s="108"/>
      <c r="D5" s="108">
        <f t="shared" si="0"/>
        <v>30</v>
      </c>
      <c r="E5" s="108">
        <v>4500</v>
      </c>
      <c r="F5" s="109">
        <v>45354</v>
      </c>
      <c r="G5" s="109">
        <v>45384</v>
      </c>
      <c r="H5" s="108" t="s">
        <v>319</v>
      </c>
      <c r="J5" s="14" t="s">
        <v>735</v>
      </c>
    </row>
    <row r="6" spans="1:15" ht="14">
      <c r="A6" s="108" t="s">
        <v>738</v>
      </c>
      <c r="B6" s="108" t="s">
        <v>740</v>
      </c>
      <c r="C6" s="108"/>
      <c r="D6" s="108">
        <f t="shared" si="0"/>
        <v>97</v>
      </c>
      <c r="E6" s="108">
        <v>28000</v>
      </c>
      <c r="F6" s="109">
        <v>45305</v>
      </c>
      <c r="G6" s="109">
        <v>45402</v>
      </c>
      <c r="H6" s="111" t="s">
        <v>271</v>
      </c>
      <c r="J6" s="14" t="s">
        <v>735</v>
      </c>
    </row>
    <row r="7" spans="1:15" ht="14">
      <c r="A7" s="108" t="s">
        <v>738</v>
      </c>
      <c r="B7" s="108" t="s">
        <v>741</v>
      </c>
      <c r="C7" s="108"/>
      <c r="D7" s="108">
        <f t="shared" si="0"/>
        <v>181</v>
      </c>
      <c r="E7" s="108">
        <f>9500+6000*5</f>
        <v>39500</v>
      </c>
      <c r="F7" s="109">
        <v>45231</v>
      </c>
      <c r="G7" s="109">
        <v>45412</v>
      </c>
      <c r="H7" s="108" t="s">
        <v>314</v>
      </c>
      <c r="J7" s="14" t="s">
        <v>735</v>
      </c>
    </row>
    <row r="8" spans="1:15" ht="14">
      <c r="A8" s="108"/>
      <c r="B8" s="108"/>
      <c r="C8" s="108"/>
      <c r="D8" s="108"/>
      <c r="E8" s="108"/>
      <c r="F8" s="109"/>
      <c r="G8" s="109"/>
    </row>
    <row r="9" spans="1:15" ht="14">
      <c r="A9" s="108" t="s">
        <v>10</v>
      </c>
      <c r="B9" s="108" t="s">
        <v>352</v>
      </c>
      <c r="C9" s="108"/>
      <c r="D9" s="108">
        <f t="shared" ref="D9:D12" si="1">G9-F9</f>
        <v>41</v>
      </c>
      <c r="E9" s="108">
        <v>6750</v>
      </c>
      <c r="F9" s="109">
        <v>45708</v>
      </c>
      <c r="G9" s="109">
        <v>45749</v>
      </c>
      <c r="H9" s="108" t="s">
        <v>319</v>
      </c>
    </row>
    <row r="10" spans="1:15" ht="14">
      <c r="A10" s="108" t="s">
        <v>10</v>
      </c>
      <c r="B10" s="108" t="s">
        <v>739</v>
      </c>
      <c r="C10" s="108"/>
      <c r="D10" s="108">
        <f t="shared" si="1"/>
        <v>33</v>
      </c>
      <c r="E10" s="108">
        <v>7000</v>
      </c>
      <c r="F10" s="109">
        <v>45684</v>
      </c>
      <c r="G10" s="109">
        <v>45717</v>
      </c>
      <c r="H10" s="108" t="s">
        <v>613</v>
      </c>
    </row>
    <row r="11" spans="1:15" ht="14">
      <c r="A11" s="108" t="s">
        <v>10</v>
      </c>
      <c r="B11" s="108" t="s">
        <v>742</v>
      </c>
      <c r="C11" s="108"/>
      <c r="D11" s="108">
        <f t="shared" si="1"/>
        <v>4</v>
      </c>
      <c r="E11" s="108">
        <v>1880</v>
      </c>
      <c r="F11" s="109">
        <v>45476</v>
      </c>
      <c r="G11" s="109">
        <v>45480</v>
      </c>
      <c r="H11" s="14" t="s">
        <v>314</v>
      </c>
    </row>
    <row r="12" spans="1:15" ht="14">
      <c r="A12" s="108" t="s">
        <v>10</v>
      </c>
      <c r="B12" s="108"/>
      <c r="C12" s="108"/>
      <c r="D12" s="108">
        <f t="shared" si="1"/>
        <v>4</v>
      </c>
      <c r="E12" s="108">
        <v>1500</v>
      </c>
      <c r="F12" s="109">
        <v>45520</v>
      </c>
      <c r="G12" s="109">
        <v>45524</v>
      </c>
      <c r="H12" s="14" t="s">
        <v>79</v>
      </c>
    </row>
    <row r="13" spans="1:15" ht="14">
      <c r="A13" s="108" t="s">
        <v>738</v>
      </c>
      <c r="B13" s="14" t="s">
        <v>743</v>
      </c>
      <c r="D13" s="14">
        <v>3</v>
      </c>
      <c r="E13" s="14">
        <v>1250</v>
      </c>
      <c r="F13" s="107">
        <v>45477</v>
      </c>
      <c r="G13" s="107">
        <v>45480</v>
      </c>
      <c r="H13" s="14" t="s">
        <v>599</v>
      </c>
    </row>
    <row r="14" spans="1:15" ht="14">
      <c r="A14" s="108"/>
      <c r="B14" s="108" t="s">
        <v>744</v>
      </c>
      <c r="C14" s="108"/>
      <c r="D14" s="108">
        <v>5</v>
      </c>
      <c r="E14" s="108">
        <v>1500</v>
      </c>
      <c r="F14" s="109">
        <v>45497</v>
      </c>
      <c r="G14" s="109">
        <v>45502</v>
      </c>
      <c r="H14" s="112" t="s">
        <v>94</v>
      </c>
    </row>
    <row r="15" spans="1:15" ht="14">
      <c r="B15" s="14" t="s">
        <v>745</v>
      </c>
      <c r="E15" s="14">
        <v>700</v>
      </c>
      <c r="F15" s="107">
        <v>45541</v>
      </c>
      <c r="G15" s="107">
        <v>45544</v>
      </c>
      <c r="H15" s="14" t="s">
        <v>650</v>
      </c>
      <c r="K15" s="107"/>
    </row>
    <row r="16" spans="1:15" ht="14">
      <c r="A16" s="108" t="s">
        <v>10</v>
      </c>
      <c r="B16" s="108" t="s">
        <v>746</v>
      </c>
      <c r="C16" s="108"/>
      <c r="D16" s="108"/>
      <c r="E16" s="108">
        <v>18000</v>
      </c>
      <c r="F16" s="113">
        <v>45566</v>
      </c>
      <c r="G16" s="114">
        <v>45747</v>
      </c>
      <c r="H16" s="14" t="s">
        <v>616</v>
      </c>
      <c r="J16" s="14">
        <v>3000</v>
      </c>
      <c r="K16" s="107">
        <v>45567</v>
      </c>
      <c r="L16" s="14">
        <v>3000</v>
      </c>
      <c r="M16" s="106">
        <v>45596</v>
      </c>
      <c r="N16" s="14">
        <v>3000</v>
      </c>
      <c r="O16" s="107">
        <v>45628</v>
      </c>
    </row>
    <row r="17" spans="1:21" ht="14">
      <c r="A17" s="108" t="s">
        <v>10</v>
      </c>
      <c r="B17" s="108" t="s">
        <v>747</v>
      </c>
      <c r="C17" s="108"/>
      <c r="D17" s="108"/>
      <c r="E17" s="108">
        <v>7000</v>
      </c>
      <c r="F17" s="114">
        <v>45577</v>
      </c>
      <c r="G17" s="114">
        <v>45621</v>
      </c>
      <c r="H17" s="14" t="s">
        <v>615</v>
      </c>
      <c r="J17" s="14">
        <v>7000</v>
      </c>
      <c r="K17" s="14" t="s">
        <v>748</v>
      </c>
    </row>
    <row r="18" spans="1:21" ht="18.75" customHeight="1">
      <c r="A18" s="108" t="s">
        <v>10</v>
      </c>
      <c r="B18" s="108" t="s">
        <v>749</v>
      </c>
      <c r="C18" s="108"/>
      <c r="D18" s="108"/>
      <c r="E18" s="108">
        <v>30400</v>
      </c>
      <c r="F18" s="114">
        <v>45577</v>
      </c>
      <c r="G18" s="109">
        <v>45808</v>
      </c>
      <c r="H18" s="14" t="s">
        <v>609</v>
      </c>
      <c r="J18" s="14">
        <v>400</v>
      </c>
      <c r="K18" s="107">
        <v>45572</v>
      </c>
      <c r="L18" s="14">
        <v>2000</v>
      </c>
      <c r="M18" s="107">
        <v>45568</v>
      </c>
      <c r="N18" s="14">
        <v>2000</v>
      </c>
      <c r="O18" s="14">
        <v>2000</v>
      </c>
      <c r="P18" s="107">
        <v>45597</v>
      </c>
      <c r="Q18" s="14">
        <v>4000</v>
      </c>
      <c r="R18" s="107">
        <v>45628</v>
      </c>
    </row>
    <row r="19" spans="1:21" ht="14">
      <c r="A19" s="108" t="s">
        <v>10</v>
      </c>
      <c r="B19" s="108" t="s">
        <v>750</v>
      </c>
      <c r="C19" s="108"/>
      <c r="D19" s="108"/>
      <c r="E19" s="108">
        <f>3700+1780+1390</f>
        <v>6870</v>
      </c>
      <c r="F19" s="114">
        <v>45568</v>
      </c>
      <c r="G19" s="109">
        <v>45622</v>
      </c>
      <c r="H19" s="14" t="s">
        <v>723</v>
      </c>
      <c r="J19" s="14">
        <v>3200</v>
      </c>
      <c r="K19" s="107">
        <v>45580</v>
      </c>
      <c r="L19" s="115"/>
    </row>
    <row r="20" spans="1:21" ht="14">
      <c r="A20" s="108" t="s">
        <v>10</v>
      </c>
      <c r="B20" s="108" t="s">
        <v>751</v>
      </c>
      <c r="C20" s="108"/>
      <c r="D20" s="108"/>
      <c r="E20" s="108">
        <f>11000-6233</f>
        <v>4767</v>
      </c>
      <c r="F20" s="114">
        <v>45576</v>
      </c>
      <c r="G20" s="114">
        <v>45589</v>
      </c>
      <c r="H20" s="14" t="s">
        <v>602</v>
      </c>
      <c r="J20" s="14">
        <f>11000-6233</f>
        <v>4767</v>
      </c>
      <c r="K20" s="107">
        <v>45582</v>
      </c>
    </row>
    <row r="21" spans="1:21" ht="14">
      <c r="A21" s="108" t="s">
        <v>10</v>
      </c>
      <c r="B21" s="108" t="s">
        <v>750</v>
      </c>
      <c r="C21" s="108"/>
      <c r="D21" s="116"/>
      <c r="E21" s="116">
        <f>3200+1330+1860</f>
        <v>6390</v>
      </c>
      <c r="F21" s="117">
        <v>45577</v>
      </c>
      <c r="G21" s="117">
        <v>45625</v>
      </c>
      <c r="H21" s="5" t="s">
        <v>650</v>
      </c>
      <c r="J21" s="14">
        <v>900</v>
      </c>
      <c r="K21" s="107">
        <v>45583</v>
      </c>
      <c r="L21" s="14">
        <v>1800</v>
      </c>
      <c r="M21" s="107">
        <v>45580</v>
      </c>
      <c r="N21" s="14">
        <v>1500</v>
      </c>
      <c r="O21" s="106">
        <v>45588</v>
      </c>
    </row>
    <row r="22" spans="1:21" ht="14">
      <c r="A22" s="108" t="s">
        <v>10</v>
      </c>
      <c r="B22" s="108" t="s">
        <v>752</v>
      </c>
      <c r="C22" s="108"/>
      <c r="D22" s="108"/>
      <c r="E22" s="118">
        <v>10200</v>
      </c>
      <c r="F22" s="114">
        <v>45580</v>
      </c>
      <c r="G22" s="114">
        <v>45660</v>
      </c>
      <c r="H22" s="14" t="s">
        <v>611</v>
      </c>
      <c r="J22" s="14">
        <v>500</v>
      </c>
      <c r="K22" s="107">
        <v>45586</v>
      </c>
      <c r="L22" s="14">
        <v>1500</v>
      </c>
      <c r="M22" s="106">
        <v>45588</v>
      </c>
      <c r="N22" s="14">
        <v>2000</v>
      </c>
      <c r="O22" s="106">
        <v>45587</v>
      </c>
      <c r="P22" s="119">
        <v>45609</v>
      </c>
      <c r="Q22" s="14">
        <v>2000</v>
      </c>
      <c r="R22" s="119">
        <v>45611</v>
      </c>
      <c r="S22" s="14">
        <v>2000</v>
      </c>
      <c r="T22" s="106">
        <v>45645</v>
      </c>
      <c r="U22" s="14">
        <v>2200</v>
      </c>
    </row>
    <row r="23" spans="1:21" ht="14">
      <c r="A23" s="108" t="s">
        <v>10</v>
      </c>
      <c r="B23" s="108" t="s">
        <v>753</v>
      </c>
      <c r="C23" s="108"/>
      <c r="D23" s="108"/>
      <c r="E23" s="108">
        <v>12280</v>
      </c>
      <c r="F23" s="114">
        <v>45593</v>
      </c>
      <c r="G23" s="109">
        <v>45660</v>
      </c>
      <c r="H23" s="14" t="s">
        <v>164</v>
      </c>
    </row>
    <row r="24" spans="1:21" ht="14">
      <c r="A24" s="108" t="s">
        <v>10</v>
      </c>
      <c r="B24" s="108" t="s">
        <v>754</v>
      </c>
      <c r="C24" s="108"/>
      <c r="D24" s="108"/>
      <c r="E24" s="108">
        <v>15000</v>
      </c>
      <c r="F24" s="114">
        <v>45597</v>
      </c>
      <c r="G24" s="114">
        <v>45672</v>
      </c>
      <c r="H24" s="14" t="s">
        <v>124</v>
      </c>
    </row>
    <row r="25" spans="1:21" ht="18.75" customHeight="1">
      <c r="A25" s="108"/>
      <c r="B25" s="108"/>
      <c r="C25" s="108"/>
      <c r="D25" s="108"/>
      <c r="E25" s="108"/>
      <c r="F25" s="109"/>
      <c r="G25" s="109"/>
      <c r="J25" s="14">
        <v>1000</v>
      </c>
      <c r="K25" s="106">
        <v>45593</v>
      </c>
    </row>
    <row r="26" spans="1:21" ht="14">
      <c r="A26" s="108" t="s">
        <v>10</v>
      </c>
      <c r="B26" s="108" t="s">
        <v>755</v>
      </c>
      <c r="C26" s="108"/>
      <c r="D26" s="108"/>
      <c r="E26" s="118">
        <v>2550</v>
      </c>
      <c r="F26" s="109">
        <v>45768</v>
      </c>
      <c r="G26" s="120">
        <v>45777</v>
      </c>
      <c r="H26" s="14" t="s">
        <v>583</v>
      </c>
      <c r="J26" s="14">
        <v>2550</v>
      </c>
      <c r="K26" s="107">
        <v>45604</v>
      </c>
    </row>
    <row r="27" spans="1:21" ht="14">
      <c r="A27" s="121" t="s">
        <v>10</v>
      </c>
      <c r="B27" s="121" t="s">
        <v>21</v>
      </c>
      <c r="C27" s="121"/>
      <c r="D27" s="121"/>
      <c r="E27" s="121">
        <v>65025</v>
      </c>
      <c r="F27" s="122">
        <v>45611</v>
      </c>
      <c r="G27" s="123">
        <v>45991</v>
      </c>
      <c r="H27" s="14" t="s">
        <v>604</v>
      </c>
      <c r="J27" s="14">
        <v>8750</v>
      </c>
      <c r="K27" s="106">
        <v>45617</v>
      </c>
    </row>
    <row r="28" spans="1:21" ht="14">
      <c r="A28" s="108"/>
      <c r="B28" s="108"/>
      <c r="C28" s="108"/>
      <c r="D28" s="108"/>
      <c r="E28" s="108"/>
      <c r="F28" s="109"/>
      <c r="G28" s="109"/>
    </row>
    <row r="29" spans="1:21" ht="14">
      <c r="A29" s="108" t="s">
        <v>10</v>
      </c>
      <c r="B29" s="118" t="s">
        <v>756</v>
      </c>
      <c r="C29" s="108"/>
      <c r="D29" s="108"/>
      <c r="E29" s="118">
        <v>24000</v>
      </c>
      <c r="F29" s="120">
        <v>45684</v>
      </c>
      <c r="G29" s="120">
        <v>45742</v>
      </c>
      <c r="H29" s="124" t="s">
        <v>721</v>
      </c>
    </row>
    <row r="30" spans="1:21" ht="14">
      <c r="A30" s="108" t="s">
        <v>10</v>
      </c>
      <c r="B30" s="118" t="s">
        <v>757</v>
      </c>
      <c r="C30" s="108"/>
      <c r="D30" s="108"/>
      <c r="E30" s="108"/>
      <c r="F30" s="120">
        <v>45752</v>
      </c>
      <c r="G30" s="120">
        <v>45755</v>
      </c>
      <c r="H30" s="124" t="s">
        <v>79</v>
      </c>
    </row>
    <row r="31" spans="1:21" ht="14">
      <c r="A31" s="121" t="s">
        <v>10</v>
      </c>
      <c r="B31" s="121" t="s">
        <v>352</v>
      </c>
      <c r="C31" s="121"/>
      <c r="D31" s="121">
        <f>G31-F31</f>
        <v>44</v>
      </c>
      <c r="E31" s="125">
        <v>7240</v>
      </c>
      <c r="F31" s="126">
        <v>46070</v>
      </c>
      <c r="G31" s="126">
        <v>46114</v>
      </c>
      <c r="H31" s="108" t="s">
        <v>319</v>
      </c>
    </row>
    <row r="32" spans="1:21" ht="14">
      <c r="A32" s="108" t="s">
        <v>10</v>
      </c>
      <c r="B32" s="108" t="s">
        <v>758</v>
      </c>
      <c r="C32" s="108"/>
      <c r="D32" s="108"/>
      <c r="E32" s="108"/>
      <c r="F32" s="109">
        <v>45839</v>
      </c>
      <c r="G32" s="109">
        <v>45875</v>
      </c>
      <c r="H32" s="14" t="s">
        <v>368</v>
      </c>
    </row>
    <row r="33" spans="1:8" ht="14">
      <c r="A33" s="121" t="s">
        <v>10</v>
      </c>
      <c r="B33" s="121" t="s">
        <v>503</v>
      </c>
      <c r="C33" s="121"/>
      <c r="D33" s="121"/>
      <c r="E33" s="121"/>
      <c r="F33" s="123">
        <v>46117</v>
      </c>
      <c r="G33" s="123">
        <v>46124</v>
      </c>
      <c r="H33" s="14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B1000"/>
  <sheetViews>
    <sheetView workbookViewId="0"/>
  </sheetViews>
  <sheetFormatPr baseColWidth="10" defaultColWidth="12.6640625" defaultRowHeight="15" customHeight="1"/>
  <cols>
    <col min="1" max="1" width="25" customWidth="1"/>
    <col min="2" max="2" width="28.1640625" customWidth="1"/>
    <col min="3" max="20" width="7" customWidth="1"/>
  </cols>
  <sheetData>
    <row r="1" spans="1:2" ht="24" customHeight="1">
      <c r="A1" s="127" t="s">
        <v>759</v>
      </c>
      <c r="B1" s="128"/>
    </row>
    <row r="2" spans="1:2" ht="24" customHeight="1">
      <c r="A2" s="127" t="s">
        <v>760</v>
      </c>
      <c r="B2" s="129" t="s">
        <v>238</v>
      </c>
    </row>
    <row r="5" spans="1:2" ht="21.75" customHeight="1">
      <c r="A5" s="130" t="s">
        <v>761</v>
      </c>
      <c r="B5" s="130">
        <f>VLOOKUP($B$2,'Bed List'!$A$2:$S$499,8,0)</f>
        <v>0</v>
      </c>
    </row>
    <row r="6" spans="1:2" ht="21.75" customHeight="1">
      <c r="A6" s="130" t="s">
        <v>762</v>
      </c>
      <c r="B6" s="130">
        <f>VLOOKUP($B$2,'Bed List'!$A$2:$S$499,9,0)</f>
        <v>3</v>
      </c>
    </row>
    <row r="7" spans="1:2" ht="21.75" customHeight="1">
      <c r="A7" s="130" t="s">
        <v>763</v>
      </c>
      <c r="B7" s="130">
        <f>VLOOKUP($B$2,'Bed List'!$A$2:$S$499,10,0)</f>
        <v>0</v>
      </c>
    </row>
    <row r="8" spans="1:2" ht="21.75" customHeight="1">
      <c r="A8" s="130" t="s">
        <v>764</v>
      </c>
      <c r="B8" s="130">
        <f>VLOOKUP($B$2,'Bed List'!$A$2:$S$499,11,0)</f>
        <v>0</v>
      </c>
    </row>
    <row r="9" spans="1:2" ht="21.75" customHeight="1">
      <c r="A9" s="130" t="s">
        <v>765</v>
      </c>
      <c r="B9" s="130">
        <f>VLOOKUP($B$2,'Bed List'!$A$2:$S$60,14,0)</f>
        <v>6</v>
      </c>
    </row>
    <row r="10" spans="1:2" ht="21.75" customHeight="1">
      <c r="A10" s="130" t="s">
        <v>766</v>
      </c>
      <c r="B10" s="130">
        <f>VLOOKUP($B$2,'Bed List'!$A$2:$S$499,15,0)</f>
        <v>6</v>
      </c>
    </row>
    <row r="11" spans="1:2" ht="21.75" customHeight="1">
      <c r="A11" s="130" t="s">
        <v>767</v>
      </c>
      <c r="B11" s="130">
        <f>VLOOKUP($B$2,'Bed List'!$A$2:$S$499,16,0)</f>
        <v>2</v>
      </c>
    </row>
    <row r="12" spans="1:2" ht="21.75" customHeight="1">
      <c r="A12" s="130" t="s">
        <v>768</v>
      </c>
      <c r="B12" s="130">
        <f>VLOOKUP($B$2,'Bed List'!$A$2:$S$499,17,0)</f>
        <v>6</v>
      </c>
    </row>
    <row r="13" spans="1:2" ht="21.75" customHeight="1">
      <c r="A13" s="130" t="s">
        <v>769</v>
      </c>
      <c r="B13" s="130">
        <f>VLOOKUP($B$2,'Bed List'!$A$2:$S$499,18,0)</f>
        <v>2</v>
      </c>
    </row>
    <row r="14" spans="1:2" ht="21.75" customHeight="1">
      <c r="A14" s="130" t="s">
        <v>770</v>
      </c>
      <c r="B14" s="130">
        <f>VLOOKUP($B$2,'Bed List'!$A$2:$S$499,19,0)</f>
        <v>2</v>
      </c>
    </row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'Bed List'!$A$2:$A$49</xm:f>
          </x14:formula1>
          <xm:sqref>B2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63"/>
  <sheetViews>
    <sheetView workbookViewId="0"/>
  </sheetViews>
  <sheetFormatPr baseColWidth="10" defaultColWidth="12.6640625" defaultRowHeight="15" customHeight="1"/>
  <cols>
    <col min="2" max="2" width="17.1640625" customWidth="1"/>
    <col min="7" max="7" width="18" customWidth="1"/>
    <col min="8" max="8" width="33" customWidth="1"/>
  </cols>
  <sheetData>
    <row r="1" spans="1:8" ht="15" customHeight="1">
      <c r="A1" s="1" t="s">
        <v>1</v>
      </c>
      <c r="B1" s="1" t="s">
        <v>2</v>
      </c>
      <c r="C1" s="1" t="s">
        <v>3</v>
      </c>
      <c r="D1" s="1" t="s">
        <v>9</v>
      </c>
      <c r="E1" s="2" t="s">
        <v>7</v>
      </c>
      <c r="F1" s="2" t="s">
        <v>8</v>
      </c>
      <c r="G1" s="1" t="s">
        <v>13</v>
      </c>
      <c r="H1" s="1" t="s">
        <v>731</v>
      </c>
    </row>
    <row r="2" spans="1:8" ht="15" customHeight="1">
      <c r="B2" s="14" t="s">
        <v>771</v>
      </c>
      <c r="D2" s="14">
        <f t="shared" ref="D2:D11" si="0">F2-E2</f>
        <v>5</v>
      </c>
      <c r="E2" s="107">
        <v>45293</v>
      </c>
      <c r="F2" s="131">
        <v>45298</v>
      </c>
      <c r="G2" s="14" t="s">
        <v>772</v>
      </c>
    </row>
    <row r="3" spans="1:8" ht="15" customHeight="1">
      <c r="B3" s="14" t="s">
        <v>773</v>
      </c>
      <c r="D3" s="14">
        <f t="shared" si="0"/>
        <v>9</v>
      </c>
      <c r="E3" s="106">
        <v>45283</v>
      </c>
      <c r="F3" s="131">
        <v>45292</v>
      </c>
      <c r="G3" s="14" t="s">
        <v>586</v>
      </c>
    </row>
    <row r="4" spans="1:8" ht="15" customHeight="1">
      <c r="B4" s="108" t="s">
        <v>35</v>
      </c>
      <c r="C4" s="108"/>
      <c r="D4" s="108">
        <f t="shared" si="0"/>
        <v>56</v>
      </c>
      <c r="E4" s="109">
        <v>45297</v>
      </c>
      <c r="F4" s="109">
        <v>45353</v>
      </c>
      <c r="G4" s="108" t="s">
        <v>36</v>
      </c>
    </row>
    <row r="5" spans="1:8" ht="15" customHeight="1">
      <c r="B5" s="14" t="s">
        <v>774</v>
      </c>
      <c r="D5" s="14">
        <f t="shared" si="0"/>
        <v>5</v>
      </c>
      <c r="E5" s="107">
        <v>45337</v>
      </c>
      <c r="F5" s="107">
        <v>45342</v>
      </c>
      <c r="G5" s="14" t="s">
        <v>610</v>
      </c>
    </row>
    <row r="6" spans="1:8" ht="15" customHeight="1">
      <c r="B6" s="108" t="s">
        <v>775</v>
      </c>
      <c r="C6" s="108"/>
      <c r="D6" s="108">
        <f t="shared" si="0"/>
        <v>118</v>
      </c>
      <c r="E6" s="114">
        <v>45641</v>
      </c>
      <c r="F6" s="109">
        <v>45759</v>
      </c>
      <c r="G6" s="108" t="s">
        <v>592</v>
      </c>
    </row>
    <row r="7" spans="1:8" ht="15" customHeight="1">
      <c r="B7" s="14" t="s">
        <v>776</v>
      </c>
      <c r="D7" s="14">
        <f t="shared" si="0"/>
        <v>6</v>
      </c>
      <c r="E7" s="107">
        <v>45313</v>
      </c>
      <c r="F7" s="107">
        <v>45319</v>
      </c>
      <c r="G7" s="14" t="s">
        <v>608</v>
      </c>
      <c r="H7" s="14" t="s">
        <v>777</v>
      </c>
    </row>
    <row r="8" spans="1:8" ht="15" customHeight="1">
      <c r="D8" s="14">
        <f t="shared" si="0"/>
        <v>4</v>
      </c>
      <c r="E8" s="107">
        <v>45345</v>
      </c>
      <c r="F8" s="107">
        <v>45349</v>
      </c>
      <c r="G8" s="14" t="s">
        <v>650</v>
      </c>
    </row>
    <row r="9" spans="1:8" ht="15" customHeight="1">
      <c r="B9" s="108" t="s">
        <v>778</v>
      </c>
      <c r="C9" s="108"/>
      <c r="D9" s="108">
        <f t="shared" si="0"/>
        <v>0</v>
      </c>
      <c r="E9" s="109">
        <v>45442</v>
      </c>
      <c r="F9" s="109">
        <v>45442</v>
      </c>
      <c r="G9" s="108" t="s">
        <v>779</v>
      </c>
    </row>
    <row r="10" spans="1:8" ht="15" customHeight="1">
      <c r="B10" s="108" t="s">
        <v>780</v>
      </c>
      <c r="C10" s="108"/>
      <c r="D10" s="108">
        <f t="shared" si="0"/>
        <v>5</v>
      </c>
      <c r="E10" s="109">
        <v>45363</v>
      </c>
      <c r="F10" s="109">
        <v>45368</v>
      </c>
      <c r="G10" s="111" t="s">
        <v>593</v>
      </c>
      <c r="H10" s="14" t="s">
        <v>781</v>
      </c>
    </row>
    <row r="11" spans="1:8" ht="15" customHeight="1">
      <c r="B11" s="108" t="s">
        <v>782</v>
      </c>
      <c r="C11" s="108"/>
      <c r="D11" s="108">
        <f t="shared" si="0"/>
        <v>23</v>
      </c>
      <c r="E11" s="109">
        <v>45488</v>
      </c>
      <c r="F11" s="109">
        <v>45511</v>
      </c>
      <c r="G11" s="132" t="s">
        <v>448</v>
      </c>
    </row>
    <row r="12" spans="1:8" ht="15" customHeight="1">
      <c r="B12" s="14" t="s">
        <v>776</v>
      </c>
      <c r="E12" s="107">
        <v>45400</v>
      </c>
      <c r="F12" s="107">
        <v>45406</v>
      </c>
      <c r="G12" s="14" t="s">
        <v>608</v>
      </c>
      <c r="H12" s="14" t="s">
        <v>777</v>
      </c>
    </row>
    <row r="13" spans="1:8" ht="15" customHeight="1">
      <c r="B13" s="108" t="s">
        <v>35</v>
      </c>
      <c r="C13" s="108"/>
      <c r="D13" s="108">
        <f>F13-E13</f>
        <v>55</v>
      </c>
      <c r="E13" s="120">
        <v>45662</v>
      </c>
      <c r="F13" s="120">
        <v>45717</v>
      </c>
      <c r="G13" s="108" t="s">
        <v>36</v>
      </c>
    </row>
    <row r="14" spans="1:8" ht="15" customHeight="1">
      <c r="B14" s="108"/>
      <c r="C14" s="108"/>
      <c r="D14" s="108"/>
      <c r="E14" s="109"/>
      <c r="F14" s="114"/>
      <c r="G14" s="132"/>
    </row>
    <row r="15" spans="1:8" ht="15" customHeight="1">
      <c r="B15" s="14" t="s">
        <v>783</v>
      </c>
      <c r="D15" s="108">
        <f t="shared" ref="D15:D20" si="1">F15-E15</f>
        <v>8</v>
      </c>
      <c r="E15" s="107">
        <v>45402</v>
      </c>
      <c r="F15" s="107">
        <v>45410</v>
      </c>
      <c r="G15" s="14" t="s">
        <v>28</v>
      </c>
    </row>
    <row r="16" spans="1:8" ht="15" customHeight="1">
      <c r="B16" s="108" t="s">
        <v>773</v>
      </c>
      <c r="C16" s="108"/>
      <c r="D16" s="108">
        <f t="shared" si="1"/>
        <v>10</v>
      </c>
      <c r="E16" s="109">
        <v>45491</v>
      </c>
      <c r="F16" s="109">
        <v>45501</v>
      </c>
      <c r="G16" s="108" t="s">
        <v>586</v>
      </c>
      <c r="H16" s="14" t="s">
        <v>784</v>
      </c>
    </row>
    <row r="17" spans="2:8" ht="15" customHeight="1">
      <c r="B17" s="14" t="s">
        <v>785</v>
      </c>
      <c r="D17" s="108">
        <f t="shared" si="1"/>
        <v>5</v>
      </c>
      <c r="E17" s="107">
        <v>45421</v>
      </c>
      <c r="F17" s="107">
        <v>45426</v>
      </c>
      <c r="G17" s="14" t="s">
        <v>46</v>
      </c>
    </row>
    <row r="18" spans="2:8" ht="15" customHeight="1">
      <c r="B18" s="108" t="s">
        <v>783</v>
      </c>
      <c r="C18" s="108"/>
      <c r="D18" s="108">
        <f t="shared" si="1"/>
        <v>19</v>
      </c>
      <c r="E18" s="109">
        <v>45444</v>
      </c>
      <c r="F18" s="109">
        <v>45463</v>
      </c>
      <c r="G18" s="108" t="s">
        <v>28</v>
      </c>
    </row>
    <row r="19" spans="2:8" ht="15" customHeight="1">
      <c r="B19" s="108" t="s">
        <v>783</v>
      </c>
      <c r="C19" s="108"/>
      <c r="D19" s="108">
        <f t="shared" si="1"/>
        <v>17</v>
      </c>
      <c r="E19" s="109">
        <v>45476</v>
      </c>
      <c r="F19" s="109">
        <v>45493</v>
      </c>
      <c r="G19" s="108" t="s">
        <v>28</v>
      </c>
    </row>
    <row r="20" spans="2:8" ht="15" customHeight="1">
      <c r="B20" s="118" t="s">
        <v>786</v>
      </c>
      <c r="C20" s="108"/>
      <c r="D20" s="108">
        <f t="shared" si="1"/>
        <v>53</v>
      </c>
      <c r="E20" s="109">
        <v>45543</v>
      </c>
      <c r="F20" s="114">
        <v>45596</v>
      </c>
      <c r="G20" s="108" t="s">
        <v>584</v>
      </c>
      <c r="H20" s="14" t="s">
        <v>784</v>
      </c>
    </row>
    <row r="21" spans="2:8" ht="15" customHeight="1">
      <c r="B21" s="108" t="s">
        <v>786</v>
      </c>
      <c r="C21" s="108"/>
      <c r="D21" s="108"/>
      <c r="E21" s="109">
        <v>45492</v>
      </c>
      <c r="F21" s="120">
        <v>45545</v>
      </c>
      <c r="G21" s="108" t="s">
        <v>604</v>
      </c>
      <c r="H21" s="14" t="s">
        <v>784</v>
      </c>
    </row>
    <row r="22" spans="2:8" ht="15" customHeight="1">
      <c r="B22" s="108" t="s">
        <v>787</v>
      </c>
      <c r="C22" s="108"/>
      <c r="D22" s="108"/>
      <c r="E22" s="109">
        <v>45486</v>
      </c>
      <c r="F22" s="109">
        <v>45487</v>
      </c>
      <c r="G22" s="108" t="s">
        <v>81</v>
      </c>
    </row>
    <row r="23" spans="2:8" ht="15" customHeight="1">
      <c r="B23" s="108" t="s">
        <v>788</v>
      </c>
      <c r="C23" s="108"/>
      <c r="D23" s="108"/>
      <c r="E23" s="109">
        <v>45514</v>
      </c>
      <c r="F23" s="120">
        <v>45518</v>
      </c>
      <c r="G23" s="108" t="s">
        <v>86</v>
      </c>
    </row>
    <row r="24" spans="2:8" ht="15" customHeight="1">
      <c r="B24" s="108" t="s">
        <v>787</v>
      </c>
      <c r="C24" s="108"/>
      <c r="D24" s="108"/>
      <c r="E24" s="109">
        <v>45520</v>
      </c>
      <c r="F24" s="120">
        <v>45523</v>
      </c>
      <c r="G24" s="108" t="s">
        <v>176</v>
      </c>
    </row>
    <row r="25" spans="2:8" ht="15" customHeight="1">
      <c r="B25" s="108" t="s">
        <v>787</v>
      </c>
      <c r="C25" s="108"/>
      <c r="D25" s="108"/>
      <c r="E25" s="109">
        <v>45520</v>
      </c>
      <c r="F25" s="120">
        <v>45523</v>
      </c>
      <c r="G25" s="108" t="s">
        <v>81</v>
      </c>
    </row>
    <row r="26" spans="2:8" ht="15" customHeight="1">
      <c r="B26" s="108" t="s">
        <v>788</v>
      </c>
      <c r="C26" s="108"/>
      <c r="D26" s="108"/>
      <c r="E26" s="109">
        <v>45492</v>
      </c>
      <c r="F26" s="109">
        <v>45498</v>
      </c>
      <c r="G26" s="108" t="s">
        <v>327</v>
      </c>
    </row>
    <row r="27" spans="2:8" ht="15" customHeight="1">
      <c r="B27" s="108" t="s">
        <v>774</v>
      </c>
      <c r="C27" s="108"/>
      <c r="D27" s="108"/>
      <c r="E27" s="109">
        <v>45514</v>
      </c>
      <c r="F27" s="120">
        <v>45518</v>
      </c>
      <c r="G27" s="108" t="s">
        <v>610</v>
      </c>
    </row>
    <row r="28" spans="2:8" ht="15" customHeight="1">
      <c r="B28" s="118" t="s">
        <v>787</v>
      </c>
      <c r="E28" s="107">
        <v>45551</v>
      </c>
      <c r="F28" s="107">
        <v>45555</v>
      </c>
      <c r="G28" s="108" t="s">
        <v>81</v>
      </c>
    </row>
    <row r="29" spans="2:8" ht="15" customHeight="1">
      <c r="B29" s="108" t="s">
        <v>787</v>
      </c>
      <c r="C29" s="108"/>
      <c r="D29" s="108"/>
      <c r="E29" s="114">
        <v>45611</v>
      </c>
      <c r="F29" s="114">
        <v>45613</v>
      </c>
      <c r="G29" s="108" t="s">
        <v>81</v>
      </c>
    </row>
    <row r="30" spans="2:8" ht="15" customHeight="1">
      <c r="B30" s="118" t="s">
        <v>786</v>
      </c>
      <c r="C30" s="108"/>
      <c r="D30" s="108"/>
      <c r="E30" s="133">
        <v>45611</v>
      </c>
      <c r="F30" s="114">
        <v>45614</v>
      </c>
      <c r="G30" s="108" t="s">
        <v>772</v>
      </c>
    </row>
    <row r="31" spans="2:8" ht="15" customHeight="1">
      <c r="B31" s="108"/>
      <c r="C31" s="108"/>
      <c r="D31" s="108"/>
      <c r="E31" s="114">
        <v>45624</v>
      </c>
      <c r="F31" s="109">
        <v>45628</v>
      </c>
      <c r="G31" s="108" t="s">
        <v>300</v>
      </c>
    </row>
    <row r="32" spans="2:8" ht="15" customHeight="1">
      <c r="B32" s="108" t="s">
        <v>774</v>
      </c>
      <c r="C32" s="108"/>
      <c r="D32" s="108"/>
      <c r="E32" s="109">
        <v>45592</v>
      </c>
      <c r="F32" s="120">
        <v>45602</v>
      </c>
      <c r="G32" s="108" t="s">
        <v>610</v>
      </c>
    </row>
    <row r="33" spans="2:8" ht="15" customHeight="1">
      <c r="B33" s="118" t="s">
        <v>787</v>
      </c>
      <c r="C33" s="108"/>
      <c r="D33" s="108"/>
      <c r="E33" s="120">
        <v>45673</v>
      </c>
      <c r="F33" s="120">
        <v>45676</v>
      </c>
      <c r="G33" s="108" t="s">
        <v>81</v>
      </c>
    </row>
    <row r="34" spans="2:8" ht="15" customHeight="1">
      <c r="B34" s="14" t="s">
        <v>785</v>
      </c>
      <c r="E34" s="106">
        <v>45611</v>
      </c>
      <c r="F34" s="106">
        <v>45613</v>
      </c>
      <c r="G34" s="14" t="s">
        <v>368</v>
      </c>
      <c r="H34" s="14" t="s">
        <v>789</v>
      </c>
    </row>
    <row r="35" spans="2:8" ht="15" customHeight="1">
      <c r="B35" s="108" t="s">
        <v>783</v>
      </c>
      <c r="C35" s="108"/>
      <c r="D35" s="108"/>
      <c r="E35" s="109">
        <v>45664</v>
      </c>
      <c r="F35" s="109">
        <v>45671</v>
      </c>
      <c r="G35" s="108" t="s">
        <v>28</v>
      </c>
    </row>
    <row r="36" spans="2:8" ht="15" customHeight="1">
      <c r="B36" s="108" t="s">
        <v>774</v>
      </c>
      <c r="C36" s="108"/>
      <c r="D36" s="108"/>
      <c r="E36" s="109">
        <v>45664</v>
      </c>
      <c r="F36" s="109">
        <v>45670</v>
      </c>
      <c r="G36" s="108" t="s">
        <v>610</v>
      </c>
    </row>
    <row r="37" spans="2:8" ht="15" customHeight="1">
      <c r="B37" s="108" t="s">
        <v>790</v>
      </c>
      <c r="C37" s="108"/>
      <c r="D37" s="108"/>
      <c r="E37" s="109">
        <v>45703</v>
      </c>
      <c r="F37" s="109">
        <v>45707</v>
      </c>
      <c r="G37" s="108" t="s">
        <v>591</v>
      </c>
    </row>
    <row r="38" spans="2:8" ht="15" customHeight="1">
      <c r="B38" s="108" t="s">
        <v>791</v>
      </c>
      <c r="C38" s="108"/>
      <c r="D38" s="108"/>
      <c r="E38" s="109">
        <v>45677</v>
      </c>
      <c r="F38" s="109">
        <v>45679</v>
      </c>
      <c r="G38" s="108" t="s">
        <v>723</v>
      </c>
    </row>
    <row r="39" spans="2:8" ht="15" customHeight="1">
      <c r="B39" s="108" t="s">
        <v>792</v>
      </c>
      <c r="C39" s="108"/>
      <c r="D39" s="108"/>
      <c r="E39" s="109">
        <v>45839</v>
      </c>
      <c r="F39" s="109">
        <v>45871</v>
      </c>
      <c r="G39" s="132" t="s">
        <v>448</v>
      </c>
      <c r="H39" s="14" t="s">
        <v>793</v>
      </c>
    </row>
    <row r="40" spans="2:8" ht="15" customHeight="1">
      <c r="B40" s="108"/>
      <c r="C40" s="108"/>
      <c r="D40" s="108"/>
      <c r="E40" s="120">
        <v>45709</v>
      </c>
      <c r="F40" s="120">
        <v>45711</v>
      </c>
      <c r="G40" s="118" t="s">
        <v>602</v>
      </c>
    </row>
    <row r="41" spans="2:8" ht="15" customHeight="1">
      <c r="B41" s="108"/>
      <c r="C41" s="108"/>
      <c r="D41" s="108"/>
      <c r="E41" s="120">
        <v>45850</v>
      </c>
      <c r="F41" s="120">
        <v>45852</v>
      </c>
      <c r="G41" s="118" t="s">
        <v>673</v>
      </c>
      <c r="H41" s="14" t="s">
        <v>793</v>
      </c>
    </row>
    <row r="42" spans="2:8" ht="15" customHeight="1">
      <c r="B42" s="134" t="s">
        <v>787</v>
      </c>
      <c r="C42" s="134"/>
      <c r="D42" s="134"/>
      <c r="E42" s="135">
        <v>45898</v>
      </c>
      <c r="F42" s="135">
        <v>45902</v>
      </c>
      <c r="G42" s="134" t="s">
        <v>81</v>
      </c>
    </row>
    <row r="43" spans="2:8" ht="15" customHeight="1">
      <c r="B43" s="136" t="s">
        <v>35</v>
      </c>
      <c r="C43" s="134"/>
      <c r="D43" s="134"/>
      <c r="E43" s="137">
        <v>46026</v>
      </c>
      <c r="F43" s="137">
        <v>46081</v>
      </c>
      <c r="G43" s="134" t="s">
        <v>36</v>
      </c>
    </row>
    <row r="44" spans="2:8" ht="15" customHeight="1">
      <c r="B44" s="108" t="s">
        <v>774</v>
      </c>
      <c r="C44" s="108"/>
      <c r="D44" s="108"/>
      <c r="E44" s="109">
        <v>45758</v>
      </c>
      <c r="F44" s="109">
        <v>45763</v>
      </c>
      <c r="G44" s="108" t="s">
        <v>610</v>
      </c>
    </row>
    <row r="45" spans="2:8" ht="15" customHeight="1">
      <c r="E45" s="109">
        <v>45758</v>
      </c>
      <c r="F45" s="109">
        <v>45763</v>
      </c>
      <c r="G45" s="118" t="s">
        <v>602</v>
      </c>
    </row>
    <row r="46" spans="2:8" ht="15" customHeight="1">
      <c r="B46" s="108" t="s">
        <v>787</v>
      </c>
      <c r="C46" s="108"/>
      <c r="D46" s="108"/>
      <c r="E46" s="109">
        <v>45825</v>
      </c>
      <c r="F46" s="109">
        <v>45833</v>
      </c>
      <c r="G46" s="108" t="s">
        <v>81</v>
      </c>
    </row>
    <row r="47" spans="2:8" ht="15" customHeight="1">
      <c r="B47" s="108" t="s">
        <v>774</v>
      </c>
      <c r="C47" s="108"/>
      <c r="D47" s="108"/>
      <c r="E47" s="109">
        <v>45840</v>
      </c>
      <c r="F47" s="109">
        <v>45845</v>
      </c>
      <c r="G47" s="118" t="s">
        <v>610</v>
      </c>
      <c r="H47" s="14" t="s">
        <v>793</v>
      </c>
    </row>
    <row r="48" spans="2:8" ht="15" customHeight="1">
      <c r="B48" s="108" t="s">
        <v>787</v>
      </c>
      <c r="C48" s="108"/>
      <c r="D48" s="108"/>
      <c r="E48" s="120">
        <v>45801</v>
      </c>
      <c r="F48" s="120">
        <v>45804</v>
      </c>
      <c r="G48" s="118" t="s">
        <v>81</v>
      </c>
    </row>
    <row r="49" spans="2:8" ht="15" customHeight="1">
      <c r="B49" s="108" t="s">
        <v>787</v>
      </c>
      <c r="C49" s="108"/>
      <c r="D49" s="108"/>
      <c r="E49" s="109">
        <v>45817</v>
      </c>
      <c r="F49" s="109">
        <v>45819</v>
      </c>
      <c r="G49" s="118" t="s">
        <v>81</v>
      </c>
    </row>
    <row r="50" spans="2:8" ht="15" customHeight="1">
      <c r="B50" s="108" t="s">
        <v>794</v>
      </c>
      <c r="C50" s="108"/>
      <c r="D50" s="108"/>
      <c r="E50" s="109">
        <v>45830</v>
      </c>
      <c r="F50" s="109">
        <v>45839</v>
      </c>
      <c r="G50" s="108" t="s">
        <v>277</v>
      </c>
    </row>
    <row r="51" spans="2:8" ht="15" customHeight="1">
      <c r="B51" s="14" t="s">
        <v>47</v>
      </c>
      <c r="E51" s="107">
        <v>45813</v>
      </c>
      <c r="F51" s="107">
        <v>45817</v>
      </c>
      <c r="G51" s="14" t="s">
        <v>719</v>
      </c>
      <c r="H51" s="14" t="s">
        <v>793</v>
      </c>
    </row>
    <row r="52" spans="2:8" ht="15" customHeight="1">
      <c r="B52" s="108" t="s">
        <v>35</v>
      </c>
      <c r="C52" s="108"/>
      <c r="D52" s="108"/>
      <c r="E52" s="109">
        <v>45831</v>
      </c>
      <c r="F52" s="109">
        <v>45834</v>
      </c>
      <c r="G52" s="108" t="s">
        <v>36</v>
      </c>
    </row>
    <row r="53" spans="2:8" ht="15" customHeight="1">
      <c r="B53" s="108" t="s">
        <v>795</v>
      </c>
      <c r="C53" s="108"/>
      <c r="D53" s="108"/>
      <c r="E53" s="109">
        <v>45850</v>
      </c>
      <c r="F53" s="109">
        <v>45854</v>
      </c>
      <c r="G53" s="108" t="s">
        <v>227</v>
      </c>
      <c r="H53" s="14" t="s">
        <v>796</v>
      </c>
    </row>
    <row r="54" spans="2:8" ht="15" customHeight="1">
      <c r="B54" s="14" t="s">
        <v>47</v>
      </c>
      <c r="E54" s="107">
        <v>45855</v>
      </c>
      <c r="F54" s="107">
        <v>45862</v>
      </c>
      <c r="G54" s="14" t="s">
        <v>719</v>
      </c>
      <c r="H54" s="14" t="s">
        <v>793</v>
      </c>
    </row>
    <row r="55" spans="2:8" ht="15" customHeight="1">
      <c r="B55" s="134" t="s">
        <v>47</v>
      </c>
      <c r="C55" s="134"/>
      <c r="D55" s="134"/>
      <c r="E55" s="137">
        <v>45896</v>
      </c>
      <c r="F55" s="137">
        <v>45903</v>
      </c>
      <c r="G55" s="134" t="s">
        <v>719</v>
      </c>
    </row>
    <row r="56" spans="2:8" ht="15" customHeight="1">
      <c r="B56" s="14" t="s">
        <v>785</v>
      </c>
      <c r="E56" s="107">
        <v>45857</v>
      </c>
      <c r="F56" s="107">
        <v>45859</v>
      </c>
      <c r="G56" s="16" t="s">
        <v>389</v>
      </c>
      <c r="H56" s="14" t="s">
        <v>796</v>
      </c>
    </row>
    <row r="57" spans="2:8" ht="15" customHeight="1">
      <c r="B57" s="108" t="s">
        <v>780</v>
      </c>
      <c r="C57" s="108"/>
      <c r="D57" s="108"/>
      <c r="E57" s="109">
        <v>45857</v>
      </c>
      <c r="F57" s="109">
        <v>45869</v>
      </c>
      <c r="G57" s="108" t="s">
        <v>609</v>
      </c>
      <c r="H57" s="14" t="s">
        <v>797</v>
      </c>
    </row>
    <row r="58" spans="2:8" ht="15" customHeight="1">
      <c r="B58" s="108" t="s">
        <v>785</v>
      </c>
      <c r="C58" s="108"/>
      <c r="D58" s="108"/>
      <c r="E58" s="109">
        <v>45859</v>
      </c>
      <c r="F58" s="109">
        <v>45863</v>
      </c>
      <c r="G58" s="108" t="s">
        <v>79</v>
      </c>
      <c r="H58" s="14" t="s">
        <v>796</v>
      </c>
    </row>
    <row r="59" spans="2:8" ht="15" customHeight="1">
      <c r="B59" s="134" t="s">
        <v>787</v>
      </c>
      <c r="C59" s="134"/>
      <c r="D59" s="134"/>
      <c r="E59" s="138">
        <v>45905</v>
      </c>
      <c r="F59" s="138">
        <v>45907</v>
      </c>
      <c r="G59" s="136" t="s">
        <v>81</v>
      </c>
    </row>
    <row r="60" spans="2:8" ht="15" customHeight="1">
      <c r="B60" s="134" t="s">
        <v>787</v>
      </c>
      <c r="C60" s="134"/>
      <c r="D60" s="134"/>
      <c r="E60" s="138">
        <v>45912</v>
      </c>
      <c r="F60" s="138">
        <v>45915</v>
      </c>
      <c r="G60" s="136" t="s">
        <v>81</v>
      </c>
    </row>
    <row r="61" spans="2:8" ht="15" customHeight="1">
      <c r="E61" s="107">
        <v>45870</v>
      </c>
      <c r="F61" s="107">
        <v>45886</v>
      </c>
      <c r="G61" s="14" t="s">
        <v>46</v>
      </c>
      <c r="H61" s="14" t="s">
        <v>798</v>
      </c>
    </row>
    <row r="62" spans="2:8" ht="15" customHeight="1">
      <c r="E62" s="107">
        <v>45880</v>
      </c>
      <c r="F62" s="107">
        <v>45887</v>
      </c>
      <c r="G62" s="14" t="s">
        <v>363</v>
      </c>
      <c r="H62" s="14" t="s">
        <v>799</v>
      </c>
    </row>
    <row r="63" spans="2:8" ht="14">
      <c r="B63" s="134"/>
      <c r="C63" s="134"/>
      <c r="D63" s="134"/>
      <c r="E63" s="137">
        <v>45880</v>
      </c>
      <c r="F63" s="137">
        <v>45941</v>
      </c>
      <c r="G63" s="134" t="s">
        <v>36</v>
      </c>
      <c r="H63" s="14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Cleaning schedule</vt:lpstr>
      <vt:lpstr>Heat pool Pack n’ play</vt:lpstr>
      <vt:lpstr>Day by Day Cleaning Priority</vt:lpstr>
      <vt:lpstr>Trash</vt:lpstr>
      <vt:lpstr>Bed List</vt:lpstr>
      <vt:lpstr>Book directly</vt:lpstr>
      <vt:lpstr>Prepare for the house</vt:lpstr>
      <vt:lpstr>Owner staying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Nguyen</cp:lastModifiedBy>
  <dcterms:modified xsi:type="dcterms:W3CDTF">2025-08-31T05:38:17Z</dcterms:modified>
</cp:coreProperties>
</file>